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tables/table1.xml" ContentType="application/vnd.openxmlformats-officedocument.spreadsheetml.table+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5.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ffat\Desktop\"/>
    </mc:Choice>
  </mc:AlternateContent>
  <bookViews>
    <workbookView xWindow="0" yWindow="0" windowWidth="19200" windowHeight="6220"/>
  </bookViews>
  <sheets>
    <sheet name="primary_studies" sheetId="1" r:id="rId1"/>
    <sheet name="citation_data" sheetId="2" r:id="rId2"/>
    <sheet name="citation_pivot_table" sheetId="3" r:id="rId3"/>
    <sheet name="research_type" sheetId="4" r:id="rId4"/>
    <sheet name="keywords_data" sheetId="5" r:id="rId5"/>
    <sheet name="keyword_id_mapping" sheetId="6" r:id="rId6"/>
    <sheet name="keyword_clusters" sheetId="7" r:id="rId7"/>
    <sheet name="topics_per_year" sheetId="8" r:id="rId8"/>
    <sheet name="topics" sheetId="9" r:id="rId9"/>
    <sheet name="sustainabilityprimary" sheetId="10" r:id="rId10"/>
    <sheet name="sustainability_enabled" sheetId="11" r:id="rId11"/>
  </sheets>
  <definedNames>
    <definedName name="_xlnm._FilterDatabase" localSheetId="4" hidden="1">keywords_data!$E$1:$E$1016</definedName>
    <definedName name="_xlnm._FilterDatabase" localSheetId="10" hidden="1">sustainability_enabled!$A$1:$AD$125</definedName>
    <definedName name="_xlnm._FilterDatabase" localSheetId="9" hidden="1">sustainabilityprimary!$A$1:$AB$125</definedName>
    <definedName name="_xlnm._FilterDatabase" localSheetId="7" hidden="1">topics_per_year!$Q$1:$W$12</definedName>
  </definedNames>
  <calcPr calcId="152511"/>
  <pivotCaches>
    <pivotCache cacheId="3" r:id="rId12"/>
  </pivotCaches>
  <extLst>
    <ext uri="GoogleSheetsCustomDataVersion2">
      <go:sheetsCustomData xmlns:go="http://customooxmlschemas.google.com/" r:id="rId16" roundtripDataChecksum="zj55IAezAYpk2SoEOMyVDS730t+zoTfnG9BRUm9dJoI="/>
    </ext>
  </extLst>
</workbook>
</file>

<file path=xl/calcChain.xml><?xml version="1.0" encoding="utf-8"?>
<calcChain xmlns="http://schemas.openxmlformats.org/spreadsheetml/2006/main">
  <c r="P124" i="11" l="1"/>
  <c r="M124" i="11"/>
  <c r="L124" i="11"/>
  <c r="K124" i="11"/>
  <c r="J124" i="11"/>
  <c r="N124" i="11" s="1"/>
  <c r="P123" i="11"/>
  <c r="M123" i="11"/>
  <c r="L123" i="11"/>
  <c r="N123" i="11" s="1"/>
  <c r="K123" i="11"/>
  <c r="J123" i="11"/>
  <c r="P122" i="11"/>
  <c r="M122" i="11"/>
  <c r="L122" i="11"/>
  <c r="K122" i="11"/>
  <c r="N122" i="11" s="1"/>
  <c r="J122" i="11"/>
  <c r="P121" i="11"/>
  <c r="M121" i="11"/>
  <c r="L121" i="11"/>
  <c r="K121" i="11"/>
  <c r="J121" i="11"/>
  <c r="N121" i="11" s="1"/>
  <c r="P120" i="11"/>
  <c r="M120" i="11"/>
  <c r="L120" i="11"/>
  <c r="K120" i="11"/>
  <c r="J120" i="11"/>
  <c r="N120" i="11" s="1"/>
  <c r="P119" i="11"/>
  <c r="M119" i="11"/>
  <c r="L119" i="11"/>
  <c r="K119" i="11"/>
  <c r="N119" i="11" s="1"/>
  <c r="J119" i="11"/>
  <c r="P118" i="11"/>
  <c r="M118" i="11"/>
  <c r="L118" i="11"/>
  <c r="K118" i="11"/>
  <c r="N118" i="11" s="1"/>
  <c r="J118" i="11"/>
  <c r="P117" i="11"/>
  <c r="M117" i="11"/>
  <c r="L117" i="11"/>
  <c r="K117" i="11"/>
  <c r="J117" i="11"/>
  <c r="N117" i="11" s="1"/>
  <c r="P116" i="11"/>
  <c r="M116" i="11"/>
  <c r="L116" i="11"/>
  <c r="K116" i="11"/>
  <c r="J116" i="11"/>
  <c r="N116" i="11" s="1"/>
  <c r="P115" i="11"/>
  <c r="P125" i="11" s="1"/>
  <c r="M115" i="11"/>
  <c r="L115" i="11"/>
  <c r="K115" i="11"/>
  <c r="N115" i="11" s="1"/>
  <c r="J115" i="11"/>
  <c r="M114" i="11"/>
  <c r="L114" i="11"/>
  <c r="N114" i="11" s="1"/>
  <c r="K114" i="11"/>
  <c r="J114" i="11"/>
  <c r="M113" i="11"/>
  <c r="L113" i="11"/>
  <c r="K113" i="11"/>
  <c r="N113" i="11" s="1"/>
  <c r="J113" i="11"/>
  <c r="N112" i="11"/>
  <c r="M112" i="11"/>
  <c r="L112" i="11"/>
  <c r="K112" i="11"/>
  <c r="J112" i="11"/>
  <c r="M111" i="11"/>
  <c r="L111" i="11"/>
  <c r="K111" i="11"/>
  <c r="J111" i="11"/>
  <c r="N111" i="11" s="1"/>
  <c r="M110" i="11"/>
  <c r="L110" i="11"/>
  <c r="K110" i="11"/>
  <c r="J110" i="11"/>
  <c r="N110" i="11" s="1"/>
  <c r="M109" i="11"/>
  <c r="L109" i="11"/>
  <c r="K109" i="11"/>
  <c r="J109" i="11"/>
  <c r="N109" i="11" s="1"/>
  <c r="M108" i="11"/>
  <c r="L108" i="11"/>
  <c r="K108" i="11"/>
  <c r="J108" i="11"/>
  <c r="N108" i="11" s="1"/>
  <c r="M107" i="11"/>
  <c r="T124" i="11" s="1"/>
  <c r="L107" i="11"/>
  <c r="S124" i="11" s="1"/>
  <c r="K107" i="11"/>
  <c r="R124" i="11" s="1"/>
  <c r="J107" i="11"/>
  <c r="N107" i="11" s="1"/>
  <c r="M106" i="11"/>
  <c r="L106" i="11"/>
  <c r="N106" i="11" s="1"/>
  <c r="K106" i="11"/>
  <c r="J106" i="11"/>
  <c r="M105" i="11"/>
  <c r="L105" i="11"/>
  <c r="K105" i="11"/>
  <c r="N105" i="11" s="1"/>
  <c r="J105" i="11"/>
  <c r="N104" i="11"/>
  <c r="M104" i="11"/>
  <c r="L104" i="11"/>
  <c r="K104" i="11"/>
  <c r="J104" i="11"/>
  <c r="M103" i="11"/>
  <c r="L103" i="11"/>
  <c r="K103" i="11"/>
  <c r="J103" i="11"/>
  <c r="N103" i="11" s="1"/>
  <c r="M102" i="11"/>
  <c r="L102" i="11"/>
  <c r="K102" i="11"/>
  <c r="J102" i="11"/>
  <c r="N102" i="11" s="1"/>
  <c r="M101" i="11"/>
  <c r="L101" i="11"/>
  <c r="K101" i="11"/>
  <c r="J101" i="11"/>
  <c r="N101" i="11" s="1"/>
  <c r="M100" i="11"/>
  <c r="L100" i="11"/>
  <c r="K100" i="11"/>
  <c r="J100" i="11"/>
  <c r="N100" i="11" s="1"/>
  <c r="M99" i="11"/>
  <c r="L99" i="11"/>
  <c r="K99" i="11"/>
  <c r="J99" i="11"/>
  <c r="N99" i="11" s="1"/>
  <c r="M98" i="11"/>
  <c r="L98" i="11"/>
  <c r="N98" i="11" s="1"/>
  <c r="K98" i="11"/>
  <c r="J98" i="11"/>
  <c r="M97" i="11"/>
  <c r="L97" i="11"/>
  <c r="K97" i="11"/>
  <c r="N97" i="11" s="1"/>
  <c r="J97" i="11"/>
  <c r="N96" i="11"/>
  <c r="M96" i="11"/>
  <c r="L96" i="11"/>
  <c r="K96" i="11"/>
  <c r="J96" i="11"/>
  <c r="M95" i="11"/>
  <c r="L95" i="11"/>
  <c r="K95" i="11"/>
  <c r="N95" i="11" s="1"/>
  <c r="J95" i="11"/>
  <c r="M94" i="11"/>
  <c r="L94" i="11"/>
  <c r="K94" i="11"/>
  <c r="J94" i="11"/>
  <c r="N94" i="11" s="1"/>
  <c r="M93" i="11"/>
  <c r="L93" i="11"/>
  <c r="K93" i="11"/>
  <c r="J93" i="11"/>
  <c r="N93" i="11" s="1"/>
  <c r="M92" i="11"/>
  <c r="L92" i="11"/>
  <c r="K92" i="11"/>
  <c r="J92" i="11"/>
  <c r="N92" i="11" s="1"/>
  <c r="M91" i="11"/>
  <c r="L91" i="11"/>
  <c r="K91" i="11"/>
  <c r="J91" i="11"/>
  <c r="N91" i="11" s="1"/>
  <c r="M90" i="11"/>
  <c r="L90" i="11"/>
  <c r="N90" i="11" s="1"/>
  <c r="K90" i="11"/>
  <c r="J90" i="11"/>
  <c r="M89" i="11"/>
  <c r="L89" i="11"/>
  <c r="K89" i="11"/>
  <c r="N89" i="11" s="1"/>
  <c r="J89" i="11"/>
  <c r="N88" i="11"/>
  <c r="M88" i="11"/>
  <c r="L88" i="11"/>
  <c r="K88" i="11"/>
  <c r="J88" i="11"/>
  <c r="M87" i="11"/>
  <c r="T123" i="11" s="1"/>
  <c r="L87" i="11"/>
  <c r="S123" i="11" s="1"/>
  <c r="K87" i="11"/>
  <c r="N87" i="11" s="1"/>
  <c r="J87" i="11"/>
  <c r="Q123" i="11" s="1"/>
  <c r="M86" i="11"/>
  <c r="L86" i="11"/>
  <c r="K86" i="11"/>
  <c r="J86" i="11"/>
  <c r="N86" i="11" s="1"/>
  <c r="M85" i="11"/>
  <c r="L85" i="11"/>
  <c r="K85" i="11"/>
  <c r="J85" i="11"/>
  <c r="N85" i="11" s="1"/>
  <c r="M84" i="11"/>
  <c r="L84" i="11"/>
  <c r="K84" i="11"/>
  <c r="J84" i="11"/>
  <c r="N84" i="11" s="1"/>
  <c r="M83" i="11"/>
  <c r="L83" i="11"/>
  <c r="K83" i="11"/>
  <c r="J83" i="11"/>
  <c r="N83" i="11" s="1"/>
  <c r="M82" i="11"/>
  <c r="L82" i="11"/>
  <c r="N82" i="11" s="1"/>
  <c r="K82" i="11"/>
  <c r="J82" i="11"/>
  <c r="M81" i="11"/>
  <c r="L81" i="11"/>
  <c r="K81" i="11"/>
  <c r="N81" i="11" s="1"/>
  <c r="J81" i="11"/>
  <c r="N80" i="11"/>
  <c r="M80" i="11"/>
  <c r="L80" i="11"/>
  <c r="K80" i="11"/>
  <c r="J80" i="11"/>
  <c r="M79" i="11"/>
  <c r="L79" i="11"/>
  <c r="K79" i="11"/>
  <c r="J79" i="11"/>
  <c r="N79" i="11" s="1"/>
  <c r="M78" i="11"/>
  <c r="L78" i="11"/>
  <c r="K78" i="11"/>
  <c r="J78" i="11"/>
  <c r="N78" i="11" s="1"/>
  <c r="M77" i="11"/>
  <c r="L77" i="11"/>
  <c r="K77" i="11"/>
  <c r="J77" i="11"/>
  <c r="N77" i="11" s="1"/>
  <c r="M76" i="11"/>
  <c r="L76" i="11"/>
  <c r="K76" i="11"/>
  <c r="J76" i="11"/>
  <c r="N76" i="11" s="1"/>
  <c r="M75" i="11"/>
  <c r="L75" i="11"/>
  <c r="K75" i="11"/>
  <c r="J75" i="11"/>
  <c r="N75" i="11" s="1"/>
  <c r="M74" i="11"/>
  <c r="L74" i="11"/>
  <c r="N74" i="11" s="1"/>
  <c r="K74" i="11"/>
  <c r="J74" i="11"/>
  <c r="M73" i="11"/>
  <c r="L73" i="11"/>
  <c r="K73" i="11"/>
  <c r="N73" i="11" s="1"/>
  <c r="J73" i="11"/>
  <c r="N72" i="11"/>
  <c r="M72" i="11"/>
  <c r="L72" i="11"/>
  <c r="K72" i="11"/>
  <c r="J72" i="11"/>
  <c r="M71" i="11"/>
  <c r="T122" i="11" s="1"/>
  <c r="L71" i="11"/>
  <c r="K71" i="11"/>
  <c r="R122" i="11" s="1"/>
  <c r="J71" i="11"/>
  <c r="M70" i="11"/>
  <c r="L70" i="11"/>
  <c r="S122" i="11" s="1"/>
  <c r="K70" i="11"/>
  <c r="J70" i="11"/>
  <c r="Q122" i="11" s="1"/>
  <c r="M69" i="11"/>
  <c r="L69" i="11"/>
  <c r="K69" i="11"/>
  <c r="J69" i="11"/>
  <c r="N69" i="11" s="1"/>
  <c r="M68" i="11"/>
  <c r="L68" i="11"/>
  <c r="K68" i="11"/>
  <c r="J68" i="11"/>
  <c r="N68" i="11" s="1"/>
  <c r="M67" i="11"/>
  <c r="L67" i="11"/>
  <c r="K67" i="11"/>
  <c r="J67" i="11"/>
  <c r="N67" i="11" s="1"/>
  <c r="M66" i="11"/>
  <c r="L66" i="11"/>
  <c r="N66" i="11" s="1"/>
  <c r="K66" i="11"/>
  <c r="J66" i="11"/>
  <c r="M65" i="11"/>
  <c r="L65" i="11"/>
  <c r="K65" i="11"/>
  <c r="N65" i="11" s="1"/>
  <c r="J65" i="11"/>
  <c r="N64" i="11"/>
  <c r="M64" i="11"/>
  <c r="L64" i="11"/>
  <c r="K64" i="11"/>
  <c r="J64" i="11"/>
  <c r="M63" i="11"/>
  <c r="L63" i="11"/>
  <c r="K63" i="11"/>
  <c r="N63" i="11" s="1"/>
  <c r="J63" i="11"/>
  <c r="M62" i="11"/>
  <c r="L62" i="11"/>
  <c r="K62" i="11"/>
  <c r="J62" i="11"/>
  <c r="N62" i="11" s="1"/>
  <c r="M61" i="11"/>
  <c r="T121" i="11" s="1"/>
  <c r="L61" i="11"/>
  <c r="K61" i="11"/>
  <c r="J61" i="11"/>
  <c r="N61" i="11" s="1"/>
  <c r="M60" i="11"/>
  <c r="L60" i="11"/>
  <c r="K60" i="11"/>
  <c r="J60" i="11"/>
  <c r="N60" i="11" s="1"/>
  <c r="M59" i="11"/>
  <c r="L59" i="11"/>
  <c r="S121" i="11" s="1"/>
  <c r="K59" i="11"/>
  <c r="R121" i="11" s="1"/>
  <c r="J59" i="11"/>
  <c r="N59" i="11" s="1"/>
  <c r="M58" i="11"/>
  <c r="L58" i="11"/>
  <c r="N58" i="11" s="1"/>
  <c r="K58" i="11"/>
  <c r="J58" i="11"/>
  <c r="M57" i="11"/>
  <c r="L57" i="11"/>
  <c r="K57" i="11"/>
  <c r="N57" i="11" s="1"/>
  <c r="J57" i="11"/>
  <c r="N56" i="11"/>
  <c r="M56" i="11"/>
  <c r="L56" i="11"/>
  <c r="K56" i="11"/>
  <c r="J56" i="11"/>
  <c r="M55" i="11"/>
  <c r="L55" i="11"/>
  <c r="K55" i="11"/>
  <c r="J55" i="11"/>
  <c r="N55" i="11" s="1"/>
  <c r="M54" i="11"/>
  <c r="L54" i="11"/>
  <c r="K54" i="11"/>
  <c r="J54" i="11"/>
  <c r="N54" i="11" s="1"/>
  <c r="M53" i="11"/>
  <c r="L53" i="11"/>
  <c r="K53" i="11"/>
  <c r="J53" i="11"/>
  <c r="N53" i="11" s="1"/>
  <c r="M52" i="11"/>
  <c r="L52" i="11"/>
  <c r="K52" i="11"/>
  <c r="J52" i="11"/>
  <c r="N52" i="11" s="1"/>
  <c r="M51" i="11"/>
  <c r="L51" i="11"/>
  <c r="K51" i="11"/>
  <c r="J51" i="11"/>
  <c r="N51" i="11" s="1"/>
  <c r="M50" i="11"/>
  <c r="L50" i="11"/>
  <c r="N50" i="11" s="1"/>
  <c r="K50" i="11"/>
  <c r="J50" i="11"/>
  <c r="M49" i="11"/>
  <c r="L49" i="11"/>
  <c r="K49" i="11"/>
  <c r="N49" i="11" s="1"/>
  <c r="J49" i="11"/>
  <c r="N48" i="11"/>
  <c r="M48" i="11"/>
  <c r="L48" i="11"/>
  <c r="K48" i="11"/>
  <c r="J48" i="11"/>
  <c r="M47" i="11"/>
  <c r="T120" i="11" s="1"/>
  <c r="L47" i="11"/>
  <c r="S120" i="11" s="1"/>
  <c r="K47" i="11"/>
  <c r="R120" i="11" s="1"/>
  <c r="J47" i="11"/>
  <c r="Q120" i="11" s="1"/>
  <c r="M46" i="11"/>
  <c r="L46" i="11"/>
  <c r="K46" i="11"/>
  <c r="J46" i="11"/>
  <c r="N46" i="11" s="1"/>
  <c r="M45" i="11"/>
  <c r="L45" i="11"/>
  <c r="K45" i="11"/>
  <c r="J45" i="11"/>
  <c r="N45" i="11" s="1"/>
  <c r="M44" i="11"/>
  <c r="L44" i="11"/>
  <c r="K44" i="11"/>
  <c r="J44" i="11"/>
  <c r="N44" i="11" s="1"/>
  <c r="M43" i="11"/>
  <c r="L43" i="11"/>
  <c r="K43" i="11"/>
  <c r="J43" i="11"/>
  <c r="N43" i="11" s="1"/>
  <c r="M42" i="11"/>
  <c r="L42" i="11"/>
  <c r="N42" i="11" s="1"/>
  <c r="K42" i="11"/>
  <c r="J42" i="11"/>
  <c r="M41" i="11"/>
  <c r="T119" i="11" s="1"/>
  <c r="L41" i="11"/>
  <c r="S119" i="11" s="1"/>
  <c r="K41" i="11"/>
  <c r="N41" i="11" s="1"/>
  <c r="J41" i="11"/>
  <c r="Q119" i="11" s="1"/>
  <c r="N40" i="11"/>
  <c r="M40" i="11"/>
  <c r="L40" i="11"/>
  <c r="K40" i="11"/>
  <c r="J40" i="11"/>
  <c r="M39" i="11"/>
  <c r="L39" i="11"/>
  <c r="K39" i="11"/>
  <c r="J39" i="11"/>
  <c r="N39" i="11" s="1"/>
  <c r="M38" i="11"/>
  <c r="L38" i="11"/>
  <c r="K38" i="11"/>
  <c r="J38" i="11"/>
  <c r="N38" i="11" s="1"/>
  <c r="M37" i="11"/>
  <c r="L37" i="11"/>
  <c r="K37" i="11"/>
  <c r="J37" i="11"/>
  <c r="N37" i="11" s="1"/>
  <c r="M36" i="11"/>
  <c r="L36" i="11"/>
  <c r="K36" i="11"/>
  <c r="J36" i="11"/>
  <c r="N36" i="11" s="1"/>
  <c r="M35" i="11"/>
  <c r="L35" i="11"/>
  <c r="K35" i="11"/>
  <c r="J35" i="11"/>
  <c r="N35" i="11" s="1"/>
  <c r="M34" i="11"/>
  <c r="L34" i="11"/>
  <c r="N34" i="11" s="1"/>
  <c r="K34" i="11"/>
  <c r="J34" i="11"/>
  <c r="M33" i="11"/>
  <c r="L33" i="11"/>
  <c r="K33" i="11"/>
  <c r="N33" i="11" s="1"/>
  <c r="J33" i="11"/>
  <c r="N32" i="11"/>
  <c r="M32" i="11"/>
  <c r="L32" i="11"/>
  <c r="K32" i="11"/>
  <c r="J32" i="11"/>
  <c r="M31" i="11"/>
  <c r="L31" i="11"/>
  <c r="K31" i="11"/>
  <c r="R118" i="11" s="1"/>
  <c r="J31" i="11"/>
  <c r="N31" i="11" s="1"/>
  <c r="M30" i="11"/>
  <c r="L30" i="11"/>
  <c r="K30" i="11"/>
  <c r="J30" i="11"/>
  <c r="N30" i="11" s="1"/>
  <c r="M29" i="11"/>
  <c r="T118" i="11" s="1"/>
  <c r="L29" i="11"/>
  <c r="S118" i="11" s="1"/>
  <c r="K29" i="11"/>
  <c r="J29" i="11"/>
  <c r="Q118" i="11" s="1"/>
  <c r="M28" i="11"/>
  <c r="L28" i="11"/>
  <c r="K28" i="11"/>
  <c r="J28" i="11"/>
  <c r="N28" i="11" s="1"/>
  <c r="M27" i="11"/>
  <c r="L27" i="11"/>
  <c r="K27" i="11"/>
  <c r="J27" i="11"/>
  <c r="N27" i="11" s="1"/>
  <c r="M26" i="11"/>
  <c r="L26" i="11"/>
  <c r="N26" i="11" s="1"/>
  <c r="K26" i="11"/>
  <c r="J26" i="11"/>
  <c r="M25" i="11"/>
  <c r="L25" i="11"/>
  <c r="K25" i="11"/>
  <c r="N25" i="11" s="1"/>
  <c r="J25" i="11"/>
  <c r="N24" i="11"/>
  <c r="M24" i="11"/>
  <c r="L24" i="11"/>
  <c r="K24" i="11"/>
  <c r="J24" i="11"/>
  <c r="M23" i="11"/>
  <c r="L23" i="11"/>
  <c r="K23" i="11"/>
  <c r="N23" i="11" s="1"/>
  <c r="J23" i="11"/>
  <c r="M22" i="11"/>
  <c r="L22" i="11"/>
  <c r="K22" i="11"/>
  <c r="J22" i="11"/>
  <c r="N22" i="11" s="1"/>
  <c r="M21" i="11"/>
  <c r="T117" i="11" s="1"/>
  <c r="L21" i="11"/>
  <c r="K21" i="11"/>
  <c r="R117" i="11" s="1"/>
  <c r="J21" i="11"/>
  <c r="N21" i="11" s="1"/>
  <c r="M20" i="11"/>
  <c r="L20" i="11"/>
  <c r="S117" i="11" s="1"/>
  <c r="K20" i="11"/>
  <c r="J20" i="11"/>
  <c r="Q117" i="11" s="1"/>
  <c r="M19" i="11"/>
  <c r="L19" i="11"/>
  <c r="K19" i="11"/>
  <c r="J19" i="11"/>
  <c r="N19" i="11" s="1"/>
  <c r="M18" i="11"/>
  <c r="L18" i="11"/>
  <c r="N18" i="11" s="1"/>
  <c r="K18" i="11"/>
  <c r="J18" i="11"/>
  <c r="M17" i="11"/>
  <c r="L17" i="11"/>
  <c r="K17" i="11"/>
  <c r="N17" i="11" s="1"/>
  <c r="J17" i="11"/>
  <c r="N16" i="11"/>
  <c r="M16" i="11"/>
  <c r="L16" i="11"/>
  <c r="K16" i="11"/>
  <c r="J16" i="11"/>
  <c r="M15" i="11"/>
  <c r="L15" i="11"/>
  <c r="K15" i="11"/>
  <c r="R116" i="11" s="1"/>
  <c r="J15" i="11"/>
  <c r="M14" i="11"/>
  <c r="L14" i="11"/>
  <c r="K14" i="11"/>
  <c r="J14" i="11"/>
  <c r="N14" i="11" s="1"/>
  <c r="M13" i="11"/>
  <c r="T116" i="11" s="1"/>
  <c r="L13" i="11"/>
  <c r="S116" i="11" s="1"/>
  <c r="K13" i="11"/>
  <c r="J13" i="11"/>
  <c r="Q116" i="11" s="1"/>
  <c r="M12" i="11"/>
  <c r="L12" i="11"/>
  <c r="K12" i="11"/>
  <c r="J12" i="11"/>
  <c r="N12" i="11" s="1"/>
  <c r="M11" i="11"/>
  <c r="L11" i="11"/>
  <c r="K11" i="11"/>
  <c r="J11" i="11"/>
  <c r="N11" i="11" s="1"/>
  <c r="M10" i="11"/>
  <c r="L10" i="11"/>
  <c r="N10" i="11" s="1"/>
  <c r="K10" i="11"/>
  <c r="J10" i="11"/>
  <c r="M9" i="11"/>
  <c r="L9" i="11"/>
  <c r="K9" i="11"/>
  <c r="N9" i="11" s="1"/>
  <c r="J9" i="11"/>
  <c r="N8" i="11"/>
  <c r="M8" i="11"/>
  <c r="L8" i="11"/>
  <c r="K8" i="11"/>
  <c r="J8" i="11"/>
  <c r="M7" i="11"/>
  <c r="L7" i="11"/>
  <c r="K7" i="11"/>
  <c r="N7" i="11" s="1"/>
  <c r="J7" i="11"/>
  <c r="M6" i="11"/>
  <c r="L6" i="11"/>
  <c r="K6" i="11"/>
  <c r="J6" i="11"/>
  <c r="N6" i="11" s="1"/>
  <c r="M5" i="11"/>
  <c r="T115" i="11" s="1"/>
  <c r="L5" i="11"/>
  <c r="K5" i="11"/>
  <c r="J5" i="11"/>
  <c r="N5" i="11" s="1"/>
  <c r="M4" i="11"/>
  <c r="L4" i="11"/>
  <c r="K4" i="11"/>
  <c r="J4" i="11"/>
  <c r="N4" i="11" s="1"/>
  <c r="M3" i="11"/>
  <c r="L3" i="11"/>
  <c r="K3" i="11"/>
  <c r="R115" i="11" s="1"/>
  <c r="J3" i="11"/>
  <c r="N3" i="11" s="1"/>
  <c r="M2" i="11"/>
  <c r="M125" i="11" s="1"/>
  <c r="L2" i="11"/>
  <c r="S115" i="11" s="1"/>
  <c r="K2" i="11"/>
  <c r="K125" i="11" s="1"/>
  <c r="J2" i="11"/>
  <c r="J125" i="11" s="1"/>
  <c r="K125" i="10"/>
  <c r="Z124" i="10"/>
  <c r="Y124" i="10"/>
  <c r="T124" i="10"/>
  <c r="S124" i="10"/>
  <c r="Q124" i="10"/>
  <c r="O124" i="10"/>
  <c r="M124" i="10"/>
  <c r="Z123" i="10"/>
  <c r="Y123" i="10"/>
  <c r="T123" i="10"/>
  <c r="S123" i="10"/>
  <c r="Q123" i="10"/>
  <c r="O123" i="10"/>
  <c r="M123" i="10"/>
  <c r="Z122" i="10"/>
  <c r="Y122" i="10"/>
  <c r="T122" i="10"/>
  <c r="S122" i="10"/>
  <c r="Q122" i="10"/>
  <c r="O122" i="10"/>
  <c r="J122" i="10"/>
  <c r="Z121" i="10"/>
  <c r="Y121" i="10"/>
  <c r="T121" i="10"/>
  <c r="S121" i="10"/>
  <c r="Q121" i="10"/>
  <c r="O121" i="10"/>
  <c r="J121" i="10"/>
  <c r="AA120" i="10"/>
  <c r="Z120" i="10"/>
  <c r="Y120" i="10"/>
  <c r="T120" i="10"/>
  <c r="S120" i="10"/>
  <c r="Q120" i="10"/>
  <c r="O120" i="10"/>
  <c r="M120" i="10"/>
  <c r="Z119" i="10"/>
  <c r="Y119" i="10"/>
  <c r="T119" i="10"/>
  <c r="S119" i="10"/>
  <c r="Q119" i="10"/>
  <c r="O119" i="10"/>
  <c r="M119" i="10"/>
  <c r="Z118" i="10"/>
  <c r="Y118" i="10"/>
  <c r="X118" i="10"/>
  <c r="T118" i="10"/>
  <c r="S118" i="10"/>
  <c r="Q118" i="10"/>
  <c r="O118" i="10"/>
  <c r="M118" i="10"/>
  <c r="Y117" i="10"/>
  <c r="X117" i="10"/>
  <c r="S117" i="10"/>
  <c r="R117" i="10"/>
  <c r="Q117" i="10"/>
  <c r="O117" i="10"/>
  <c r="M117" i="10"/>
  <c r="Z116" i="10"/>
  <c r="Y116" i="10"/>
  <c r="T116" i="10"/>
  <c r="S116" i="10"/>
  <c r="R116" i="10"/>
  <c r="Q116" i="10"/>
  <c r="O116" i="10"/>
  <c r="J116" i="10"/>
  <c r="AA115" i="10"/>
  <c r="AA125" i="10" s="1"/>
  <c r="Z115" i="10"/>
  <c r="Y115" i="10"/>
  <c r="Y125" i="10" s="1"/>
  <c r="T115" i="10"/>
  <c r="S115" i="10"/>
  <c r="S125" i="10" s="1"/>
  <c r="Q115" i="10"/>
  <c r="Q125" i="10" s="1"/>
  <c r="O115" i="10"/>
  <c r="J115" i="10"/>
  <c r="O114" i="10"/>
  <c r="O113" i="10"/>
  <c r="J113" i="10"/>
  <c r="O112" i="10"/>
  <c r="J112" i="10"/>
  <c r="O111" i="10"/>
  <c r="M111" i="10"/>
  <c r="O110" i="10"/>
  <c r="J110" i="10"/>
  <c r="O109" i="10"/>
  <c r="J109" i="10"/>
  <c r="O108" i="10"/>
  <c r="M108" i="10"/>
  <c r="AA124" i="10" s="1"/>
  <c r="O107" i="10"/>
  <c r="J107" i="10"/>
  <c r="R124" i="10" s="1"/>
  <c r="O106" i="10"/>
  <c r="J106" i="10"/>
  <c r="O105" i="10"/>
  <c r="J105" i="10"/>
  <c r="O104" i="10"/>
  <c r="M104" i="10"/>
  <c r="O103" i="10"/>
  <c r="J103" i="10"/>
  <c r="O102" i="10"/>
  <c r="J102" i="10"/>
  <c r="O101" i="10"/>
  <c r="J101" i="10"/>
  <c r="O100" i="10"/>
  <c r="J100" i="10"/>
  <c r="O99" i="10"/>
  <c r="M99" i="10"/>
  <c r="O98" i="10"/>
  <c r="O97" i="10"/>
  <c r="O96" i="10"/>
  <c r="M96" i="10"/>
  <c r="O95" i="10"/>
  <c r="M95" i="10"/>
  <c r="O94" i="10"/>
  <c r="J94" i="10"/>
  <c r="O93" i="10"/>
  <c r="J93" i="10"/>
  <c r="O92" i="10"/>
  <c r="O91" i="10"/>
  <c r="J91" i="10"/>
  <c r="O90" i="10"/>
  <c r="J90" i="10"/>
  <c r="O89" i="10"/>
  <c r="J89" i="10"/>
  <c r="X123" i="10" s="1"/>
  <c r="O88" i="10"/>
  <c r="M88" i="10"/>
  <c r="O87" i="10"/>
  <c r="M87" i="10"/>
  <c r="U123" i="10" s="1"/>
  <c r="O86" i="10"/>
  <c r="J86" i="10"/>
  <c r="O85" i="10"/>
  <c r="J85" i="10"/>
  <c r="O84" i="10"/>
  <c r="O83" i="10"/>
  <c r="J83" i="10"/>
  <c r="O82" i="10"/>
  <c r="J82" i="10"/>
  <c r="O81" i="10"/>
  <c r="O80" i="10"/>
  <c r="O79" i="10"/>
  <c r="J79" i="10"/>
  <c r="O78" i="10"/>
  <c r="O77" i="10"/>
  <c r="O76" i="10"/>
  <c r="J76" i="10"/>
  <c r="O75" i="10"/>
  <c r="O74" i="10"/>
  <c r="O73" i="10"/>
  <c r="M73" i="10"/>
  <c r="U122" i="10" s="1"/>
  <c r="O72" i="10"/>
  <c r="J72" i="10"/>
  <c r="O71" i="10"/>
  <c r="AA122" i="10" s="1"/>
  <c r="O70" i="10"/>
  <c r="J70" i="10"/>
  <c r="X122" i="10" s="1"/>
  <c r="O69" i="10"/>
  <c r="M69" i="10"/>
  <c r="O68" i="10"/>
  <c r="J68" i="10"/>
  <c r="O67" i="10"/>
  <c r="J67" i="10"/>
  <c r="O66" i="10"/>
  <c r="M66" i="10"/>
  <c r="U121" i="10" s="1"/>
  <c r="O65" i="10"/>
  <c r="O64" i="10"/>
  <c r="O63" i="10"/>
  <c r="O62" i="10"/>
  <c r="AA121" i="10" s="1"/>
  <c r="O61" i="10"/>
  <c r="J61" i="10"/>
  <c r="O60" i="10"/>
  <c r="J60" i="10"/>
  <c r="O59" i="10"/>
  <c r="J59" i="10"/>
  <c r="R121" i="10" s="1"/>
  <c r="O58" i="10"/>
  <c r="O57" i="10"/>
  <c r="J57" i="10"/>
  <c r="O56" i="10"/>
  <c r="M56" i="10"/>
  <c r="O55" i="10"/>
  <c r="O54" i="10"/>
  <c r="M54" i="10"/>
  <c r="O53" i="10"/>
  <c r="J53" i="10"/>
  <c r="O52" i="10"/>
  <c r="M52" i="10"/>
  <c r="O51" i="10"/>
  <c r="O50" i="10"/>
  <c r="O49" i="10"/>
  <c r="M49" i="10"/>
  <c r="O48" i="10"/>
  <c r="J48" i="10"/>
  <c r="X120" i="10" s="1"/>
  <c r="O47" i="10"/>
  <c r="M47" i="10"/>
  <c r="U120" i="10" s="1"/>
  <c r="O46" i="10"/>
  <c r="M46" i="10"/>
  <c r="U119" i="10" s="1"/>
  <c r="O45" i="10"/>
  <c r="J45" i="10"/>
  <c r="O44" i="10"/>
  <c r="O43" i="10"/>
  <c r="J43" i="10"/>
  <c r="O42" i="10"/>
  <c r="AA119" i="10" s="1"/>
  <c r="O41" i="10"/>
  <c r="J41" i="10"/>
  <c r="R119" i="10" s="1"/>
  <c r="O40" i="10"/>
  <c r="M40" i="10"/>
  <c r="O39" i="10"/>
  <c r="J39" i="10"/>
  <c r="O38" i="10"/>
  <c r="M38" i="10"/>
  <c r="O37" i="10"/>
  <c r="M37" i="10"/>
  <c r="O36" i="10"/>
  <c r="M36" i="10"/>
  <c r="O35" i="10"/>
  <c r="M35" i="10"/>
  <c r="O34" i="10"/>
  <c r="M34" i="10"/>
  <c r="O33" i="10"/>
  <c r="M33" i="10"/>
  <c r="O32" i="10"/>
  <c r="M32" i="10"/>
  <c r="O31" i="10"/>
  <c r="J31" i="10"/>
  <c r="O30" i="10"/>
  <c r="J30" i="10"/>
  <c r="R118" i="10" s="1"/>
  <c r="O29" i="10"/>
  <c r="M29" i="10"/>
  <c r="U118" i="10" s="1"/>
  <c r="O28" i="10"/>
  <c r="L28" i="10"/>
  <c r="Z117" i="10" s="1"/>
  <c r="O27" i="10"/>
  <c r="O26" i="10"/>
  <c r="M26" i="10"/>
  <c r="O25" i="10"/>
  <c r="M25" i="10"/>
  <c r="O24" i="10"/>
  <c r="O23" i="10"/>
  <c r="M23" i="10"/>
  <c r="O22" i="10"/>
  <c r="M22" i="10"/>
  <c r="O21" i="10"/>
  <c r="M21" i="10"/>
  <c r="O20" i="10"/>
  <c r="M20" i="10"/>
  <c r="U117" i="10" s="1"/>
  <c r="O19" i="10"/>
  <c r="O18" i="10"/>
  <c r="M18" i="10"/>
  <c r="O17" i="10"/>
  <c r="O16" i="10"/>
  <c r="M16" i="10"/>
  <c r="O15" i="10"/>
  <c r="M15" i="10"/>
  <c r="U116" i="10" s="1"/>
  <c r="O14" i="10"/>
  <c r="X116" i="10" s="1"/>
  <c r="O13" i="10"/>
  <c r="AA116" i="10" s="1"/>
  <c r="O12" i="10"/>
  <c r="J12" i="10"/>
  <c r="O11" i="10"/>
  <c r="M11" i="10"/>
  <c r="O10" i="10"/>
  <c r="M10" i="10"/>
  <c r="O9" i="10"/>
  <c r="M9" i="10"/>
  <c r="O8" i="10"/>
  <c r="J8" i="10"/>
  <c r="O7" i="10"/>
  <c r="M7" i="10"/>
  <c r="O6" i="10"/>
  <c r="M6" i="10"/>
  <c r="O5" i="10"/>
  <c r="O4" i="10"/>
  <c r="J4" i="10"/>
  <c r="O3" i="10"/>
  <c r="M3" i="10"/>
  <c r="U115" i="10" s="1"/>
  <c r="O2" i="10"/>
  <c r="O125" i="10" s="1"/>
  <c r="J2" i="10"/>
  <c r="X115" i="10" s="1"/>
  <c r="X125" i="10" s="1"/>
  <c r="AB125" i="10" s="1"/>
  <c r="B19" i="8" a="1"/>
  <c r="B19" i="8" s="1"/>
  <c r="D18" i="8" a="1"/>
  <c r="D18" i="8" s="1"/>
  <c r="B18" i="8" a="1"/>
  <c r="B18" i="8" s="1"/>
  <c r="D17" i="8" a="1"/>
  <c r="D17" i="8" s="1"/>
  <c r="B17" i="8" a="1"/>
  <c r="B17" i="8" s="1"/>
  <c r="D16" i="8" a="1"/>
  <c r="D16" i="8" s="1"/>
  <c r="B16" i="8" a="1"/>
  <c r="B16" i="8" s="1"/>
  <c r="F15" i="8" a="1"/>
  <c r="F15" i="8" s="1"/>
  <c r="D15" i="8" a="1"/>
  <c r="D15" i="8" s="1"/>
  <c r="B15" i="8" a="1"/>
  <c r="B15" i="8" s="1"/>
  <c r="F14" i="8" a="1"/>
  <c r="F14" i="8" s="1"/>
  <c r="D14" i="8" a="1"/>
  <c r="D14" i="8" s="1"/>
  <c r="B14" i="8" a="1"/>
  <c r="B14" i="8" s="1"/>
  <c r="F13" i="8" a="1"/>
  <c r="F13" i="8" s="1"/>
  <c r="D13" i="8" a="1"/>
  <c r="D13" i="8" s="1"/>
  <c r="B13" i="8" a="1"/>
  <c r="B13" i="8" s="1"/>
  <c r="H12" i="8" a="1"/>
  <c r="H12" i="8" s="1"/>
  <c r="F12" i="8" a="1"/>
  <c r="F12" i="8" s="1"/>
  <c r="D12" i="8" a="1"/>
  <c r="D12" i="8" s="1"/>
  <c r="B12" i="8" a="1"/>
  <c r="B12" i="8" s="1"/>
  <c r="J11" i="8" a="1"/>
  <c r="J11" i="8" s="1"/>
  <c r="H11" i="8" a="1"/>
  <c r="H11" i="8" s="1"/>
  <c r="F11" i="8" a="1"/>
  <c r="F11" i="8" s="1"/>
  <c r="D11" i="8" a="1"/>
  <c r="D11" i="8" s="1"/>
  <c r="B11" i="8" a="1"/>
  <c r="B11" i="8" s="1"/>
  <c r="L10" i="8" a="1"/>
  <c r="L10" i="8" s="1"/>
  <c r="J10" i="8" a="1"/>
  <c r="J10" i="8" s="1"/>
  <c r="H10" i="8" a="1"/>
  <c r="H10" i="8" s="1"/>
  <c r="F10" i="8" a="1"/>
  <c r="F10" i="8" s="1"/>
  <c r="D10" i="8" a="1"/>
  <c r="D10" i="8" s="1"/>
  <c r="B10" i="8" a="1"/>
  <c r="B10" i="8" s="1"/>
  <c r="L9" i="8" a="1"/>
  <c r="L9" i="8" s="1"/>
  <c r="J9" i="8" a="1"/>
  <c r="J9" i="8" s="1"/>
  <c r="H9" i="8" a="1"/>
  <c r="H9" i="8" s="1"/>
  <c r="F9" i="8" a="1"/>
  <c r="F9" i="8" s="1"/>
  <c r="D9" i="8" a="1"/>
  <c r="D9" i="8" s="1"/>
  <c r="B9" i="8" a="1"/>
  <c r="B9" i="8" s="1"/>
  <c r="L8" i="8" a="1"/>
  <c r="L8" i="8"/>
  <c r="J8" i="8" a="1"/>
  <c r="J8" i="8"/>
  <c r="H8" i="8" a="1"/>
  <c r="H8" i="8"/>
  <c r="F8" i="8" a="1"/>
  <c r="F8" i="8"/>
  <c r="D8" i="8" a="1"/>
  <c r="D8" i="8" s="1"/>
  <c r="B8" i="8" a="1"/>
  <c r="B8" i="8"/>
  <c r="N7" i="8" a="1"/>
  <c r="N7" i="8" s="1"/>
  <c r="L7" i="8" a="1"/>
  <c r="L7" i="8"/>
  <c r="J7" i="8" a="1"/>
  <c r="J7" i="8"/>
  <c r="H7" i="8" a="1"/>
  <c r="H7" i="8"/>
  <c r="F7" i="8" a="1"/>
  <c r="F7" i="8" s="1"/>
  <c r="D7" i="8" a="1"/>
  <c r="D7" i="8"/>
  <c r="B7" i="8" a="1"/>
  <c r="B7" i="8"/>
  <c r="N6" i="8" a="1"/>
  <c r="N6" i="8"/>
  <c r="L6" i="8" a="1"/>
  <c r="L6" i="8"/>
  <c r="J6" i="8" a="1"/>
  <c r="J6" i="8"/>
  <c r="H6" i="8" a="1"/>
  <c r="H6" i="8" s="1"/>
  <c r="F6" i="8" a="1"/>
  <c r="F6" i="8"/>
  <c r="D6" i="8" a="1"/>
  <c r="D6" i="8"/>
  <c r="B6" i="8" a="1"/>
  <c r="B6" i="8"/>
  <c r="N5" i="8" a="1"/>
  <c r="N5" i="8" s="1"/>
  <c r="L5" i="8" a="1"/>
  <c r="L5" i="8" s="1"/>
  <c r="J5" i="8" a="1"/>
  <c r="J5" i="8"/>
  <c r="H5" i="8" a="1"/>
  <c r="H5" i="8"/>
  <c r="F5" i="8" a="1"/>
  <c r="F5" i="8" s="1"/>
  <c r="D5" i="8" a="1"/>
  <c r="D5" i="8" s="1"/>
  <c r="B5" i="8" a="1"/>
  <c r="B5" i="8"/>
  <c r="N4" i="8" a="1"/>
  <c r="N4" i="8"/>
  <c r="L4" i="8" a="1"/>
  <c r="L4" i="8"/>
  <c r="J4" i="8" a="1"/>
  <c r="J4" i="8"/>
  <c r="H4" i="8" a="1"/>
  <c r="H4" i="8" s="1"/>
  <c r="F4" i="8" a="1"/>
  <c r="F4" i="8"/>
  <c r="D4" i="8" a="1"/>
  <c r="D4" i="8"/>
  <c r="B4" i="8" a="1"/>
  <c r="B4" i="8"/>
  <c r="N3" i="8" a="1"/>
  <c r="N3" i="8"/>
  <c r="W12" i="8" s="1"/>
  <c r="L3" i="8" a="1"/>
  <c r="L3" i="8"/>
  <c r="J3" i="8" a="1"/>
  <c r="J3" i="8" s="1"/>
  <c r="H3" i="8" a="1"/>
  <c r="H3" i="8"/>
  <c r="T6" i="8" s="1"/>
  <c r="F3" i="8" a="1"/>
  <c r="F3" i="8"/>
  <c r="D3" i="8" a="1"/>
  <c r="D3" i="8"/>
  <c r="R11" i="8" s="1"/>
  <c r="B3" i="8" a="1"/>
  <c r="B3" i="8" s="1"/>
  <c r="L8" i="4"/>
  <c r="R7" i="4"/>
  <c r="Q7" i="4"/>
  <c r="P7" i="4"/>
  <c r="O7" i="4"/>
  <c r="N7" i="4"/>
  <c r="M7" i="4"/>
  <c r="L7" i="4"/>
  <c r="K7" i="4"/>
  <c r="J7" i="4"/>
  <c r="R6" i="4"/>
  <c r="Q6" i="4"/>
  <c r="P6" i="4"/>
  <c r="O6" i="4"/>
  <c r="N6" i="4"/>
  <c r="M6" i="4"/>
  <c r="L6" i="4"/>
  <c r="K6" i="4"/>
  <c r="J6" i="4"/>
  <c r="R5" i="4"/>
  <c r="Q5" i="4"/>
  <c r="P5" i="4"/>
  <c r="O5" i="4"/>
  <c r="N5" i="4"/>
  <c r="M5" i="4"/>
  <c r="L5" i="4"/>
  <c r="K5" i="4"/>
  <c r="J5" i="4"/>
  <c r="R4" i="4"/>
  <c r="Q4" i="4"/>
  <c r="P4" i="4"/>
  <c r="O4" i="4"/>
  <c r="N4" i="4"/>
  <c r="M4" i="4"/>
  <c r="L4" i="4"/>
  <c r="K4" i="4"/>
  <c r="J4" i="4"/>
  <c r="R3" i="4"/>
  <c r="Q3" i="4"/>
  <c r="P3" i="4"/>
  <c r="O3" i="4"/>
  <c r="N3" i="4"/>
  <c r="M3" i="4"/>
  <c r="L3" i="4"/>
  <c r="K3" i="4"/>
  <c r="J3" i="4"/>
  <c r="S2" i="4"/>
  <c r="R2" i="4"/>
  <c r="Q2" i="4"/>
  <c r="P2" i="4"/>
  <c r="O2" i="4"/>
  <c r="N2" i="4"/>
  <c r="M2" i="4"/>
  <c r="L2" i="4"/>
  <c r="K2" i="4"/>
  <c r="J2" i="4"/>
  <c r="J8" i="4" s="1"/>
  <c r="H8" i="4" s="1"/>
  <c r="G9" i="9"/>
  <c r="E7" i="9"/>
  <c r="F4" i="9"/>
  <c r="F9" i="9"/>
  <c r="G6" i="9"/>
  <c r="E4" i="9"/>
  <c r="E9" i="9"/>
  <c r="F6" i="9"/>
  <c r="G3" i="9"/>
  <c r="G8" i="9"/>
  <c r="E6" i="9"/>
  <c r="F3" i="9"/>
  <c r="F8" i="9"/>
  <c r="G5" i="9"/>
  <c r="E3" i="9"/>
  <c r="G10" i="9"/>
  <c r="E8" i="9"/>
  <c r="F5" i="9"/>
  <c r="G2" i="9"/>
  <c r="F10" i="9"/>
  <c r="G7" i="9"/>
  <c r="E5" i="9"/>
  <c r="F2" i="9"/>
  <c r="E10" i="9"/>
  <c r="F7" i="9"/>
  <c r="G4" i="9"/>
  <c r="E2" i="9"/>
  <c r="Q8" i="8" l="1"/>
  <c r="Q7" i="8"/>
  <c r="Q6" i="8"/>
  <c r="Q4" i="8"/>
  <c r="Q5" i="8"/>
  <c r="Q3" i="8"/>
  <c r="Q12" i="8"/>
  <c r="V9" i="8"/>
  <c r="V5" i="8"/>
  <c r="S6" i="8"/>
  <c r="T125" i="11"/>
  <c r="R12" i="8"/>
  <c r="S125" i="11"/>
  <c r="U11" i="8"/>
  <c r="U10" i="8"/>
  <c r="U12" i="8"/>
  <c r="U7" i="8"/>
  <c r="U6" i="8"/>
  <c r="W3" i="8"/>
  <c r="Z125" i="10"/>
  <c r="S7" i="8"/>
  <c r="T8" i="8"/>
  <c r="V10" i="8"/>
  <c r="V11" i="8"/>
  <c r="AA117" i="10"/>
  <c r="R122" i="10"/>
  <c r="L125" i="10"/>
  <c r="N13" i="11"/>
  <c r="N29" i="11"/>
  <c r="Q115" i="11"/>
  <c r="L125" i="11"/>
  <c r="N125" i="11" s="1"/>
  <c r="W8" i="8"/>
  <c r="W10" i="8"/>
  <c r="W11" i="8"/>
  <c r="X121" i="10"/>
  <c r="U124" i="10"/>
  <c r="U125" i="10" s="1"/>
  <c r="M125" i="10"/>
  <c r="N2" i="11"/>
  <c r="R119" i="11"/>
  <c r="R125" i="11" s="1"/>
  <c r="R123" i="11"/>
  <c r="V7" i="8"/>
  <c r="R120" i="10"/>
  <c r="AA123" i="10"/>
  <c r="X124" i="10"/>
  <c r="N15" i="11"/>
  <c r="N47" i="11"/>
  <c r="N71" i="11"/>
  <c r="Q124" i="11"/>
  <c r="R115" i="10"/>
  <c r="R125" i="10" s="1"/>
  <c r="T117" i="10"/>
  <c r="T125" i="10" s="1"/>
  <c r="AA118" i="10"/>
  <c r="X119" i="10"/>
  <c r="R123" i="10"/>
  <c r="N20" i="11"/>
  <c r="S3" i="8"/>
  <c r="R10" i="8"/>
  <c r="T12" i="8"/>
  <c r="Q121" i="11"/>
  <c r="T3" i="8"/>
  <c r="S5" i="8"/>
  <c r="S10" i="8"/>
  <c r="S11" i="8"/>
  <c r="N70" i="11"/>
  <c r="T9" i="8"/>
  <c r="T10" i="8"/>
  <c r="T11" i="8"/>
  <c r="V12" i="8"/>
  <c r="J125" i="10"/>
  <c r="Q125" i="11" l="1"/>
</calcChain>
</file>

<file path=xl/sharedStrings.xml><?xml version="1.0" encoding="utf-8"?>
<sst xmlns="http://schemas.openxmlformats.org/spreadsheetml/2006/main" count="4675" uniqueCount="1652">
  <si>
    <t>ID</t>
  </si>
  <si>
    <t>TITLE</t>
  </si>
  <si>
    <t>AUTHORS</t>
  </si>
  <si>
    <t>YEAR</t>
  </si>
  <si>
    <t>DOI</t>
  </si>
  <si>
    <t>P01</t>
  </si>
  <si>
    <t>Sustainability Design and Software: The Karlskrona Manifesto</t>
  </si>
  <si>
    <t>Christoph Becker, Ruzanna Chitchyan, Leticia Duboc, Steve Easterbrook, Birgit Penzenstadler, Norbert Seyff, Colin C. Venters</t>
  </si>
  <si>
    <t>10.1109/icse.2015.179</t>
  </si>
  <si>
    <t>P02</t>
  </si>
  <si>
    <t>Interdisciplinary Design Patterns for Socially Aware Computing</t>
  </si>
  <si>
    <t>Harun Baraki, Kurt Geihs, Christian Voigtmann, Axel Hoffmann, Romy Kniewel, Bjo ̈rn-Elmar Macek and Julia Zirfas</t>
  </si>
  <si>
    <t>10.1109/icse-seis.2019.00010</t>
  </si>
  <si>
    <t>P03</t>
  </si>
  <si>
    <t>The role of design thinking and physical prototyping in social software engineering</t>
  </si>
  <si>
    <t>Peter Newman, Maria Angela Ferrario, Will Simm, Stephen Forshaw, Adrian Friday, Jon Whittle</t>
  </si>
  <si>
    <t>10.1145/2889160.2889219</t>
  </si>
  <si>
    <t>P04</t>
  </si>
  <si>
    <t>On the role of value sensitive concerns in software engineering practice</t>
  </si>
  <si>
    <t>Balbir Barn, Ravinder Barn, Franco Raimondi​</t>
  </si>
  <si>
    <t>10.1145/3183428.3183437</t>
  </si>
  <si>
    <t>P05</t>
  </si>
  <si>
    <t>Engineering sustainability through language</t>
  </si>
  <si>
    <t>Ruzanna Chitchyan, Walter Cazzola, Awais Rashid​​</t>
  </si>
  <si>
    <t>10.1109/icse-seis.2019.00015</t>
  </si>
  <si>
    <t>P06</t>
  </si>
  <si>
    <t>Enabling the definition and enforcement of governance rules in open source systems</t>
  </si>
  <si>
    <t>Javier Luis Cánovas Izquierdo, Jordi Cabot</t>
  </si>
  <si>
    <t>10.1145/3183428.3183436</t>
  </si>
  <si>
    <t>P07</t>
  </si>
  <si>
    <t>AppCivist: a service-oriented software platform for socially sustainable activism</t>
  </si>
  <si>
    <t>Animesh Pathak, Valerie Issarny, James Holston​</t>
  </si>
  <si>
    <t>P08</t>
  </si>
  <si>
    <t>SOA4DM: applying an SOA paradigm to coordination in humanitarian disaster response</t>
  </si>
  <si>
    <t>Kelly Lyons, Christie Oh</t>
  </si>
  <si>
    <t>10.1109/icse-seis.2019.00014</t>
  </si>
  <si>
    <t>P09</t>
  </si>
  <si>
    <t>Managing emergent ethical concerns for software engineering in society</t>
  </si>
  <si>
    <t>Awais Rashid, Karenza Moore, Corinne May-Chahal, Ruzanna Chitchyan</t>
  </si>
  <si>
    <t>10.1109/icse.2015.181</t>
  </si>
  <si>
    <t>P10</t>
  </si>
  <si>
    <t>Dementia and social sustainability: challenges for software engineering</t>
  </si>
  <si>
    <t>Alistair Sutcliffe, Paul Rayson, Chris Bull, Pete Sawyer</t>
  </si>
  <si>
    <t>10.1109/icse-seis.2017.2</t>
  </si>
  <si>
    <t>P11</t>
  </si>
  <si>
    <t>Cognitively sustainable ICT with ubiquitous mobile services: challenges and opportunities</t>
  </si>
  <si>
    <t>Marcus Jägemar, Gordana Dodig Crnkovic​</t>
  </si>
  <si>
    <t>10.1109/icse-seis.2017.3</t>
  </si>
  <si>
    <t>P12</t>
  </si>
  <si>
    <t>Software energy profiling: comparing releases of a software product</t>
  </si>
  <si>
    <t>Erik A. Jagroep, Jan Martijn van der Werf, Giuseppe Procaccianti, Patricia Lago, Sjaak Brinkkemper, Leen Blom, Rob van Vliet</t>
  </si>
  <si>
    <t>10.1145/3377815.3381377</t>
  </si>
  <si>
    <t>P13</t>
  </si>
  <si>
    <t>Sustainability design in requirements engineering: state of practice</t>
  </si>
  <si>
    <t>Ruzanna Chitchyan, Walter Cazzola, Awais Rashid</t>
  </si>
  <si>
    <t>10.1109/icse-seis52602.2021.00012</t>
  </si>
  <si>
    <t>P14</t>
  </si>
  <si>
    <t>Sustainability debt: a portfolio-based approach for evaluating sustainability requirements in architectures</t>
  </si>
  <si>
    <t>Javier Garbajosa, José Ángel Sanz, Mikael Svahnberg, Jan Bosch</t>
  </si>
  <si>
    <t>10.1109/icse-seis.2019.00012</t>
  </si>
  <si>
    <t>P15</t>
  </si>
  <si>
    <t>Values-first SE: research principles in practice</t>
  </si>
  <si>
    <t>Maria Paasivaara, Casper Lassenius, Steven Fraser, Jürgen Münch, Kari Systä</t>
  </si>
  <si>
    <t>10.1145/2889160.2889216</t>
  </si>
  <si>
    <t>P16</t>
  </si>
  <si>
    <t>A guided tour of the legal implications of software cloning</t>
  </si>
  <si>
    <t>Paolo Ciancarini, Daniel Russo, Alberto Sillitti, Giancarlo Succi</t>
  </si>
  <si>
    <t>10.1109/icse-seis.2019.00011</t>
  </si>
  <si>
    <t>P17</t>
  </si>
  <si>
    <t>Engineering software assemblies for participatory democracy: the participatory budgeting use case</t>
  </si>
  <si>
    <t>James Holston, Valérie Issarny, Cristhian Parra</t>
  </si>
  <si>
    <t>10.1109/icse-seis.2017.8</t>
  </si>
  <si>
    <t>P18</t>
  </si>
  <si>
    <t>Software engineering and policy</t>
  </si>
  <si>
    <t>Anthony Finkelstein</t>
  </si>
  <si>
    <t>10.1145/3183428.3183434</t>
  </si>
  <si>
    <t>P19</t>
  </si>
  <si>
    <t>Characterising Sustainability Requirements: A New Species Red Herring or Just an Odd Fish?</t>
  </si>
  <si>
    <t>Colin C. Venters, Norbert Seyff, Christoph Becker, Stefanie Betz, Ruzanna Chitchyan, Leticia Duboc, Dan McIntyre, Birgit Penzenstadler</t>
  </si>
  <si>
    <t>10.1145/2889160.2889221</t>
  </si>
  <si>
    <t>P20</t>
  </si>
  <si>
    <t>Privacy Requirements: Present &amp; Future</t>
  </si>
  <si>
    <t>Pauline Anthonysamy, Awais Rashid, Ruzanna Chitchyan</t>
  </si>
  <si>
    <t>10.1145/3377815.3381380</t>
  </si>
  <si>
    <t>P21</t>
  </si>
  <si>
    <t>Preparing Research Projects for Sustainable Software Engineering in Society</t>
  </si>
  <si>
    <t>Dominik Renzel, István Koren, Ralf Klamma, Matthias Jarke</t>
  </si>
  <si>
    <t>10.1109/icse-seis.2017.10</t>
  </si>
  <si>
    <t>P22</t>
  </si>
  <si>
    <t>Understanding How Software Can Support the Needs of Family Caregivers for Patients with Severe Conditions</t>
  </si>
  <si>
    <t>Angela di Fiore, Francesco Ceschel, Francesca Fiore, Marcos Baez, Fabio Casati, Giampaolo Armellin</t>
  </si>
  <si>
    <t>10.1145/3183428.3183438</t>
  </si>
  <si>
    <t>P23</t>
  </si>
  <si>
    <t>Portinari: A Data Exploration Tool to Personalize Cervical Cancer Screening</t>
  </si>
  <si>
    <t>Sagar Sen, Manoel Horta Ribeiro, Raquel C. de Melo Minardi, Wagner Meira Jr., Mari Nygård</t>
  </si>
  <si>
    <t>10.1109/icse-seis52602.2021.00009</t>
  </si>
  <si>
    <t>P24</t>
  </si>
  <si>
    <t>Deploying Large Scale School Census Hub: An Experience Report</t>
  </si>
  <si>
    <t>Andrew Kinai, Juliet Mutahi, Karumba Samuel, Komminist Weldemariam</t>
  </si>
  <si>
    <t>10.1109/icse-seis52602.2021.00014</t>
  </si>
  <si>
    <t>P25</t>
  </si>
  <si>
    <t>Crowdsourced Exploration of Mobile App Features: A Case Study of the Fort McMurray Wildfire</t>
  </si>
  <si>
    <t>Maleknaz Nayebi, Rachel Quapp, Guenther Ruhe, Mahshid Marbouti, Frank Maurer</t>
  </si>
  <si>
    <t>10.1145/2889160.2889218</t>
  </si>
  <si>
    <t>P26</t>
  </si>
  <si>
    <t>Leveraging the Service Bus Paradigm for Computer-Mediated Social Communication Interoperability</t>
  </si>
  <si>
    <t>Rafael Angarita, Nikolaos Georgantas, Cristhian Parra, James Holston, Valérie Issarny</t>
  </si>
  <si>
    <t>10.1109/icse-seis55304.2022.9793931</t>
  </si>
  <si>
    <t>P27</t>
  </si>
  <si>
    <t>Awakening Awareness on Energy Consumption in Software Engineering</t>
  </si>
  <si>
    <t>Erik Jagroep, Jordy Broekman, Jan Martijn E.M. van der Werf, Sjaak Brinkkemper, Patricia Lago, Leen Blom, Rob van Vliet</t>
  </si>
  <si>
    <t>10.1109/icse.2015.182</t>
  </si>
  <si>
    <t>P28</t>
  </si>
  <si>
    <t>Software Heritage: Why and How We Collect, Preserve and Share All the Software Source Code</t>
  </si>
  <si>
    <t>Roberto Di Cosmo</t>
  </si>
  <si>
    <t>10.1145/3183428.3183435</t>
  </si>
  <si>
    <t>P29</t>
  </si>
  <si>
    <t>The Role of Foundations in Open Source Projects</t>
  </si>
  <si>
    <t>10.1109/icse-seis52602.2021.00016</t>
  </si>
  <si>
    <t>P30</t>
  </si>
  <si>
    <t>User Feedback in the App Store: A Cross-Cultural Study</t>
  </si>
  <si>
    <t>Emitza Guzman, Luís Oliveira, Yves Steiner, Laura C. Wagner, Martin Glinz</t>
  </si>
  <si>
    <t>10.1109/icse-seis52602.2021.00018</t>
  </si>
  <si>
    <t>P31</t>
  </si>
  <si>
    <t>Assistive Computing: A Human-Centered Approach to Developing Computing Support for Cognition</t>
  </si>
  <si>
    <t>Simon Harper, Sean Bechhofer, Carsten Maple, Colin P. Perera, Dave Green, Andy Brown</t>
  </si>
  <si>
    <t>10.1109/icse-seis.2017.4</t>
  </si>
  <si>
    <t>P32</t>
  </si>
  <si>
    <t>Agile Development for Vulnerable Populations: Lessons Learned and Recommendations</t>
  </si>
  <si>
    <t>Marcos Baez, Fabio Casati</t>
  </si>
  <si>
    <t>10.1145/3377815.3381375</t>
  </si>
  <si>
    <t>P33</t>
  </si>
  <si>
    <t>Digitalization of Swedish Government Agencies - A Perspective Through the Lens of a Software Development Census</t>
  </si>
  <si>
    <t>Markus Borg, omas Olsson, Ulrik Franke, Sa ̈ıd Assar</t>
  </si>
  <si>
    <t>10.1109/icse.2015.187</t>
  </si>
  <si>
    <t>P34</t>
  </si>
  <si>
    <t>Contracting Agile Developments for Mission Critical Systems in the Public Sector</t>
  </si>
  <si>
    <t>Daniel Russo, Gerolamo Taccogna, Paolo Ciancarini, Angelo Messina, Giancarlo Succi</t>
  </si>
  <si>
    <t>10.1145/3183428.3183431</t>
  </si>
  <si>
    <t>P35</t>
  </si>
  <si>
    <t>Resolving Ambiguities in Regulations: Towards Achieving the Kohlbergian Stage of Principled Morality</t>
  </si>
  <si>
    <t>Smita Ghaisas, Abhishek Sainani, Preethu Rose</t>
  </si>
  <si>
    <t>10.1145/3183428.3183430</t>
  </si>
  <si>
    <t>P36</t>
  </si>
  <si>
    <t>SE in ES: Opportunities for Software Engineering and Cloud Computing in Environmental Science</t>
  </si>
  <si>
    <t>W.A. Simm, F. Samreen, R. Bassett, M.A. Ferrario, G. Blair, J. Whittle, P.J. Young</t>
  </si>
  <si>
    <t>10.1109/icse.2015.180</t>
  </si>
  <si>
    <t>P37</t>
  </si>
  <si>
    <t>Towards a Unified Conceptual Model for Surveillance Theories: "We Shall Meet in the Place Where There is no Darkness" - 1984, George Orwell</t>
  </si>
  <si>
    <t>Balbir S. Barn, Ravinder Barn</t>
  </si>
  <si>
    <t>10.1145/3377815.3381378</t>
  </si>
  <si>
    <t>P38</t>
  </si>
  <si>
    <t>Competence-Confidence Gap: A Threat to Female Developers' Contribution on GitHub</t>
  </si>
  <si>
    <t>Zhendong Wang, Yi Wang, David Redmiles</t>
  </si>
  <si>
    <t>10.1109/icse-seis55304.2022.9794009</t>
  </si>
  <si>
    <t>P39</t>
  </si>
  <si>
    <t>Digital Ecclesia: Towards an Online Direct-Democracy Framework</t>
  </si>
  <si>
    <t>Dionysis Athanasopoulos</t>
  </si>
  <si>
    <t>10.1109/icse.2015.188</t>
  </si>
  <si>
    <t>P40</t>
  </si>
  <si>
    <t>Gender Diversity and Women in Software Teams: How Do They Affect Community Smells?</t>
  </si>
  <si>
    <t>Gemma Catolino, Fabio Palomba, Damian A. Tamburri, Alexander Serebrenik, Filomena Ferrucci</t>
  </si>
  <si>
    <t>10.1145/2889160.2889220</t>
  </si>
  <si>
    <t>P41</t>
  </si>
  <si>
    <t>Trust Beyond Computation Alone: Human Aspects of Trust in Blockchain Technologies</t>
  </si>
  <si>
    <t>Barnaby Craggs, Awais Rashid</t>
  </si>
  <si>
    <t>10.1145/3183428.3183439</t>
  </si>
  <si>
    <t>P42</t>
  </si>
  <si>
    <t>An Anatomy of Security Conversations in Stack Overflow</t>
  </si>
  <si>
    <t>Tamara Lopez, Thein Tun, Arosha Bandara, Mark Levine, Bashar Nuseibeh, Helen Sharp​</t>
  </si>
  <si>
    <t>10.1145/3183428.3183433</t>
  </si>
  <si>
    <t>P43</t>
  </si>
  <si>
    <t>Software Engineering in Civic Tech A Case Study about Code for Ireland</t>
  </si>
  <si>
    <t>Antti Knutas, Victoria Palacin, Giovanni Maccani, Markus Helfert</t>
  </si>
  <si>
    <t>10.1109/icse-seis52602.2021.00019</t>
  </si>
  <si>
    <t>P44</t>
  </si>
  <si>
    <t>Beyond the Code Itself: How Programmers Really Look at Pull Requests</t>
  </si>
  <si>
    <t>Denae Ford, Mahnaz Behroozi, Alexander Serebrenik, Chris Parnin</t>
  </si>
  <si>
    <t>10.1109/icse-seis55304.2022.9793992</t>
  </si>
  <si>
    <t>P45</t>
  </si>
  <si>
    <t>Architecture Design Decision Maps for Software Sustainability</t>
  </si>
  <si>
    <t>Patricia Lago, Ivano Malavolta, Paris Avgeriou, Henry Muccini, Alexander Serebrenik, Damian Andrew Tamburri, Gianluca Reggio​</t>
  </si>
  <si>
    <t>10.1109/icse-seis55304.2022.9794118</t>
  </si>
  <si>
    <t>P46</t>
  </si>
  <si>
    <t>Building Trust in the Untrustable</t>
  </si>
  <si>
    <t>Emilia Cioroaica, Barbora Buhnova, Thomas Kuhn, Daniel Schneider</t>
  </si>
  <si>
    <t>10.1145/3377815.3381372</t>
  </si>
  <si>
    <t>P47</t>
  </si>
  <si>
    <t>Debugging Hiring: What Went Right and What Went Wrong in the Technical Interview Process</t>
  </si>
  <si>
    <t>Mahnaz (Mana) Behroozi, Shivani Shirolkar, Titus Barik, Chris Parnin</t>
  </si>
  <si>
    <t>10.1145/3377815.3381379</t>
  </si>
  <si>
    <t>P48</t>
  </si>
  <si>
    <t>Deep Learning for Smart Sewer Systems: Assessing Nonfunctional Requirements</t>
  </si>
  <si>
    <t>Hemanth Gudaparthi, Reese Johnson, Harshitha Challa, Nan Niu</t>
  </si>
  <si>
    <t>10.1145/3377815.3381381</t>
  </si>
  <si>
    <t>P49</t>
  </si>
  <si>
    <t>Designing Edutainment Software for Digital Skills Nurturing of Preschoolers. A Method Proposal.</t>
  </si>
  <si>
    <t>Adriana-Mihaela Guran, Grigoreta Sofia Cojocar, Anamaria Moldovan</t>
  </si>
  <si>
    <t>10.1109/icse.2015.184</t>
  </si>
  <si>
    <t>P50</t>
  </si>
  <si>
    <t>Developing Software for Motivating Individuals with Intellectual Disabilities to do Outdoor Physical Activity</t>
  </si>
  <si>
    <t>Juan C Torrado, Ida Wold, Letizia Jaccheri, Susanna Pelagatti, Stefano Chessa, Javier Gomez, Gunnar Hartvigsen, Henriette Michalsen</t>
  </si>
  <si>
    <t>10.1109/icse.2015.185</t>
  </si>
  <si>
    <t>P51</t>
  </si>
  <si>
    <t>From Abstract Specifications to Application Generation</t>
  </si>
  <si>
    <t>José Miguel Pérez-Álvarez, Adrian Mos</t>
  </si>
  <si>
    <t>10.1109/icse.2015.189</t>
  </si>
  <si>
    <t>P52</t>
  </si>
  <si>
    <t>From RE Cares to SE Cares: Software Engineering for Social Good, One Venue at a Time</t>
  </si>
  <si>
    <t>Alex Dekhtyar, Jane Hayes, Jennifer Horkoff, Gunter Mussbacher, Irit Hadar, Meira Levy, Tingting Yu, Jared Payne, Barbara Paech, Kim Youngjoon, Jo Eunjung, Heo Seungbum, Kim Youngjoon, Kim Youngjoon, Kim Youngjoon</t>
  </si>
  <si>
    <t>10.1109/icse-seis.2017.5</t>
  </si>
  <si>
    <t>P53</t>
  </si>
  <si>
    <t>How layered reuse can support harmful micropolitics: SAP ERP in surgery planning</t>
  </si>
  <si>
    <t>Dzifa Ametowobla, Lutz Prechelt</t>
  </si>
  <si>
    <t>10.1109/icse-seis.2017.9</t>
  </si>
  <si>
    <t>P54</t>
  </si>
  <si>
    <t>Human Behaviour Centered Design: Developing a Software System for Cultural Heritage</t>
  </si>
  <si>
    <t>Julie Dugdale, Mahyar Tourchi Moghaddam, Henry Muccini</t>
  </si>
  <si>
    <t>10.1145/3377815.3381376</t>
  </si>
  <si>
    <t>P55</t>
  </si>
  <si>
    <t>Is Using Deep Learning Frameworks Free? Characterizing Technical Debt in Deep Learning Frameworks</t>
  </si>
  <si>
    <t>Jiakun Liu, Qiao Huang, Xin Xia, Emad Shihab, David Lo, Shanping Li</t>
  </si>
  <si>
    <t>10.1109/icse-seis52602.2021.00011</t>
  </si>
  <si>
    <t>P56</t>
  </si>
  <si>
    <t>Refactoring Community Smells in the Wild: The Practitioner’s Field Manual</t>
  </si>
  <si>
    <t>Gemma Catolino, Fabio Palomba, Damian Andrew Tamburri, Alexander Serebrenik, Filomena Ferrucci</t>
  </si>
  <si>
    <t>10.1109/icse-seis58686.2023.00024</t>
  </si>
  <si>
    <t>P57</t>
  </si>
  <si>
    <t>Society-Oriented Applications Development: Investigating Users' Values from Bangladeshi Agriculture Mobile Applications</t>
  </si>
  <si>
    <t>Rifat Ara Shams, Waqar Hussain, Gillian Oliver, Harsha Perera, Arif Nurwidyantoro, Jon Whittle</t>
  </si>
  <si>
    <t>10.1145/3639475.3640111</t>
  </si>
  <si>
    <t>P58</t>
  </si>
  <si>
    <t>Exploring the Role of Creativity in Software Engineering</t>
  </si>
  <si>
    <t>Wouter Groeneveld, Laurens Luyten, Joost Vennekens, Kris Aerts​​</t>
  </si>
  <si>
    <t>10.1109/icse.2015.183</t>
  </si>
  <si>
    <t>P59</t>
  </si>
  <si>
    <t>Awareness and Perception of Agile in Saudi Software Industry</t>
  </si>
  <si>
    <t>Fahad S Altuwaijri, Maria Angela Ferrario</t>
  </si>
  <si>
    <t>10.1109/icse-seis.2019.00013</t>
  </si>
  <si>
    <t>P60</t>
  </si>
  <si>
    <t>Résumé-Driven Development: A Definition and Empirical Characterization</t>
  </si>
  <si>
    <t>Sourav Bhattacharya, Pallavi Sharma, Sachin Kumar</t>
  </si>
  <si>
    <t>10.1109/icse-seis52602.2021.00013</t>
  </si>
  <si>
    <t>P61</t>
  </si>
  <si>
    <t>A First Look at Human Values-Violation in App Reviews</t>
  </si>
  <si>
    <t>Humphrey O. Obie, Waqar Hussain, Xin Xia, John Grundy, Li Li, Burak Turhan, Jon Whittle, Mojtaba Shahin</t>
  </si>
  <si>
    <t>10.1109/icse-seis52602.2021.00015</t>
  </si>
  <si>
    <t>P62</t>
  </si>
  <si>
    <t>Investigating the Potential Impact of Values on Requirements and Software Engineering</t>
  </si>
  <si>
    <t>Soo Ling Lim, M. Ali Babar, Ross Jeffery, Bjorn Decreus</t>
  </si>
  <si>
    <t>10.1109/icse-seis55304.2022.9793879</t>
  </si>
  <si>
    <t>P63</t>
  </si>
  <si>
    <t>COVID-19 vs Social Media Apps: Does Privacy Really Matter?</t>
  </si>
  <si>
    <t>J. A. Goguen, S. Marsh, J. Waterson, M. A. Ferrario, W. Simm, W. Hussain, T. Nabity-Grover, C. M. Cheung, J. B. Thatcher, N. Ahmed, R. A. Michelin, W. Xue, S. Ruj</t>
  </si>
  <si>
    <t>10.1109/icse-seis55304.2022.9794121</t>
  </si>
  <si>
    <t>P64</t>
  </si>
  <si>
    <t>QFL: Data-Driven Feedback Loop to Manage Quality in Agile Development</t>
  </si>
  <si>
    <t>Lidia López, Antonin Ahbervé, Alessandra Bagnato, Xavier Franch​​</t>
  </si>
  <si>
    <t>10.1109/icse-seis55304.2022.9794013</t>
  </si>
  <si>
    <t>P65</t>
  </si>
  <si>
    <t>Does Culture Matter? Impact of Individualism and Uncertainty Avoidance on App Reviews</t>
  </si>
  <si>
    <t>Fischer, Ricarda Anna-Lena and Walczuch, Rita and Guzman, Emitza</t>
  </si>
  <si>
    <t>10.1109/icse-seis55304.2022.9794012</t>
  </si>
  <si>
    <t>P66</t>
  </si>
  <si>
    <t>Understanding Community Smells Variability: A Statistical Approach</t>
  </si>
  <si>
    <t>Catolino, Gemma and Palomba, Fabio and Tamburri, Damian A. and Serebrenik, Alexander</t>
  </si>
  <si>
    <t>10.1109/icse-seis58686.2023.00011</t>
  </si>
  <si>
    <t>P67</t>
  </si>
  <si>
    <t>Understanding Emotions of Developer Community Towards Software Documentation</t>
  </si>
  <si>
    <t>Akhila Sri Manasa Venigalla, Sridhar Chimalakonda​</t>
  </si>
  <si>
    <t>10.1109/icse-seis58686.2023.00013</t>
  </si>
  <si>
    <t>P68</t>
  </si>
  <si>
    <t>Image-Based Social Sensing: Combining AI and the Crowd to Mine Policy-Adherence Indicators from Twitter</t>
  </si>
  <si>
    <t>Omar Haggag, Sherif Haggag, John Grundy, Mohamed Abdelrazek</t>
  </si>
  <si>
    <t>10.1109/icse-seis58686.2023.00017</t>
  </si>
  <si>
    <t>P69</t>
  </si>
  <si>
    <t>A New Approach Towards Ensuring Gender Inclusive SE Job Advertisements</t>
  </si>
  <si>
    <t>Bianca Trinkenreich, Ricardo Britto, Marco A. Gerosa, Igor Steinmacher</t>
  </si>
  <si>
    <t>10.1109/icse-seis58686.2023.00019</t>
  </si>
  <si>
    <t>P70</t>
  </si>
  <si>
    <t>A Review of How Whistleblowing is Studied in Software Engineering, and the Implications for Research and Practice</t>
  </si>
  <si>
    <t>Lucy Hunt, Maria Angela Ferrario</t>
  </si>
  <si>
    <t>10.1109/icse-seis58686.2023.00025</t>
  </si>
  <si>
    <t>P71</t>
  </si>
  <si>
    <t>An empirical investigation on the challenges faced by women in the software industry: A case study</t>
  </si>
  <si>
    <t>Alice Allen, Alexander A. Gorshenev, Timur M. Mukhametzyanov, Sarah Sharp, Alexander Serebrenik</t>
  </si>
  <si>
    <t>10.1109/icse-seis.2017.7</t>
  </si>
  <si>
    <t>P72</t>
  </si>
  <si>
    <t>Attracting and retaining oss contributors with a maintainer dashboard</t>
  </si>
  <si>
    <t>Mariam Guizani, Thomas Zimmermann, Anita Sarma, Denae Ford</t>
  </si>
  <si>
    <t>10.1145/3377815.3381374</t>
  </si>
  <si>
    <t>P73</t>
  </si>
  <si>
    <t>Detecting interpersonal conflict in issues and code review: cross pollinating open-and closed-source approaches</t>
  </si>
  <si>
    <t>Yijun Yu, Arosha Bandara, Bashar Nuseibeh</t>
  </si>
  <si>
    <t>10.1109/icse-seis52602.2021.00010</t>
  </si>
  <si>
    <t>P74</t>
  </si>
  <si>
    <t>DRESS-ML: A domain-specific language for modelling exceptional scenarios and self-adaptive behaviours for drone-based applications</t>
  </si>
  <si>
    <t>Lucas Alves, José Davi Pereira, Natália Aragão, Matheus Chagas, Paulo Henrique Maia</t>
  </si>
  <si>
    <t>10.1109/icse-seis55304.2022.9793933</t>
  </si>
  <si>
    <t>P75</t>
  </si>
  <si>
    <t>Good fences make good neighbours? on the impact of cultural and geographical dispersion on community smells</t>
  </si>
  <si>
    <t>Stefano Lambiase, Gemma Catolino, Damian A. Tamburri, Alexander Serebrenik, Fabio Palomba, Filomena Ferrucci</t>
  </si>
  <si>
    <t>10.1109/icse-seis55304.2022.9794018</t>
  </si>
  <si>
    <t>P76</t>
  </si>
  <si>
    <t>How are diverse end-user human-centric issues discussed on GitHub?</t>
  </si>
  <si>
    <t>H. K. Dam, B. T. R. Savarimuthu, D. Avery, A. Ghose</t>
  </si>
  <si>
    <t>10.1109/icse-seis58686.2023.00007</t>
  </si>
  <si>
    <t>P77</t>
  </si>
  <si>
    <t>How to debug inclusivity bugs? a debugging process with information architecture</t>
  </si>
  <si>
    <t>Mariam Guizani, Igor Steinmacher, Jillian Emard, Abrar Fallatah, Margaret Burnett, Anita Sarma</t>
  </si>
  <si>
    <t>10.1109/icse-seis58686.2023.00008</t>
  </si>
  <si>
    <t>P78</t>
  </si>
  <si>
    <t>Impact of animated objects on autistic and non-autistic users</t>
  </si>
  <si>
    <t>Marco A. Gerosa, Bianca Trinkenreich, Igor Steinmacher</t>
  </si>
  <si>
    <t>10.1109/icse-seis58686.2023.00012</t>
  </si>
  <si>
    <t>P79</t>
  </si>
  <si>
    <t>Lowering barriers to application development with cloud-native domain-specific functions</t>
  </si>
  <si>
    <t>José Miguel Pérez-Álvarez, Adrian Mos, Benjamin V. Hanrahan, Iyadunni J. Adenuga</t>
  </si>
  <si>
    <t>10.1109/icse-seis58686.2023.00018</t>
  </si>
  <si>
    <t>P80</t>
  </si>
  <si>
    <t>Open Data Inclusion through Narrative Approaches</t>
  </si>
  <si>
    <t>Josephine Harringer, Eva-Lotta Sallnäs Pysander, Thomas Hellström</t>
  </si>
  <si>
    <t>10.1109/icse.2015.186</t>
  </si>
  <si>
    <t>P81</t>
  </si>
  <si>
    <t>Perceptions of the State of D&amp;I and D&amp;I Initiative in the ASF</t>
  </si>
  <si>
    <t>Mariam Guizani, Bianca Trinkenreich, Aileen Abril Castro-Guzman, Igor Steinmacher, Marco Gerosa, Anita Sarma</t>
  </si>
  <si>
    <t>10.1145/2889160.2889215</t>
  </si>
  <si>
    <t>P82</t>
  </si>
  <si>
    <t>Scratch as social network: topic modeling and sentiment analysis in scratch projects</t>
  </si>
  <si>
    <t>Isabella Graßl, Gordon Fraser</t>
  </si>
  <si>
    <t>10.1109/icse-seis.2017.6</t>
  </si>
  <si>
    <t>P83</t>
  </si>
  <si>
    <t>Software engineers' response to public crisis: lessons learnt from spontaneously building an informative COVID-19 dashboard</t>
  </si>
  <si>
    <t>Han Wang, Chao Wu, Chunyang Chen, Burak Turhan, Shiping Chen, Jon Whittle</t>
  </si>
  <si>
    <t>10.1145/3238147.3241985</t>
  </si>
  <si>
    <t>P84</t>
  </si>
  <si>
    <t>Why do projects join the Apache Software Foundation?</t>
  </si>
  <si>
    <t>10.1145/3183428.3183432</t>
  </si>
  <si>
    <t>P85</t>
  </si>
  <si>
    <t>Worldwide gender differences in public code contributions: and how they have been affected by the covid-19 pandemic</t>
  </si>
  <si>
    <t>Davide Rossi, Stefano Zacchiroli</t>
  </si>
  <si>
    <t>10.1109/icse-seis55304.2022.9793895</t>
  </si>
  <si>
    <t>P100</t>
  </si>
  <si>
    <t>Contradicting Motivations in Civic Tech Software Development: Analysis of a Grassroots Project</t>
  </si>
  <si>
    <t>Antti Knutas, Dominik Siemon, Natasha Tylosky</t>
  </si>
  <si>
    <t>10.1109/icse-seis55304.2022.9794024</t>
  </si>
  <si>
    <t>P101</t>
  </si>
  <si>
    <t>Software Engineering for Smart Things in Public Spaces: Initial Insights and Challenges</t>
  </si>
  <si>
    <t>Amna Batool, Seng W. Loke, Niroshinie Fernando, Jonathan Kua</t>
  </si>
  <si>
    <t>10.1109/icse-seis58686.2023.00009</t>
  </si>
  <si>
    <t>P102</t>
  </si>
  <si>
    <t>A Novel Approach to Improving the Digital Literacy of Older Adults</t>
  </si>
  <si>
    <t>Mehr Vaswani, Dharini Balasubramaniam, Kenneth Boyd</t>
  </si>
  <si>
    <t>10.1109/icse-seis58686.2023.00014</t>
  </si>
  <si>
    <t>P103</t>
  </si>
  <si>
    <r>
      <rPr>
        <u/>
        <sz val="12"/>
        <color theme="1"/>
        <rFont val="Calibri, sans-serif"/>
      </rPr>
      <t>Values@Runtime: An Adaptive Framework for Operationalising Values</t>
    </r>
  </si>
  <si>
    <t>Amel Bennaceur, Diane Hassett, Bashar Nuseibeh, Andrea Zisman</t>
  </si>
  <si>
    <t>10.1109/icse-seis58686.2023.00015</t>
  </si>
  <si>
    <t>P104</t>
  </si>
  <si>
    <t>Gender Representation Among Contributors to Open-Source Infrastructure : An Analysis of 20 Package Manager Ecosystems</t>
  </si>
  <si>
    <t>Huilian Sophie Qiu, Zihe H. Zhao, Tiffany K. Yu, Justin Wang, Andy Ma, Hongbo Fang</t>
  </si>
  <si>
    <t>10.1109/icse-seis58686.2023.00020</t>
  </si>
  <si>
    <t>P105</t>
  </si>
  <si>
    <t>Workplace Discrimination in Software Engineering: Where We Stand Today</t>
  </si>
  <si>
    <t>Xin Zhao, Riley Young</t>
  </si>
  <si>
    <t>10.1109/icse-seis58686.2023.00023</t>
  </si>
  <si>
    <t>P86</t>
  </si>
  <si>
    <t>Designing for Cognitive Diversity: Improving the GitHub Experience for Newcomers</t>
  </si>
  <si>
    <t>Italo Santos, Joao Felipe Pimentel, Igor Wiese, Igor Steinmacher, Anita Sarma, Marco Aurelio Gerosa</t>
  </si>
  <si>
    <t>10.1109/icse-seis58686.2023.00026</t>
  </si>
  <si>
    <t>P87</t>
  </si>
  <si>
    <t>Security Thinking in Online Freelance Software Development</t>
  </si>
  <si>
    <t>Irum Rauf, Marian Petre, Thein Tun, Tamara Lopez, Bashar Nuseibeh</t>
  </si>
  <si>
    <t>10.1145/3639475.3640112</t>
  </si>
  <si>
    <t>P88</t>
  </si>
  <si>
    <t>Fundamentalists, Integrationists, &amp; Transformationists: An Empirical Theory of Men Software Engineers’ Orientations in Gender Inequalities</t>
  </si>
  <si>
    <t>Yi Wang, Kexin Zhao, Travis Green, Qinghua Lu</t>
  </si>
  <si>
    <t>10.1145/3639475.3640105</t>
  </si>
  <si>
    <t>P89</t>
  </si>
  <si>
    <t>Draw a Software Engineer Test - An Investigation into Children’s Perceptions of Software Engineering Profession</t>
  </si>
  <si>
    <t>Letizia Jaccheri, Claudia Maria Cutrupi, Irene Zanardi</t>
  </si>
  <si>
    <t>10.1145/3639475.3640114</t>
  </si>
  <si>
    <t>P90</t>
  </si>
  <si>
    <t>Benefits and Limitations of Remote Work to LGBTQIA+ Software Professionals</t>
  </si>
  <si>
    <t>Ronnie de Souza Santos, Cleyton Vanut Cordeiro de Magalhães, Paul Ralph</t>
  </si>
  <si>
    <t>10.5220/0011991200003488</t>
  </si>
  <si>
    <t>P91</t>
  </si>
  <si>
    <t>Hackathons as Inclusive Spaces for Prototyping Software in Open Social Innovation with NGOs</t>
  </si>
  <si>
    <t>Kiev Gama, George Valenca, Candy Estelle Marques Laurendon, Ajo Nasidi Marques, Lu is Eduardo Ramos, Ravena Amaral, Clarissa Maria Dubeux Lopes Barros, Guilherme Xavier</t>
  </si>
  <si>
    <t>10.1201/9781315368665-2</t>
  </si>
  <si>
    <t>P92</t>
  </si>
  <si>
    <t>Along the Margins: Marginalized Communities’ Ethical Concerns about Social Platforms</t>
  </si>
  <si>
    <t>Lauren Olson, Emitzá Guzmán, Florian Kunneman</t>
  </si>
  <si>
    <t>10.1145/3183428.3183429</t>
  </si>
  <si>
    <t>P93</t>
  </si>
  <si>
    <t>Do Users Act Equitably? Understanding User Bias Through a Large In-person Study</t>
  </si>
  <si>
    <t>Yang Liu, Heather Moses, Mark Sternefeld, Samuel Malachowsky, Daniel E. Krutz</t>
  </si>
  <si>
    <t>10.1007/978-3-030-50506-6_17</t>
  </si>
  <si>
    <t>P94</t>
  </si>
  <si>
    <t>Developing Software for Low Socio-Economic End Users: Lessons Learned from A Case Study of Fisherfolk Communities in Bangladesh</t>
  </si>
  <si>
    <t>Tanjila Kanij, Misita Zhan, Md Khalid Hossain, Adnan Abdul-Mageed</t>
  </si>
  <si>
    <t>10.1109/re.2018.00057</t>
  </si>
  <si>
    <t>P95</t>
  </si>
  <si>
    <t>Walking Down the Road to Independent Mobility: An Adaptive Route Training System for the Cognitively Impaired</t>
  </si>
  <si>
    <t>Konstantin Rink, Tristan Gruschka, Gudrun Dobslaw</t>
  </si>
  <si>
    <t>10.1109/icse-companion52605.2021.00086</t>
  </si>
  <si>
    <t>P96</t>
  </si>
  <si>
    <t>Diversity Awareness in Software Engineering Participant Research</t>
  </si>
  <si>
    <t>Riya Dutta, Diego Elias Costa, Emad Shihab, Torsten Tajmel</t>
  </si>
  <si>
    <t>10.1109/icse-seis55304.2022.9793874</t>
  </si>
  <si>
    <t>P97</t>
  </si>
  <si>
    <t>Harmful Terms in Computing: Towards Widespread Detection and Correction</t>
  </si>
  <si>
    <t>Hana Winchester, Alicia E. Boyd, Brittany Johnson</t>
  </si>
  <si>
    <t>10.1109/icse-seis55304.2022.9793939</t>
  </si>
  <si>
    <t>P98</t>
  </si>
  <si>
    <t>Metamorphic Testing and Debugging of Tax Preparation Software</t>
  </si>
  <si>
    <t>Saeid Tizpaz-Niari, Verya Monjezi, Markus Wagner, Sam Darian, Kimberly Reed, Ashutosh Trivedi</t>
  </si>
  <si>
    <t>10.1109/icse-seis55304.2022.9793869</t>
  </si>
  <si>
    <t>P99</t>
  </si>
  <si>
    <t>Treat societally impactful scientific insights as open-source software artifacts</t>
  </si>
  <si>
    <t>Cynthia C. S. Liem, Andrew M. Demetriou</t>
  </si>
  <si>
    <t>10.1109/icse-seis55304.2022.9793995</t>
  </si>
  <si>
    <t>P106</t>
  </si>
  <si>
    <t>With Great Humor Comes Great Developer Engagement</t>
  </si>
  <si>
    <t>D. Tiwari; T. Toady; M. Monperrus; B. Baudry</t>
  </si>
  <si>
    <t>10.1109/icse-seis55304.2022.9793554</t>
  </si>
  <si>
    <t>P107</t>
  </si>
  <si>
    <t>Energy Patterns for Web: An Exploratory Study</t>
  </si>
  <si>
    <t>P. Rani; J. Zellweger; V. Kousadianos; L. Cruz; T. Kehrer; A. Bacchelli</t>
  </si>
  <si>
    <t>10.1109/icse-seis58686.2023.00010</t>
  </si>
  <si>
    <t>P108</t>
  </si>
  <si>
    <t>Micro-inequities and immigration backgrounds in the software industry</t>
  </si>
  <si>
    <t>V. Markulj; K. Aslam; E. Guzmán</t>
  </si>
  <si>
    <t>10.1109/icse-seis58686.2023.00016</t>
  </si>
  <si>
    <t>P109</t>
  </si>
  <si>
    <t>Alexa, is the skill always safe? Uncover Lenient Skill Vetting Process and Protect User Privacy at Run Time</t>
  </si>
  <si>
    <t>T. Le; D. Zhao; Z. Wang; X. Wang; Y. Tian</t>
  </si>
  <si>
    <t>10.1109/icse-seis58686.2023.00021</t>
  </si>
  <si>
    <t>P110</t>
  </si>
  <si>
    <t>An Empirical Study on Compliance with Ranking Transparency in the Software Documentation of EU Online Platforms</t>
  </si>
  <si>
    <t>F. Sovrano; M. Lognoul; A. Bacchelli</t>
  </si>
  <si>
    <t>10.1109/icse-seis58686.2023.00022</t>
  </si>
  <si>
    <t>P111</t>
  </si>
  <si>
    <t>Challenges, Strengths, and Strategies of Software Engineers with ADHD: A Case Study</t>
  </si>
  <si>
    <t>G. Liebel; N. Langlois; K. Gama</t>
  </si>
  <si>
    <t>10.1145/3639475.3640099</t>
  </si>
  <si>
    <t>P112</t>
  </si>
  <si>
    <t>Exposing Algorithmic Discrimination and Its Consequences in Modern Society: Insights from a Scoping Study</t>
  </si>
  <si>
    <t>R. S. Dehal; M. Sharma; R. de Souza Santos</t>
  </si>
  <si>
    <t>10.1145/3639475.3640110</t>
  </si>
  <si>
    <t>P113</t>
  </si>
  <si>
    <t>Dealing With Cultural Dispersion: a Novel Theoretical Framework for Software Engineering Research and Practice</t>
  </si>
  <si>
    <t>S. Lambiase; G. Catolino; B. Della Piana; F. Ferrucci; F. Palomba</t>
  </si>
  <si>
    <t>10.1145/3639475.3640101</t>
  </si>
  <si>
    <t>P114</t>
  </si>
  <si>
    <t>Beyond Self-Promotion: How Software Engineering Research Is Discussed on LinkedIn</t>
  </si>
  <si>
    <t>M. Wyrich; J. Bogner</t>
  </si>
  <si>
    <t>10.1145/3639475.3640102</t>
  </si>
  <si>
    <t>P115</t>
  </si>
  <si>
    <t>Impostor Phenomenon in Software Engineers</t>
  </si>
  <si>
    <t>P. Guenes; R. Tomaz; M. Kalinowski; M. T. Baldassarre; M. -A. Storey</t>
  </si>
  <si>
    <t>10.1145/3639475.3640107</t>
  </si>
  <si>
    <t>P116</t>
  </si>
  <si>
    <t>Exploring Assessment Criteria for Sustainable Software Engineering Processes</t>
  </si>
  <si>
    <t>M. Wahler; N. Seyff; M. S. S. Ramirez</t>
  </si>
  <si>
    <t>10.1145/3639475.3640098</t>
  </si>
  <si>
    <t>P117</t>
  </si>
  <si>
    <t>Adaptive User Interfaces for Software Supporting Chronic Disease</t>
  </si>
  <si>
    <t>W. Wang; H. Khalajzadeh; J. Grundy; A. Madugalla; H. O. Obie</t>
  </si>
  <si>
    <t>10.1145/3639475.3640113</t>
  </si>
  <si>
    <t>P118</t>
  </si>
  <si>
    <t>A Synthesis of Green Architectural Tactics for ML-Enabled Systems</t>
  </si>
  <si>
    <t>H. Järvenpää; P. Lago; J. Bogner; G. Lewis; H. Muccini; I. Ozkaya</t>
  </si>
  <si>
    <t>10.1145/3639475.3640109</t>
  </si>
  <si>
    <t>P119</t>
  </si>
  <si>
    <t>Greening Large Language Models of Code</t>
  </si>
  <si>
    <t>J. Shi; Z. Yang; H. J. Kang; B. Xu; J. He; D. Lo</t>
  </si>
  <si>
    <t>10.1145/3639475.3640104</t>
  </si>
  <si>
    <t>P120</t>
  </si>
  <si>
    <t>Navigating the Path of Women in Software Engineering: From Academia to Industry</t>
  </si>
  <si>
    <t>T. Oliveira; A. Barcomb; R. de Souza Santos; H. Barros; M. T. Baldassarre; C. França</t>
  </si>
  <si>
    <t>10.1145/3639475.3640100</t>
  </si>
  <si>
    <t>P121</t>
  </si>
  <si>
    <t>Early Career Software Developers -Are You Sinking or Swimming?</t>
  </si>
  <si>
    <t>X. Zhao; N. Tsuboi</t>
  </si>
  <si>
    <t>10.1145/3639475.3640106</t>
  </si>
  <si>
    <t>P122</t>
  </si>
  <si>
    <t>Towards Engineering Fair and Equitable Software Systems for Managing Low-Altitude Airspace Authorizations</t>
  </si>
  <si>
    <t>U. Gohar; M. C. Hunter; A. Marczak-Czajka; R. R. Lutz; M. B. Cohen; J. Cleland-Huang</t>
  </si>
  <si>
    <t>10.1145/3639475.3640103</t>
  </si>
  <si>
    <t>P123</t>
  </si>
  <si>
    <t>What Can Requirements Engineering Do for Emerging System of Systems? Case of Smart Local Energy</t>
  </si>
  <si>
    <t>R. Chitchyan</t>
  </si>
  <si>
    <t>10.1145/3639475.3640108</t>
  </si>
  <si>
    <t>CITATIONS (SORTED)</t>
  </si>
  <si>
    <t>10.1145/3377815.3381382</t>
  </si>
  <si>
    <r>
      <rPr>
        <u/>
        <sz val="12"/>
        <color theme="1"/>
        <rFont val="Calibri, sans-serif"/>
      </rPr>
      <t>Values@Runtime: An Adaptive Framework for Operationalising Values</t>
    </r>
  </si>
  <si>
    <t>Year</t>
  </si>
  <si>
    <t>Citations</t>
  </si>
  <si>
    <t>Grand Total</t>
  </si>
  <si>
    <t>TYPE</t>
  </si>
  <si>
    <t>REASON</t>
  </si>
  <si>
    <t>Total Papers</t>
  </si>
  <si>
    <t>Type</t>
  </si>
  <si>
    <t>Evaluation Research</t>
  </si>
  <si>
    <t>Assesses the acceptance and efficacy of green software engineering methods, classifying it as evaluation research.</t>
  </si>
  <si>
    <t>Proposal of Solution</t>
  </si>
  <si>
    <t>Provides design patterns for incorporating social awareness into computing systems, hence proposing a solution.</t>
  </si>
  <si>
    <t>This paper evaluates the impact of software engineering practices on many areas of sustainability, and it is classified as evaluation research.</t>
  </si>
  <si>
    <t>Opinion Paper</t>
  </si>
  <si>
    <t>This article analyzes the role of value-sensitive issues in software engineering practice. It falls under evaluation research because it investigates a problem in practice and its implications.</t>
  </si>
  <si>
    <t>Philosophical Paper</t>
  </si>
  <si>
    <t>This paper proposes introducing sustainability considerations into programming languages as a solution.</t>
  </si>
  <si>
    <t>Validation Research</t>
  </si>
  <si>
    <t>This document proposes a governance framework for sustainable software engineering and serves as a solution.</t>
  </si>
  <si>
    <t>Personal Experience Paper</t>
  </si>
  <si>
    <t>This paper proposes a solution for allowing social activism using service-oriented architecture.</t>
  </si>
  <si>
    <t>This work provides an innovative approach for disaster management coordination, which is classified as a solution proposal.</t>
  </si>
  <si>
    <t>This evaluation research article focuses on addressing emerging ethical dilemmas in software engineering and presents iterative frameworks based on real-world projects.</t>
  </si>
  <si>
    <t>This is an opinion piece that discusses the junction of dementia care and software engineering.</t>
  </si>
  <si>
    <t>Discusses difficulties and provides new frameworks for sustainable ICT; classified as a philosophical article.</t>
  </si>
  <si>
    <t>Examines the properties of a suggested solution and classifies it as validation research.</t>
  </si>
  <si>
    <t>This study evaluates current sustainable design approaches in requirements engineering, making it an assessment research work.</t>
  </si>
  <si>
    <t>Offers a solution for evaluating sustainability requirements, hence proposing a solution.</t>
  </si>
  <si>
    <t>This paper is a philosophical study that examines the role of values in software engineering.</t>
  </si>
  <si>
    <t>Discusses legal implications and frameworks, which fall under the area of philosophical papers.</t>
  </si>
  <si>
    <t>Evaluates a practical application of participatory democracy and classifies it as evaluation research.</t>
  </si>
  <si>
    <t>Provides thoughts on the role of software engineering in policy formulation, falling under the category of opinion paper.</t>
  </si>
  <si>
    <t>Evaluates sustainable design methods in software architecture, which falls under the topic of evaluation research.</t>
  </si>
  <si>
    <t>This document proposes a solution for better integrating ethics into software engineering and is classified as a solution proposal.</t>
  </si>
  <si>
    <t>This document discusses the preparation for sustainable software engineering, which falls under the topic of evaluation research.</t>
  </si>
  <si>
    <t>This evaluation research paper examines how software can help family caregivers.</t>
  </si>
  <si>
    <t>Proposes options for coordinating sustainability in software engineering, which fall under the heading of solution proposal.</t>
  </si>
  <si>
    <t>Shares personal experiences from implementing a large-scale project, which falls under the genre of a personal experience paper.</t>
  </si>
  <si>
    <t>This article evaluates a specific catastrophe response utilizing software tools.</t>
  </si>
  <si>
    <t>This paper proposes a middleware solution for interoperability, serving as a solution suggestion.</t>
  </si>
  <si>
    <t>Examines ways for increasing awareness of energy consumption in software, classifying it as validation research.</t>
  </si>
  <si>
    <t>Proposes a solution for software legacy and preservation, hence creating a solution proposal.</t>
  </si>
  <si>
    <t>The importance of foundations in open source initiatives.This paper evaluates the influence and roles of foundations in open source projects, which falls under the area of evaluation research.</t>
  </si>
  <si>
    <t>This paper evaluates the impact of software engineering practices on social aspects and falls under the category of evaluation research.</t>
  </si>
  <si>
    <t>This paper is a solution suggestion for developing assistive computing technologies.</t>
  </si>
  <si>
    <t>This article shares personal experiences with agile development for vulnerable populations.</t>
  </si>
  <si>
    <t>This document investigates software engineering methods and approaches, classifying them as validation research.</t>
  </si>
  <si>
    <t>Discusses evaluation of various software engineering approaches, which falls under the subject of evaluation research.</t>
  </si>
  <si>
    <t>Proposes approaches for resolving ambiguity in software engineering and classifies them as solution proposals.</t>
  </si>
  <si>
    <t>Focuses on analyzing agile processes and their implications, which falls under the topic of assessment research.</t>
  </si>
  <si>
    <t>An evaluation of integrating ethics in software engineering, classified as evaluation research.</t>
  </si>
  <si>
    <t>Discusses the validation of specific software engineering methodologies, classifying them as validation research.</t>
  </si>
  <si>
    <t>The document proposes a framework for online direct democracy as a potential solution.</t>
  </si>
  <si>
    <t>Assesses the implementation and impact of specific software engineering methods, resulting in evaluation study.</t>
  </si>
  <si>
    <t>This is a philosophical work that discusses the human aspects of trust in blockchain technologies.</t>
  </si>
  <si>
    <t>Validation research on Stack Overflow's support for secure coding techniques.</t>
  </si>
  <si>
    <t>Examines the issues and implications of adopting design patterns in software engineering, resulting in assessment study.</t>
  </si>
  <si>
    <t>This document proposes techniques for enhancing sustainability in software engineering processes and is classified as a solution proposal.</t>
  </si>
  <si>
    <t>Proposes a framework for sustainable software architecture as a solution.</t>
  </si>
  <si>
    <t>Since it investigates the ways to build trust in inherently unreliable systems, this work is classified as evaluation research.</t>
  </si>
  <si>
    <t>Offering a personal viewpoint on an issue within software engineering, this paper is best classified as an opinion paper.</t>
  </si>
  <si>
    <t>This paper validates the robustness of recurrent neural networks (RNNs) in predicting sewer overflows under conditions of missing data, which categorizes it as validation research.</t>
  </si>
  <si>
    <t>Because it assesses the real-world application and impact of a proposed solution, this paper is identified as evaluation research.</t>
  </si>
  <si>
    <t>By focusing on the effectiveness of a software tool designed to encourage physical activity among individuals with intellectual disabilities, this paper fits into the validation research category.</t>
  </si>
  <si>
    <t>This paper is categorized as a proposal of solution because it introduces a novel technique within the field of software engineering.</t>
  </si>
  <si>
    <t>Classified as a proposal of solution, this paper introduces an initiative that seeks to embed socially impactful projects within software engineering conferences.</t>
  </si>
  <si>
    <t>As this paper explores the theoretical underpinnings of layered reuse in software engineering, it is categorized as a philosophical paper.</t>
  </si>
  <si>
    <t>Classified as a personal experience paper, this work provides a detailed account of the authors’ practical experiences in applying a particular solution.</t>
  </si>
  <si>
    <t>This paper evaluates the prevalence and types of technical debt in popular deep learning frameworks, assessing the impact on both framework developers and application developers, classifying it as evaluation research.</t>
  </si>
  <si>
    <t>Empirical testing is conducted in this paper to verify a proposed system's effectiveness, making it fall under validation research.</t>
  </si>
  <si>
    <t>This paper, which seeks to validate the effectiveness of a proposed solution through pilot studies, is categorized as validation research.</t>
  </si>
  <si>
    <t>This is a philosophical/theoretical work that explores the importance of creativity in software engineering.</t>
  </si>
  <si>
    <t>This document evaluates specific approaches in software engineering and falls under the area of evaluation research.</t>
  </si>
  <si>
    <t>This document proposes a novel strategy or framework in software engineering and is classified as a solution proposal.</t>
  </si>
  <si>
    <t>The paper examines the violation of human values in mobile app evaluations using natural language processing techniques. This falls under validation research as it validates a method for detecting value violations in app reviews.</t>
  </si>
  <si>
    <t>This document proposes a novel solution or method in software engineering.</t>
  </si>
  <si>
    <t>This document proposes a framework for specific difficulties in software engineering and is classified as a solution proposal.</t>
  </si>
  <si>
    <t>This document proposes ways for improving software engineering practices and serves as a solution proposal.</t>
  </si>
  <si>
    <t>Examines the validation of various software engineering methodologies, classifying it as validation research.</t>
  </si>
  <si>
    <t>This article discusses theoretical topics in software engineering, making it a philosophical paper.</t>
  </si>
  <si>
    <t>Assesses developer feelings towards software documentation for assessment study.</t>
  </si>
  <si>
    <t>This document proposes a solution for utilizing ICTs in catastrophe resilience and climate change adaptation.</t>
  </si>
  <si>
    <t>Valdiation of job description via a variety of methods</t>
  </si>
  <si>
    <t>Provide reflections on the distribution of responsibilities regarding whistlebliowing in SE practice</t>
  </si>
  <si>
    <t>Conduct a survey and provide insights based on responses</t>
  </si>
  <si>
    <t>evaluates the approach together with mainteiners</t>
  </si>
  <si>
    <t>valdiates 2 tools</t>
  </si>
  <si>
    <t>a domain specific language</t>
  </si>
  <si>
    <t>empirical evaluation</t>
  </si>
  <si>
    <t>case study</t>
  </si>
  <si>
    <t>evaluation of an approach</t>
  </si>
  <si>
    <t>The document proposes a framework for promoting open data inclusion and suggests potential solutions.</t>
  </si>
  <si>
    <t>This document proposes a novel technique or solution in software engineering and is classified as a solution proposal.</t>
  </si>
  <si>
    <t>This paper proposes solutions for topic modeling and sentiment analysis in Scratch projects.</t>
  </si>
  <si>
    <t>This document proposes a framework for certain software engineering difficulties, hence proposing a solution.</t>
  </si>
  <si>
    <t>Assesses the reasons and benefits of projects joining the Apache Software Foundation, classifying it as evaluation research.</t>
  </si>
  <si>
    <t>Provides a theoretical framework for combining scientific concepts with software engineering techniques, falling under the genre of philosophical papers.</t>
  </si>
  <si>
    <t>This document proposes a way to improve certain areas of software engineering.</t>
  </si>
  <si>
    <t>This study discusses theoretical frameworks for gender inequalities among software engineers and falls under the genre of philosophical papers.</t>
  </si>
  <si>
    <t>This paper evaluates children's perceptions of the software engineering profession and falls under the category of evaluation research.</t>
  </si>
  <si>
    <t>Shares personal experiences of LGBTQIA+ software professionals, which fall under the heading of an experience report.</t>
  </si>
  <si>
    <t>This document evaluates the inclusivity and effectiveness of hackathons and is classified as evaluation study.</t>
  </si>
  <si>
    <t>Discusses the validation of software engineering methodologies, which is classified as validation research.</t>
  </si>
  <si>
    <t>Conducts an in-person study to investigate user biases, hence validating the research.</t>
  </si>
  <si>
    <t>This is an experience report based on a case study.</t>
  </si>
  <si>
    <t>Proposes a framework or strategy for a specific problem in software engineering, essentially proposing a solution.</t>
  </si>
  <si>
    <t>This file investigates software engineering methods and approaches, categorizing them as validation research.</t>
  </si>
  <si>
    <t>Proposes solutions for detecting and correcting harmful terms in computing, hence proposing a solution.</t>
  </si>
  <si>
    <t>A theoretical framework for integrating scientific insights with software engineering techniques, classified as a philosophical study.</t>
  </si>
  <si>
    <t>This study report evaluates the impact of software engineering approaches on civic tech development.</t>
  </si>
  <si>
    <t>This document evaluates the problems and initial insights of engineering software for smart objects in public spaces. It falls under the topic of evaluation research.</t>
  </si>
  <si>
    <t>This paper proposes an innovative method to digital literacy instruction for older individuals, classified as a solution suggestion.</t>
  </si>
  <si>
    <r>
      <rPr>
        <u/>
        <sz val="12"/>
        <color rgb="FF0000FF"/>
        <rFont val="Calibri, sans-serif"/>
      </rPr>
      <t>Values@Runtime: An Adaptive Framework for Operationalising Values</t>
    </r>
  </si>
  <si>
    <t>Assesses software engineering approaches for specific difficulties, resulting in an assessment study.</t>
  </si>
  <si>
    <t>This document proposes ways for improving areas of software engineering and serves as a solution suggestion.</t>
  </si>
  <si>
    <t>Shares experiences and the present situation of workplace discrimination in software engineering, which falls under the category of an experience report.</t>
  </si>
  <si>
    <t>Analysis of commits</t>
  </si>
  <si>
    <t>validate 2 energy patterns</t>
  </si>
  <si>
    <t>survey and implications</t>
  </si>
  <si>
    <t>analyze Alexa’s voice app ecosystem (i.e.,Alexa skills), focusing on behavior manipulation (also referred to
as skill behavior change).</t>
  </si>
  <si>
    <t>First, we empirically evaluate the compliance of six major platforms (Amazon,Bing, Booking, Google, Tripadvisor, and Yahoo), revealing substantial differences in their documentation. Second, we introduce and test automated compliance assessment tools based on ChatGPT and information retrieval technology.</t>
  </si>
  <si>
    <t>case study -&gt; guidelines</t>
  </si>
  <si>
    <t>scoping study</t>
  </si>
  <si>
    <t>framework</t>
  </si>
  <si>
    <t>empirical -&gt; insights</t>
  </si>
  <si>
    <t>farmeowrk and its usage in one company via case study</t>
  </si>
  <si>
    <t>tactics</t>
  </si>
  <si>
    <t>propose Avatar, a novel approach that crafts a deployable model from a large language model of code by optimizing it in terms of model size, inference latency, energy consumption, and carbon footprint while maintaining a comparable level of ef-
fectiveness</t>
  </si>
  <si>
    <t>cross sectional survey + guidelines</t>
  </si>
  <si>
    <t>empirical -- questionnaire</t>
  </si>
  <si>
    <t>exploring stakeholder perspectives</t>
  </si>
  <si>
    <t>KEYWORDS</t>
  </si>
  <si>
    <t>SOURCE</t>
  </si>
  <si>
    <t>Sustainability, Cross-disciplinary Initiative, Current Practice and Future Steps, Karlskrona Manifesto for Sustainability Design ,Software Engineering</t>
  </si>
  <si>
    <t>No, Absract</t>
  </si>
  <si>
    <t>Design Patterns, Interdisciplinary, Social Compatibility, User Acceptance, Legal Compliance</t>
  </si>
  <si>
    <t>Social Software Engineering, Agile Approach, Physical Design, Renewable Energy</t>
  </si>
  <si>
    <t>Value Sensitive Design, Values, Co-Design, Requirements elicitation, Societal sustainability, Software engineering practice</t>
  </si>
  <si>
    <t>Yes, +Abstract</t>
  </si>
  <si>
    <t>Sustainability, Programming Language, proof-of-concept, Micro-languages</t>
  </si>
  <si>
    <t>Governance Rules, Long-term Sustainability, Open Source Software (OSS), Mylyn</t>
  </si>
  <si>
    <t>ICT, Social Activism, Mobile Devices and Social Networking, Software Architectures, Interdisciplinary Research</t>
  </si>
  <si>
    <t>Service-Oriented Architecture (SOA), Disaster response, Crisis management, Resource management, Ethical Concerns</t>
  </si>
  <si>
    <t>Software Engineering, Ethics, Framework, Social Responsibility, Iterative Process</t>
  </si>
  <si>
    <t>Dementia, Software Engineering, Social Sustainability, Tailored Solutions, Quality of Life</t>
  </si>
  <si>
    <t>Cognitive sustainability, Social sustainability, Sustainable ICT, Cognitive revolution, Privacy, Shared attention, Social cognition, Software engineering for social good</t>
  </si>
  <si>
    <t>Yes</t>
  </si>
  <si>
    <t>Energy Efficiency, Profiling, Software Architecture, Software, ICT
  Product, Experimentation, Measurement, Performance</t>
  </si>
  <si>
    <t>Sustainability, Requirements Engineering, Perceptions, Sustainability Design, Obstacles</t>
  </si>
  <si>
    <t>Sustainability, architecture, portfolio theory, sustainability debt, software engineering, decision-making, economic analysis, CBAM extension, risk management, design decisions, environmental, social, economic, technical, individual sustainability</t>
  </si>
  <si>
    <t>Management, Design, Human Factors, Theory,Keywords, Agile methods, Action research, Design thinking, Values theory, Socially conscious software</t>
  </si>
  <si>
    <t>Software cloning, Intellectual Property Rights (IPRs) ,Legal implications, US courts, European Court of Justice, Case law analysis</t>
  </si>
  <si>
    <t>Software composition, Online participatory democracy, Democratic assembly, Participatory budgeting, Collaborative proposal making, Deliberation, Versioning, Voting</t>
  </si>
  <si>
    <t>Software Engineering, Government Policy, Complex Systems, Policy Implementation, Computational Models, Policy Analysis, Conceptual Tools, Process Improvement, Public Administration</t>
  </si>
  <si>
    <t>No, Abstract, Introduction, Conclusion</t>
  </si>
  <si>
    <t>Sustainability, Sustainability Requirement, System Development</t>
  </si>
  <si>
    <t>Privacy Requirements, Software Systems, Future Directions, Sensitive Data</t>
  </si>
  <si>
    <t>Sustainable Software Engineering, Open Source Software Engineering, Digitization</t>
  </si>
  <si>
    <t>Extensive analysis, Emotional Complexity, Family Caregivers, Patients</t>
  </si>
  <si>
    <t>Cervical Cancer Screening, Socio-Technical System, Data Exploration, Graph Databases, Knowledge Discovery, Portinari, Interactive Visualization</t>
  </si>
  <si>
    <t>Deployment, Requirements, School, User Experience, Mobile Data Collection</t>
  </si>
  <si>
    <t>Wildfire, Emergency, App store mining, Twitter, Mobile apps, Machine learning</t>
  </si>
  <si>
    <t>Social Communication, Computer-mediated Communication, Interoperability, Middleware, Service-oriented Architecture</t>
  </si>
  <si>
    <t>Energy consumption perspective, Awareness, Software energy consumption, Software engineering</t>
  </si>
  <si>
    <t>Software Heritage, Source Code Preservation, Digital Preservation, Open Source Software, Software Development History, Knowledge Base, Archival Infrastructure, Free/Open Source Software (FOSS), Replication, Multi-stakeholder, Non-profit, Cultural Heritage, Reproducibility, Compliance, Provenance, Deduplication</t>
  </si>
  <si>
    <t>Software Foundations, Open-Source Software, Open-Source Software Analysis</t>
  </si>
  <si>
    <t>User Feedback, Feedback Analysis, Culture, Algorithm Bias, Software Evolution</t>
  </si>
  <si>
    <t>Assistive Computing, Human-Centered Design, Cognitive Support, Technology Development, Accessibility</t>
  </si>
  <si>
    <t>Agile development, human-centered design, vulnerable populations</t>
  </si>
  <si>
    <t>Software engineering, public sector, digital government, Swedish Government Agencies, Software Development Census, Public Sector Software Practices, IT Management</t>
  </si>
  <si>
    <t>Software Engineering, Agile, Agile Contracts, Contracting, Law &amp; Economics, Public Sector</t>
  </si>
  <si>
    <t>Regulations, Ambiguity Resolution, Principled Morality, Deep Learning, Compliance</t>
  </si>
  <si>
    <t>Environmental Science, Model Driven Engineering, Cloud Computing, Environmental Modelling, WRF</t>
  </si>
  <si>
    <t>Surveillance, Conceptual Model, Reference Model, Privacy</t>
  </si>
  <si>
    <t>Female Developers, Competence-Confidence Gap, Granger Causality, GitHub</t>
  </si>
  <si>
    <t>Distributed message-passing model, game theory, scalability, Online Direct Democracy, Digital Ecclesia</t>
  </si>
  <si>
    <t>Gender Balance, Community Smells, Software Organizational Structures, Empirical Study</t>
  </si>
  <si>
    <t>Blockchain, Bitcoin, Trust, Human Factors, Psychological Aspects, User Confidence, Technology Adoption</t>
  </si>
  <si>
    <t>Stack Overflow, Security Conversations, Secure Coding Practices, Collaborative Learning, Social Interaction, Developer Community, Empirical Study, Online Forums</t>
  </si>
  <si>
    <t>Civic Technology, Software Engineering Processes, Code for Ireland, Stakeholder Engagement, Participatory Democracy, Quality Standards, Civic Engagement Challenges</t>
  </si>
  <si>
    <t>Transparency, Code contributions, Open source Software development, Eye-tracking, Socio-technical ecosystems</t>
  </si>
  <si>
    <t>Software architecture, Sustainability, Architecture Design decisions, Architecture assessment, Decision map</t>
  </si>
  <si>
    <t>Trust, Autonomous Driving, Autonomous Vehicles, Human Trust, System Trust</t>
  </si>
  <si>
    <t>career, hiring practices, interview feedback, opinion mining, re- views, software engineering, technical interviews, whiteboard</t>
  </si>
  <si>
    <t>Water management, smart sewer systems, recurrent neural network, nonfunctional requirements, robustness, metamorphic testing</t>
  </si>
  <si>
    <t>User Centered Design (UCD), children, education, digital skills, validation</t>
  </si>
  <si>
    <t>Intellectual Disability, Physical Activity, Outdoor navigation</t>
  </si>
  <si>
    <t>application-generation, application-maintenance, multi-platform, cloud execution, model-driven</t>
  </si>
  <si>
    <t>computing for social good, requirements engineering, conferences</t>
  </si>
  <si>
    <t>Layered Reuse, Harmful Micropolitics, SAP ERP, Surgery Planning, Case Study</t>
  </si>
  <si>
    <t>Cultural heritage, Software engineering, Empirical study, Crowd monitoring, Queue management, Sustainability</t>
  </si>
  <si>
    <t>Self-admitted Technical Debt, Deep Learning, Categorization, Empirical Study</t>
  </si>
  <si>
    <t>Community Smells, Social Debt, Empirical Software Engineering</t>
  </si>
  <si>
    <t>Mobile Apps, Human Values, Review Analysis, Society-Oriented Applications Development</t>
  </si>
  <si>
    <t>Creativity, Professional skills, Industry require- ments, Software engineering education</t>
  </si>
  <si>
    <t>Agile software development, Agile methods, Agile, Mobile application development, Mobile apps, Software engineering, Awareness, Perception</t>
  </si>
  <si>
    <t>Software development, Technology, hiring, Career development, Survey, Theory</t>
  </si>
  <si>
    <t>Mobile, Natural Language Processing, App Reviews, Human Values</t>
  </si>
  <si>
    <t>Values, Motivation, Design features, Technology acceptance, Covid19</t>
  </si>
  <si>
    <t>COVID-19, Social Media, Privacy, Ethics, Accessibility, Stability, Security, Advertising, User Reviews, Facebook</t>
  </si>
  <si>
    <t>Quality Management Process, Quality Requirement, Quality Assessment, Software Analytics Tool, Quality Monitoring, Requirements Pattern</t>
  </si>
  <si>
    <t>User Feedback, App Reviews, Culture, Individ-ualism, Uncertainty Avoidance, Software Evolution,Mobile</t>
  </si>
  <si>
    <t>Understanding Community Smells Variability: A Statistical ApproachCatolino, Gemma and Palomba, Fabio and Tamburri, Damian A. and Serebrenik, Alexander</t>
  </si>
  <si>
    <t>Community Smells, Social Debt, Statistical Models, Empirical Study</t>
  </si>
  <si>
    <t>Developer Community, Commit Messages, Soft- ware Documentation, Emotions, GitHub</t>
  </si>
  <si>
    <t>Social media, Social sensing, Citizen science, Crowdsourcing, Machine learning, Image classification</t>
  </si>
  <si>
    <t>Job advertisement, Gender bias, Cogitive walkthrough, Persona</t>
  </si>
  <si>
    <t>Software Engineering, Whistleblowing</t>
  </si>
  <si>
    <t>Women, Diversity, Gender, Inclusion, Software engineering</t>
  </si>
  <si>
    <t>Open source software, Maintainers, Social good</t>
  </si>
  <si>
    <t>Toxicity Detector, Pushback Detector, Generalization of Detection Tools</t>
  </si>
  <si>
    <t>Drones, Exceptional scenarios, Modelling language, Self-adaptive systems</t>
  </si>
  <si>
    <t>Global Software Engineering, Cultural Dispersion, Community Smells, Software Organizational Structures, Empirical Studies</t>
  </si>
  <si>
    <t>Human-centric issues, Diverse end-users, GitHub repositories, Human aspects, Software development</t>
  </si>
  <si>
    <t>Diversity, Information Architecture, Open Source, Inclusivity Bugs</t>
  </si>
  <si>
    <t>Usability, Accessability, Autism, Software engineering</t>
  </si>
  <si>
    <t>Domain-specific, Activity flow, Cloud execution, Model-driven engineering</t>
  </si>
  <si>
    <t>Datasets, Open data, Narrative, Search, Data Literacy, Inclusion</t>
  </si>
  <si>
    <t>Diversity, D&amp;I initiative, Open Source Software</t>
  </si>
  <si>
    <t>Scratch, Topic modeling, Sentiment analysis, Social network</t>
  </si>
  <si>
    <t>COVID-19, Information dashboard, Design lessons, Education</t>
  </si>
  <si>
    <t>ASF, Software foundation, Motivations, Open source, Incubator</t>
  </si>
  <si>
    <t>Gender, diversity, Open source, Commit, Software heritage, Covid19</t>
  </si>
  <si>
    <t>open source, diversity and inclusion, human factors, cognitive styles, human-computer interaction</t>
  </si>
  <si>
    <t>Freelance software development, payment for security, security, developer, software development in society, societal challenges of secure software development</t>
  </si>
  <si>
    <t>Gender Inequalities, Software Engineering, Empirical Theory, Men's Orientations, Diversity, Sociotechnical Perspectives</t>
  </si>
  <si>
    <t>gender stereotypes, children’s drawings, software engineering, draw-a-computer-scientist test, primary school students, drawing, coding</t>
  </si>
  <si>
    <t>EDI, equity, diversity, inclusion, software professionals, LGBTQIA+</t>
  </si>
  <si>
    <t>Diversity, Inclusion, Representation, Hackathons, Non-governmental Organization</t>
  </si>
  <si>
    <t>Marginalized, communities, ethics, software,
  reddit, feedback</t>
  </si>
  <si>
    <t>Accessibility Education, Computing Education, Computing Accessibility</t>
  </si>
  <si>
    <t>Software Development, Socio-Economic Factors, User-Centered Design, Fisherfolk Communities, Bangladesh, Case Study, Inclusive Technology</t>
  </si>
  <si>
    <t>Route Training, Cognitive Impairments, Inclusive Design</t>
  </si>
  <si>
    <t>Diversity, Content Analysis, Participant Studies, Diversity Awareness, ICSE</t>
  </si>
  <si>
    <t>Bias, Software Engineering, Inclusive Speech, Harmful Terminology</t>
  </si>
  <si>
    <t>MACHINE LEARNING, DISEASE PREDICTION, CLINICAL DATA, ALGORITHMIC TRANSPARENCY, MODEL INTERPRETABILITY</t>
  </si>
  <si>
    <t>Open Science, Software Engineering, Open Source, Transdisciplinary Research, Responsible Research Practice</t>
  </si>
  <si>
    <t>Civic tech, software engineering, software development, motivations, activity theory, case study, contradictions</t>
  </si>
  <si>
    <t>Smart devices, smart things, socio-ethical policy, supermarket, IoT, human-device interaction</t>
  </si>
  <si>
    <t>Digital Literacy, Continuing Education, Digital Divide, Androgogy</t>
  </si>
  <si>
    <t>Values@Runtime: An Adaptive Framework for Operationalising Values</t>
  </si>
  <si>
    <t>Values@Runtime, operationalisation, adaptation, recommendations, reflection</t>
  </si>
  <si>
    <t>Open-source Software, Gender Diversity</t>
  </si>
  <si>
    <t>Workplace Discrimination, Software Professional, Survey</t>
  </si>
  <si>
    <t>Humor,Developer engagement,Responsibility,Culture,Faking</t>
  </si>
  <si>
    <t>Green Software Engineering,Energy patterns,Web applications,Software sustainability,Coding Practices,Energy consumption</t>
  </si>
  <si>
    <t>micro-inequities,immigration,diversity,inclusion,software development teams,questionnaire-based survey</t>
  </si>
  <si>
    <t>voice application,privacy,runtime,monitoring,vetting,Alexa</t>
  </si>
  <si>
    <t>Software Documentation,EU Regulations,Compliance Assessment,Ranking Transparency,Explainability,Online platforms</t>
  </si>
  <si>
    <t>Neurodiversity,ADHD,Inclusion,Diversity,Case Study</t>
  </si>
  <si>
    <t>algorithmic discrimination,software development,machine learning</t>
  </si>
  <si>
    <t>Global Software Engineering,Cultural Dispersion,Socio-Technical Grounded Theory</t>
  </si>
  <si>
    <t>Science Communication,LinkedIn,Software Engineering,Outreach,Knowledge Sharing,Research Impact,Community Engagement</t>
  </si>
  <si>
    <t>Impostor Phenomenon,Imposter Syndrome,Human Aspects,Perceived Productivity,Software Engineering</t>
  </si>
  <si>
    <t>software engineering,sustainability,criteria,assessment</t>
  </si>
  <si>
    <t>adaptive user interface,AUI,chronic disease,mHealth applications</t>
  </si>
  <si>
    <t>Software architecture,architectural tactics,ML-enabled systems,environmental sustainability,Green AI</t>
  </si>
  <si>
    <t>Language Models of Code,Configuration Tuning,Multi-Objective Optimization</t>
  </si>
  <si>
    <t>women,software development,STEM,survey,gender</t>
  </si>
  <si>
    <t>Empirical Software Engineering,Early Career Experience,Sink or Swim,Community Smells</t>
  </si>
  <si>
    <t>Drones,sUAS,fairness,machine learning,software engineering</t>
  </si>
  <si>
    <t>System-of-systems,Requirements engineering,case study,smart energy system,virtual system-of-systems,systems transition,energy transition</t>
  </si>
  <si>
    <t>sustainability, cross-disciplinary initiative, current practice and future steps, karlskrona manifesto for sustainability design ,software engineering</t>
  </si>
  <si>
    <t>design patterns, interdisciplinary, social compatibility, user acceptance, legal compliance</t>
  </si>
  <si>
    <t>social software engineering, agile approach, physical design, renewable energy</t>
  </si>
  <si>
    <t>value sensitive design, values, co-design, requirements elicitation, societal sustainability, software engineering practice</t>
  </si>
  <si>
    <t>sustainability, programming language, proof-of-concept, micro-languages</t>
  </si>
  <si>
    <t>governance rules, long-term sustainability, open source software (oss), mylyn</t>
  </si>
  <si>
    <t>ict, social activism, mobile devices and social networking, software architectures, interdisciplinary research</t>
  </si>
  <si>
    <t>service-oriented architecture (soa), disaster response, crisis management, resource management, ethical concerns</t>
  </si>
  <si>
    <t>software engineering, ethics, framework, social responsibility, iterative process</t>
  </si>
  <si>
    <t>dementia, software engineering, social sustainability, tailored solutions, quality of life</t>
  </si>
  <si>
    <t>cognitive sustainability, social sustainability, sustainable ict, cognitive revolution, privacy, shared attention, social cognition, software engineering for social good</t>
  </si>
  <si>
    <t>energy efficiency, profiling, software architecture, software, ict  product, experimentation, measurement, performance</t>
  </si>
  <si>
    <t>sustainability, requirements engineering, perceptions, sustainability design, obstacles</t>
  </si>
  <si>
    <t>sustainability, architecture, portfolio theory, sustainability debt, software engineering, decision-making, economic analysis, cbam extension, risk management, design decisions, environmental, social, economic, technical, individual sustainability</t>
  </si>
  <si>
    <t>management, design, human factors, theory,keywords, agile methods, action research, design thinking, values theory, socially conscious software</t>
  </si>
  <si>
    <t>software cloning, intellectual property rights (iprs) ,legal implications, us courts, european court of justice, case law analysis</t>
  </si>
  <si>
    <t>software composition, online participatory democracy, democratic assembly, participatory budgeting, collaborative proposal making, deliberation, versioning, voting</t>
  </si>
  <si>
    <t>software engineering, government policy, complex systems, policy implementation, computational models, policy analysis, conceptual tools, process improvement, public administration</t>
  </si>
  <si>
    <t>sustainability, sustainability requirement, system development</t>
  </si>
  <si>
    <t>privacy requirements, software systems, future directions, sensitive data</t>
  </si>
  <si>
    <t>sustainable software engineering, open source software engineering, digitization</t>
  </si>
  <si>
    <t>extensive analysis, emotional complexity, family caregivers, patients</t>
  </si>
  <si>
    <t>cervical cancer screening, socio-technical system, data exploration, graph databases, knowledge discovery, portinari, interactive visualization</t>
  </si>
  <si>
    <t>deployment, requirements, school, user experience, mobile data collection</t>
  </si>
  <si>
    <t>wildfire, emergency, app store mining, twitter, mobile apps, machine learning</t>
  </si>
  <si>
    <t>social communication, computer-mediated communication, interoperability, middleware, service-oriented architecture</t>
  </si>
  <si>
    <t>energy consumption perspective, awareness, software energy consumption, software engineering</t>
  </si>
  <si>
    <t>software heritage, source code preservation, digital preservation, open source software, software development history, knowledge base, archival infrastructure, free/open source software (foss), replication, multi-stakeholder, non-profit, cultural heritage, reproducibility, compliance, provenance, deduplication</t>
  </si>
  <si>
    <t>software foundations, open-source software, open-source software analysis</t>
  </si>
  <si>
    <t>user feedback, feedback analysis, culture, algorithm bias, software evolution</t>
  </si>
  <si>
    <t>assistive computing, human-centered design, cognitive support, technology development, accessibility</t>
  </si>
  <si>
    <t>agile development, human-centered design, vulnerable populations</t>
  </si>
  <si>
    <t>software engineering, public sector, digital government, swedish government agencies, software development census, public sector software practices, it management</t>
  </si>
  <si>
    <t>software engineering, agile, agile contracts, contracting, law &amp; economics, public sector</t>
  </si>
  <si>
    <t>regulations, ambiguity resolution, principled morality, deep learning, compliance</t>
  </si>
  <si>
    <t>environmental science, model driven engineering, cloud computing, environmental modelling, wrf</t>
  </si>
  <si>
    <t>surveillance, conceptual model, reference model, privacy</t>
  </si>
  <si>
    <t>female developers, competence-confidence gap, granger causality, github</t>
  </si>
  <si>
    <t>distributed message-passing model, game theory, scalability, online direct democracy, digital ecclesia</t>
  </si>
  <si>
    <t>gender balance, community smells, software organizational structures, empirical study</t>
  </si>
  <si>
    <t>blockchain, bitcoin, trust, human factors, psychological aspects, user confidence, technology adoption</t>
  </si>
  <si>
    <t>stack overflow, security conversations, secure coding practices, collaborative learning, social interaction, developer community, empirical study, online forums</t>
  </si>
  <si>
    <t>civic technology, software engineering processes, code for ireland, stakeholder engagement, participatory democracy, quality standards, civic engagement challenges</t>
  </si>
  <si>
    <t>transparency, code contributions, open source software development, eye-tracking, socio-technical ecosystems</t>
  </si>
  <si>
    <t>software architecture, sustainability, architecture design decisions, architecture assessment, decision map</t>
  </si>
  <si>
    <t>trust, autonomous driving, autonomous vehicles, human trust, system trust</t>
  </si>
  <si>
    <t>water management, smart sewer systems, recurrent neural network, nonfunctional requirements, robustness, metamorphic testing</t>
  </si>
  <si>
    <t>user centered design (ucd), children, education, digital skills, validation</t>
  </si>
  <si>
    <t>intellectual disability, physical activity, outdoor navigation</t>
  </si>
  <si>
    <t>layered reuse, harmful micropolitics, sap erp, surgery planning, case study</t>
  </si>
  <si>
    <t>cultural heritage, software engineering, empirical study, crowd monitoring, queue management, sustainability</t>
  </si>
  <si>
    <t>self-admitted technical debt, deep learning, categorization, empirical study</t>
  </si>
  <si>
    <t>community smells, social debt, empirical software engineering</t>
  </si>
  <si>
    <t>mobile apps, human values, review analysis, society-oriented applications development</t>
  </si>
  <si>
    <t>creativity, professional skills, industry require- ments, software engineering education</t>
  </si>
  <si>
    <t>agile software development, agile methods, agile, mobile application development, mobile apps, software engineering, awareness, perception</t>
  </si>
  <si>
    <t>software development, technology, hiring, career development, survey, theory</t>
  </si>
  <si>
    <t>mobile, natural language processing, app reviews, human values</t>
  </si>
  <si>
    <t>values, motivation, design features, technology acceptance, covid19</t>
  </si>
  <si>
    <t>covid-19, social media, privacy, ethics, accessibility, stability, security, advertising, user reviews, facebook</t>
  </si>
  <si>
    <t>quality management process, quality requirement, quality assessment, software analytics tool, quality monitoring, requirements pattern</t>
  </si>
  <si>
    <t>user feedback, app reviews, culture, individ-ualism, uncertainty avoidance, software evolution,mobile</t>
  </si>
  <si>
    <t>community smells, social debt, statistical models, empirical study</t>
  </si>
  <si>
    <t>developer community, commit messages, soft- ware documentation, emotions, github</t>
  </si>
  <si>
    <t>social media, social sensing, citizen science, crowdsourcing, machine learning, image classification</t>
  </si>
  <si>
    <t>job advertisement, gender bias, cogitive walkthrough, persona</t>
  </si>
  <si>
    <t>software engineering, whistleblowing</t>
  </si>
  <si>
    <t>women, diversity, gender, inclusion, software engineering</t>
  </si>
  <si>
    <t>open source software, maintainers, social good</t>
  </si>
  <si>
    <t>toxicity detector, pushback detector, generalization of detection tools</t>
  </si>
  <si>
    <t>drones, exceptional scenarios, modelling language, self-adaptive systems</t>
  </si>
  <si>
    <t>global software engineering, cultural dispersion, community smells, software organizational structures, empirical studies</t>
  </si>
  <si>
    <t>human-centric issues, diverse end-users, github repositories, human aspects, software development</t>
  </si>
  <si>
    <t>diversity, information architecture, open source, inclusivity bugs</t>
  </si>
  <si>
    <t>usability, accessability, autism, software engineering</t>
  </si>
  <si>
    <t>domain-specific, activity flow, cloud execution, model-driven engineering</t>
  </si>
  <si>
    <t>datasets, open data, narrative, search, data literacy, inclusion</t>
  </si>
  <si>
    <t>diversity, d&amp;i initiative, open source software</t>
  </si>
  <si>
    <t>scratch, topic modeling, sentiment analysis, social network</t>
  </si>
  <si>
    <t>covid-19, information dashboard, design lessons, education</t>
  </si>
  <si>
    <t>asf, software foundation, motivations, open source, incubator</t>
  </si>
  <si>
    <t>gender, diversity, open source, commit, software heritage, covid19</t>
  </si>
  <si>
    <t>freelance software development, payment for security, security, developer, software development in society, societal challenges of secure software development</t>
  </si>
  <si>
    <t>gender inequalities, software engineering, empirical theory, men's orientations, diversity, sociotechnical perspectives</t>
  </si>
  <si>
    <t>edi, equity, diversity, inclusion, software professionals, lgbtqia+</t>
  </si>
  <si>
    <t>diversity, inclusion, representation, hackathons, non-governmental organization</t>
  </si>
  <si>
    <t>marginalized, communities, ethics, software, reddit, feedback</t>
  </si>
  <si>
    <t>accessibility education, computing education, computing accessibility</t>
  </si>
  <si>
    <t>software development, socio-economic factors, user-centered design, fisherfolk communities, bangladesh, case study, inclusive technology</t>
  </si>
  <si>
    <t>route training, cognitive impairments, inclusive design</t>
  </si>
  <si>
    <t>diversity, content analysis, participant studies, diversity awareness, icse</t>
  </si>
  <si>
    <t>bias, software engineering, inclusive speech, harmful terminology</t>
  </si>
  <si>
    <t>machine learning, disease prediction, clinical data, algorithmic transparency, model interpretability</t>
  </si>
  <si>
    <t>open science, software engineering, open source, transdisciplinary research, responsible research practice</t>
  </si>
  <si>
    <t>civic tech, software engineering, software development, motivations, activity theory, case study, contradictions</t>
  </si>
  <si>
    <t>smart devices, smart things, socio-ethical policy, supermarket, iot, human-device interaction</t>
  </si>
  <si>
    <t>digital literacy, continuing education, digital divide, androgogy</t>
  </si>
  <si>
    <t>values@runtime, operationalisation, adaptation, recommendations, reflection</t>
  </si>
  <si>
    <t>open-source software, gender diversity</t>
  </si>
  <si>
    <t>workplace discrimination, software professional, survey</t>
  </si>
  <si>
    <t>humor,developer engagement,responsibility,culture,faking</t>
  </si>
  <si>
    <t>green software engineering,energy patterns,web applications,software sustainability,coding practices,energy consumption</t>
  </si>
  <si>
    <t>voice application,privacy,runtime,monitoring,vetting,alexa</t>
  </si>
  <si>
    <t>software documentation,eu regulations,compliance assessment,ranking transparency,explainability,online platforms</t>
  </si>
  <si>
    <t>neurodiversity,adhd,inclusion,diversity,case study</t>
  </si>
  <si>
    <t>global software engineering,cultural dispersion,socio-technical grounded theory</t>
  </si>
  <si>
    <t>science communication,linkedin,software engineering,outreach,knowledge sharing,research impact,community engagement</t>
  </si>
  <si>
    <t>impostor phenomenon,imposter syndrome,human aspects,perceived productivity,software engineering</t>
  </si>
  <si>
    <t>adaptive user interface,aui,chronic disease,mhealth applications</t>
  </si>
  <si>
    <t>software architecture,architectural tactics,ml-enabled systems,environmental sustainability,green ai</t>
  </si>
  <si>
    <t>language models of code,configuration tuning,multi-objective optimization</t>
  </si>
  <si>
    <t>women,software development,stem,survey,gender</t>
  </si>
  <si>
    <t>empirical software engineering,early career experience,sink or swim,community smells</t>
  </si>
  <si>
    <t>drones,suas,fairness,machine learning,software engineering</t>
  </si>
  <si>
    <t>system-of-systems,requirements engineering,case study,smart energy system,virtual system-of-systems,systems transition,energy transition</t>
  </si>
  <si>
    <t>Cluster</t>
  </si>
  <si>
    <t>Keywords</t>
  </si>
  <si>
    <t>Unique IDs</t>
  </si>
  <si>
    <t>Unique ID Count</t>
  </si>
  <si>
    <t>Keyword Count</t>
  </si>
  <si>
    <t>Software Engineering, Software engineering practice, Software Engineering, Software Engineering, software engineering, Software Engineering, Software engineering, Software engineering, Software Engineering, Software Engineering Processes, software engineering, Software engineering, Software engineering education, Software engineering, Software Engineering, Software engineering, Software engineering, Software Engineering, software engineering, Software Engineering, Software Engineering, software engineering, Software Engineering, Software Engineering, software engineering, software engineering</t>
  </si>
  <si>
    <t>P01, P04, P09, P10, P14, P18, P27, P33, P34, P43, P47, P54, P58, P59, P70, P71, P78, P88, P89, P97, P99, P100, P114, P115, P116, P122</t>
  </si>
  <si>
    <t>Keyword Category</t>
  </si>
  <si>
    <t>Total Keywords</t>
  </si>
  <si>
    <t>Study IDs</t>
  </si>
  <si>
    <t>Sustainability, Societal sustainability, Sustainability, Long-term Sustainability, Social Sustainability, Cognitive sustainability, Social sustainability, Sustainability, Sustainability Design, Sustainability, sustainability debt, Sustainability, Sustainability Requirement, Sustainability, Sustainability, sustainability, environmental sustainability</t>
  </si>
  <si>
    <t>P01, P04, P05, P06, P10, P11, P13, P14, P19, P45, P54, P116, P118</t>
  </si>
  <si>
    <t>Sustainability</t>
  </si>
  <si>
    <t>Diversity, Diversity, Diversity, diversity, Diversity, diversity, Diversity, Diversity, Diversity Awareness, Gender Diversity, diversity, Diversity</t>
  </si>
  <si>
    <t>P71, P77, P81, P85, P88, P90, P91, P96, P104, P108, P111</t>
  </si>
  <si>
    <t>Diversity</t>
  </si>
  <si>
    <t>Open Source Software (OSS), Open Source Software Engineering, Open Source Software, Free/Open Source Software (FOSS), Open-Source Software, Open-Source Software Analysis, Open source Software development, Open source software, Open Source Software, Open-source Software</t>
  </si>
  <si>
    <t>P06, P21, P28, P29, P44, P72, P81, P104</t>
  </si>
  <si>
    <t>Open Source Software</t>
  </si>
  <si>
    <t>System Development, Software Development History, Software development, Software development, Freelance software development, Software Development, software development, software development teams, software development, software development</t>
  </si>
  <si>
    <t>P19, P28, P60, P76, P87, P94, P100, P108, P112, P120</t>
  </si>
  <si>
    <t>Software Development</t>
  </si>
  <si>
    <t>Inclusion, Inclusion, inclusion, Inclusion, inclusion, Inclusion</t>
  </si>
  <si>
    <t>P71, P80, P90, P91, P108, P111</t>
  </si>
  <si>
    <t>Inclusion</t>
  </si>
  <si>
    <t>Empirical Study, Empirical Study, Empirical study, Empirical Study, Empirical Studies, Empirical Theory</t>
  </si>
  <si>
    <t>P40, P42, P54, P66, P75, P88</t>
  </si>
  <si>
    <t>Empirical Study</t>
  </si>
  <si>
    <t>Gender Balance, Gender, Gender, Gender Inequalities, gender stereotypes, gender</t>
  </si>
  <si>
    <t>P40, P71, P85, P88, P89, P120</t>
  </si>
  <si>
    <t>Gender</t>
  </si>
  <si>
    <t>Machine learning, Machine learning, MACHINE LEARNING, machine learning, machine learning</t>
  </si>
  <si>
    <t>P25, P68, P98, P112, P122</t>
  </si>
  <si>
    <t>Case Study, Case Study, case study, Case Study, case study</t>
  </si>
  <si>
    <t>P53, P94, P100, P111, P123</t>
  </si>
  <si>
    <t>Physical Design, decision-making, design decisions, Design, Architecture Design decisions</t>
  </si>
  <si>
    <t>P03, P14, P15, P45</t>
  </si>
  <si>
    <t>User Feedback, Feedback Analysis, User Reviews, User Feedback, feedback</t>
  </si>
  <si>
    <t>P30, P63, P65, P92</t>
  </si>
  <si>
    <t>Open Source, Open source, Open source, open source, Open Source</t>
  </si>
  <si>
    <t>P77, P84, P85, P86, P99</t>
  </si>
  <si>
    <t>Privacy, Privacy Requirements, Privacy, Privacy, privacy</t>
  </si>
  <si>
    <t>P11, P20, P37, P63, P109</t>
  </si>
  <si>
    <t>Software Architectures, Software Architecture, architecture, Software architecture, Software architecture</t>
  </si>
  <si>
    <t>P07, P12, P14, P45, P118</t>
  </si>
  <si>
    <t>Community Smells, Community Smells, Community Smells, Community Smells, Community Smells</t>
  </si>
  <si>
    <t>P40, P56, P66, P75, P121</t>
  </si>
  <si>
    <t>Twitter, Social Media, Facebook, Social media, Social network</t>
  </si>
  <si>
    <t>P25, P63, P68, P82</t>
  </si>
  <si>
    <t>Covid19, COVID-19, COVID-19, Covid19</t>
  </si>
  <si>
    <t>P62, P63, P83, P85</t>
  </si>
  <si>
    <t>Trust, Trust, Human Trust, System Trust</t>
  </si>
  <si>
    <t>P41, P46</t>
  </si>
  <si>
    <t>Requirements elicitation, Requirements Engineering, requirements engineering, Requirements engineering</t>
  </si>
  <si>
    <t>P04, P13, P52, P123</t>
  </si>
  <si>
    <t>Agile development, Agile, Agile software development, Agile</t>
  </si>
  <si>
    <t>P32, P34, P59</t>
  </si>
  <si>
    <t>Accessibility, Accessibility, Accessibility Education, Computing Accessibility</t>
  </si>
  <si>
    <t>P31, P63, P93</t>
  </si>
  <si>
    <t>Mobile apps, Mobile Apps, Mobile application development, Mobile apps</t>
  </si>
  <si>
    <t>P25, P57, P59</t>
  </si>
  <si>
    <t>Public Administration., public sector, Public Sector Software Practices, Public Sector</t>
  </si>
  <si>
    <t>P18, P33, P34</t>
  </si>
  <si>
    <t>Developer Community, Developer Community, developer, Developer engagement</t>
  </si>
  <si>
    <t>P42, P67, P87, P106</t>
  </si>
  <si>
    <t>Socio-Technical System, Socio-technical ecosystems, Sociotechnical Perspectives., Socio-Technical Grounded Theory</t>
  </si>
  <si>
    <t>P23, P44, P88, P113</t>
  </si>
  <si>
    <t>Ethics, Ethics, ethics</t>
  </si>
  <si>
    <t>P09, P63, P92</t>
  </si>
  <si>
    <t>Government Policy, Policy Implementation, Policy Analysis</t>
  </si>
  <si>
    <t>Security Conversations, Security, security</t>
  </si>
  <si>
    <t>P42, P63, P87</t>
  </si>
  <si>
    <t>Agile Approach, Agile methods, Agile methods</t>
  </si>
  <si>
    <t>P03, P15, P59</t>
  </si>
  <si>
    <t>Model Driven Engineering, model-driven, Model-driven engineering</t>
  </si>
  <si>
    <t>P36, P51, P79</t>
  </si>
  <si>
    <t>Secure Coding Practices, coding, Coding Practices</t>
  </si>
  <si>
    <t>P42, P89, P107</t>
  </si>
  <si>
    <t>Psychological Aspects, Human aspects, Human Aspects</t>
  </si>
  <si>
    <t>P41, P76, P115</t>
  </si>
  <si>
    <t>User Acceptance, Technology Adoption, Technology acceptance</t>
  </si>
  <si>
    <t>P02, P41, P62</t>
  </si>
  <si>
    <t>Motivation, Motivations, motivations</t>
  </si>
  <si>
    <t>P62, P84, P100</t>
  </si>
  <si>
    <t>GitHub, GitHub, GitHub repositories</t>
  </si>
  <si>
    <t>P38, P67, P76</t>
  </si>
  <si>
    <t>Framework, Software Foundations, Software foundation</t>
  </si>
  <si>
    <t>P09, P29, P84</t>
  </si>
  <si>
    <t>Algorithm Bias, Gender bias, Bias</t>
  </si>
  <si>
    <t>P30, P69, P97</t>
  </si>
  <si>
    <t>ICT, Sustainable ICT, ICT
  Product</t>
  </si>
  <si>
    <t>P07, P11, P12</t>
  </si>
  <si>
    <t>Values, Values theory, Values</t>
  </si>
  <si>
    <t>P04, P15, P62</t>
  </si>
  <si>
    <t>Energy Efficiency, Energy consumption perspective, Energy consumption</t>
  </si>
  <si>
    <t>P12, P27, P107</t>
  </si>
  <si>
    <t>Social cognition, Social Communication, Social Interaction</t>
  </si>
  <si>
    <t>P11, P26, P42</t>
  </si>
  <si>
    <t>Software, Software Systems, software</t>
  </si>
  <si>
    <t>P12, P20, P92</t>
  </si>
  <si>
    <t>Human Factors, Human Factors, human factors</t>
  </si>
  <si>
    <t>P15, P41, P86</t>
  </si>
  <si>
    <t>Quality Assessment, Quality Monitoring, assessment</t>
  </si>
  <si>
    <t>P64, P116</t>
  </si>
  <si>
    <t>Cloud Computing, cloud execution, Cloud execution</t>
  </si>
  <si>
    <t>Civic Engagement Challenges., communities, Community Engagement</t>
  </si>
  <si>
    <t>P43, P92, P114</t>
  </si>
  <si>
    <t>Social Software Engineering, Software engineering for social good., computing for social good</t>
  </si>
  <si>
    <t>P03, P11, P52</t>
  </si>
  <si>
    <t>School, education, Education</t>
  </si>
  <si>
    <t>P24, P49, P83</t>
  </si>
  <si>
    <t>Legal Compliance, Compliance, Compliance</t>
  </si>
  <si>
    <t>P02, P28, P35</t>
  </si>
  <si>
    <t>Human-Centered Design, human-centered design, User-Centered Design</t>
  </si>
  <si>
    <t>P31, P32, P94</t>
  </si>
  <si>
    <t>Mobile Devices and Social Networking, Mobile, Mobile</t>
  </si>
  <si>
    <t>P07, P61, P65</t>
  </si>
  <si>
    <t>Requirements, Quality Standards, Quality Requirement</t>
  </si>
  <si>
    <t>P24, P43, P64</t>
  </si>
  <si>
    <t>Survey, Survey, survey</t>
  </si>
  <si>
    <t>P60, P105, P120</t>
  </si>
  <si>
    <t>Culture, Culture, Culture</t>
  </si>
  <si>
    <t>P30, P65, P106</t>
  </si>
  <si>
    <t>App Reviews, App Reviews</t>
  </si>
  <si>
    <t>P61, P65</t>
  </si>
  <si>
    <t>environmental, Environmental Science</t>
  </si>
  <si>
    <t>P14, P36</t>
  </si>
  <si>
    <t>Design thinking, Design lessons</t>
  </si>
  <si>
    <t>P15, P83</t>
  </si>
  <si>
    <t>Architecture assessment, architectural tactics</t>
  </si>
  <si>
    <t>P45, P118</t>
  </si>
  <si>
    <t>software development in society, societal challenges of secure software development</t>
  </si>
  <si>
    <t>Soft- ware Documentation, Software Documentation</t>
  </si>
  <si>
    <t>P67, P110</t>
  </si>
  <si>
    <t>Global Software Engineering, Global Software Engineering</t>
  </si>
  <si>
    <t>P75, P113</t>
  </si>
  <si>
    <t>Software Evolution, Software Evolution</t>
  </si>
  <si>
    <t>P30, P65</t>
  </si>
  <si>
    <t>draw-a-computer-scientist test, drawing</t>
  </si>
  <si>
    <t>digital skills, Digital Literacy</t>
  </si>
  <si>
    <t>P49, P102</t>
  </si>
  <si>
    <t>Empirical Software Engineering., Empirical Software Engineering</t>
  </si>
  <si>
    <t>P56, P121</t>
  </si>
  <si>
    <t>Deep Learning, Deep Learning</t>
  </si>
  <si>
    <t>P35, P55</t>
  </si>
  <si>
    <t>Knowledge Discovery, Knowledge Base</t>
  </si>
  <si>
    <t>P23, P28</t>
  </si>
  <si>
    <t>Advertising, Job advertisement</t>
  </si>
  <si>
    <t>P63, P69</t>
  </si>
  <si>
    <t>career, Career development</t>
  </si>
  <si>
    <t>P47, P60</t>
  </si>
  <si>
    <t>Autonomous Driving, Autonomous Vehicles</t>
  </si>
  <si>
    <t>Inclusive Technology., Inclusive Design</t>
  </si>
  <si>
    <t>P94, P95</t>
  </si>
  <si>
    <t>Software Heritage, Software heritage</t>
  </si>
  <si>
    <t>P28, P85</t>
  </si>
  <si>
    <t>Sustainable Software Engineering, Software sustainability</t>
  </si>
  <si>
    <t>P21, P107</t>
  </si>
  <si>
    <t>Social Responsibility, Responsibility</t>
  </si>
  <si>
    <t>P09, P106</t>
  </si>
  <si>
    <t>Activity flow, activity theory</t>
  </si>
  <si>
    <t>P79, P100</t>
  </si>
  <si>
    <t>Cultural Dispersion, Cultural Dispersion</t>
  </si>
  <si>
    <t>Service-Oriented Architecture (SOA), Service-oriented Architecture</t>
  </si>
  <si>
    <t>P08, P26</t>
  </si>
  <si>
    <t>opinion mining, Sentiment analysis</t>
  </si>
  <si>
    <t>P47, P82</t>
  </si>
  <si>
    <t>Cultural Heritage, Cultural heritage</t>
  </si>
  <si>
    <t>P28, P54</t>
  </si>
  <si>
    <t>Multi-stakeholder, Stakeholder Engagement</t>
  </si>
  <si>
    <t>P28, P43</t>
  </si>
  <si>
    <t>Technology Development, Technology</t>
  </si>
  <si>
    <t>P31, P60</t>
  </si>
  <si>
    <t>software professionals, Software Professional</t>
  </si>
  <si>
    <t>P90, P105</t>
  </si>
  <si>
    <t>Ethical Concerns, socio-ethical policy</t>
  </si>
  <si>
    <t>P08, P101</t>
  </si>
  <si>
    <t>Computational Models, Statistical Models</t>
  </si>
  <si>
    <t>P18, P66</t>
  </si>
  <si>
    <t>multi-platform, Online platforms</t>
  </si>
  <si>
    <t>P51, P110</t>
  </si>
  <si>
    <t>hiring practices, hiring</t>
  </si>
  <si>
    <t>Regulations, EU Regulations</t>
  </si>
  <si>
    <t>P35, P110</t>
  </si>
  <si>
    <t>Interdisciplinary, Interdisciplinary Research</t>
  </si>
  <si>
    <t>P02, P07</t>
  </si>
  <si>
    <t>Perceptions, Perception</t>
  </si>
  <si>
    <t>P13, P59</t>
  </si>
  <si>
    <t>Blockchain, Bitcoin</t>
  </si>
  <si>
    <t>MODEL INTERPRETABILITY, Explainability</t>
  </si>
  <si>
    <t>P98, P110</t>
  </si>
  <si>
    <t>System-of-systems, virtual system-of-systems</t>
  </si>
  <si>
    <t>social, Social good</t>
  </si>
  <si>
    <t>P14, P72</t>
  </si>
  <si>
    <t>Impostor Phenomenon, Imposter Syndrome</t>
  </si>
  <si>
    <t>Drones, Drones</t>
  </si>
  <si>
    <t>P74, P122</t>
  </si>
  <si>
    <t>Smart devices, smart things</t>
  </si>
  <si>
    <t>Modelling language, Language Models of Code</t>
  </si>
  <si>
    <t>P74, P119</t>
  </si>
  <si>
    <t>Energy patterns, energy transition</t>
  </si>
  <si>
    <t>P107, P123</t>
  </si>
  <si>
    <t>Software Organizational Structures, Software Organizational Structures</t>
  </si>
  <si>
    <t>P40, P75</t>
  </si>
  <si>
    <t>Transparency, ALGORITHMIC TRANSPARENCY</t>
  </si>
  <si>
    <t>P44, P98</t>
  </si>
  <si>
    <t>Social Debt, Social Debt</t>
  </si>
  <si>
    <t>P56, P66</t>
  </si>
  <si>
    <t>Dementia, Cognitive Impairments</t>
  </si>
  <si>
    <t>P10, P95</t>
  </si>
  <si>
    <t>Human Values, Human Values</t>
  </si>
  <si>
    <t>P57, P61</t>
  </si>
  <si>
    <t>Awareness, Awareness</t>
  </si>
  <si>
    <t>P27, P59</t>
  </si>
  <si>
    <t>economic analysis, economic</t>
  </si>
  <si>
    <t>Commit Messages, Commit</t>
  </si>
  <si>
    <t>P67, P85</t>
  </si>
  <si>
    <t>Management, IT Management</t>
  </si>
  <si>
    <t>P15, P33</t>
  </si>
  <si>
    <t>Women, women</t>
  </si>
  <si>
    <t>P71, P120</t>
  </si>
  <si>
    <t>Theory., Theory</t>
  </si>
  <si>
    <t>P15, P60</t>
  </si>
  <si>
    <t>Civic Technology, Civic tech</t>
  </si>
  <si>
    <t>P43, P100</t>
  </si>
  <si>
    <t>Non-profit, Non-governmental Organization</t>
  </si>
  <si>
    <t>P28, P91</t>
  </si>
  <si>
    <t>Online participatory democracy, Participatory Democracy</t>
  </si>
  <si>
    <t>P17, P43</t>
  </si>
  <si>
    <t>Ranking Transparency</t>
  </si>
  <si>
    <t>Transdisciplinary Research</t>
  </si>
  <si>
    <t>Software Analytics Tool</t>
  </si>
  <si>
    <t>Stack Overflow</t>
  </si>
  <si>
    <t>Value Sensitive Design</t>
  </si>
  <si>
    <t>Open Science</t>
  </si>
  <si>
    <t>Queue management</t>
  </si>
  <si>
    <t>Graph Databases</t>
  </si>
  <si>
    <t>Outreach</t>
  </si>
  <si>
    <t>Diverse end-users</t>
  </si>
  <si>
    <t>Shared attention</t>
  </si>
  <si>
    <t>Action research</t>
  </si>
  <si>
    <t>Sensitive Data</t>
  </si>
  <si>
    <t>cognitive styles</t>
  </si>
  <si>
    <t>Interoperability</t>
  </si>
  <si>
    <t>EDI</t>
  </si>
  <si>
    <t>Neurodiversity</t>
  </si>
  <si>
    <t>Green AI</t>
  </si>
  <si>
    <t>nonfunctional requirements</t>
  </si>
  <si>
    <t>Research Impact</t>
  </si>
  <si>
    <t>Professional skills</t>
  </si>
  <si>
    <t>human-computer interaction.</t>
  </si>
  <si>
    <t>interview feedback</t>
  </si>
  <si>
    <t>Values@Runtime</t>
  </si>
  <si>
    <t>Social Activism</t>
  </si>
  <si>
    <t>portfolio theory</t>
  </si>
  <si>
    <t>Self-admitted Technical Debt</t>
  </si>
  <si>
    <t>Data Literacy</t>
  </si>
  <si>
    <t>diversity and inclusion</t>
  </si>
  <si>
    <t>Middleware</t>
  </si>
  <si>
    <t>Natural Language Processing</t>
  </si>
  <si>
    <t>Intellectual Disability</t>
  </si>
  <si>
    <t>Competence-Confidence Gap</t>
  </si>
  <si>
    <t>Perceived Productivity</t>
  </si>
  <si>
    <t>adaptive user interface</t>
  </si>
  <si>
    <t>App store mining</t>
  </si>
  <si>
    <t>Autism</t>
  </si>
  <si>
    <t>Harmful Micropolitics</t>
  </si>
  <si>
    <t>Surveillance</t>
  </si>
  <si>
    <t>technical interviews</t>
  </si>
  <si>
    <t>Human-centric issues</t>
  </si>
  <si>
    <t>smart sewer systems</t>
  </si>
  <si>
    <t>ML-enabled systems</t>
  </si>
  <si>
    <t>LGBTQIA+.</t>
  </si>
  <si>
    <t>reddit</t>
  </si>
  <si>
    <t>Online Forums</t>
  </si>
  <si>
    <t>Micro-languages</t>
  </si>
  <si>
    <t>Categorization</t>
  </si>
  <si>
    <t>CLINICAL DATA</t>
  </si>
  <si>
    <t>Reproducibility</t>
  </si>
  <si>
    <t>monitoring</t>
  </si>
  <si>
    <t>Digital Divide</t>
  </si>
  <si>
    <t>Self-adaptive systems</t>
  </si>
  <si>
    <t>Image classification</t>
  </si>
  <si>
    <t>Review Analysis</t>
  </si>
  <si>
    <t>adaptation</t>
  </si>
  <si>
    <t>fairness</t>
  </si>
  <si>
    <t>Software cloning</t>
  </si>
  <si>
    <t>Cross-disciplinary Initiative</t>
  </si>
  <si>
    <t>Swedish Government Agencies</t>
  </si>
  <si>
    <t>Workplace Discrimination</t>
  </si>
  <si>
    <t>Uncertainty Avoidance</t>
  </si>
  <si>
    <t>proof-of-concept</t>
  </si>
  <si>
    <t>Water management</t>
  </si>
  <si>
    <t>Female Developers</t>
  </si>
  <si>
    <t>Interactive Visualization</t>
  </si>
  <si>
    <t>Process Improvement</t>
  </si>
  <si>
    <t>Accessability</t>
  </si>
  <si>
    <t>Datasets</t>
  </si>
  <si>
    <t>Quality of Life.</t>
  </si>
  <si>
    <t>Archival Infrastructure</t>
  </si>
  <si>
    <t>Online Direct Democracy</t>
  </si>
  <si>
    <t>User Experience</t>
  </si>
  <si>
    <t>Social Compatibility</t>
  </si>
  <si>
    <t>Crisis management</t>
  </si>
  <si>
    <t>Cognitive Support</t>
  </si>
  <si>
    <t>Karlskrona Manifesto for Sustainability Design</t>
  </si>
  <si>
    <t>recurrent neural network</t>
  </si>
  <si>
    <t>Participatory budgeting</t>
  </si>
  <si>
    <t>Emotions</t>
  </si>
  <si>
    <t>human-device interaction</t>
  </si>
  <si>
    <t>Complex Systems</t>
  </si>
  <si>
    <t>criteria</t>
  </si>
  <si>
    <t>Co-Design</t>
  </si>
  <si>
    <t>Resource management</t>
  </si>
  <si>
    <t>children’s drawings</t>
  </si>
  <si>
    <t>payment for security</t>
  </si>
  <si>
    <t>application-generation</t>
  </si>
  <si>
    <t>User Centered Design (UCD)</t>
  </si>
  <si>
    <t>Environmental Modelling</t>
  </si>
  <si>
    <t>Quality Management Process</t>
  </si>
  <si>
    <t>U.S. courts</t>
  </si>
  <si>
    <t>Socio-Economic Factors</t>
  </si>
  <si>
    <t>Crowdsourcing</t>
  </si>
  <si>
    <t>Social sensing</t>
  </si>
  <si>
    <t>technical</t>
  </si>
  <si>
    <t>Programming Language</t>
  </si>
  <si>
    <t>questionnaire-based survey</t>
  </si>
  <si>
    <t>Content Analysis</t>
  </si>
  <si>
    <t>Collaborative proposal making</t>
  </si>
  <si>
    <t>Citizen science</t>
  </si>
  <si>
    <t>Design Patterns</t>
  </si>
  <si>
    <t>Versioning</t>
  </si>
  <si>
    <t>Usability</t>
  </si>
  <si>
    <t>Principled Morality</t>
  </si>
  <si>
    <t>Web applications</t>
  </si>
  <si>
    <t>IoT</t>
  </si>
  <si>
    <t>Software composition</t>
  </si>
  <si>
    <t>Inclusive Speech</t>
  </si>
  <si>
    <t>Continuing Education</t>
  </si>
  <si>
    <t>Configuration Tuning</t>
  </si>
  <si>
    <t>systems transition</t>
  </si>
  <si>
    <t>Computing Education</t>
  </si>
  <si>
    <t>Society-Oriented Applications Development</t>
  </si>
  <si>
    <t>Stability</t>
  </si>
  <si>
    <t>Design features</t>
  </si>
  <si>
    <t>Democratic assembly</t>
  </si>
  <si>
    <t>Mobile Data Collection</t>
  </si>
  <si>
    <t>Current Practice and Future Steps</t>
  </si>
  <si>
    <t>Source Code Preservation</t>
  </si>
  <si>
    <t>voice application</t>
  </si>
  <si>
    <t>Software Development Census</t>
  </si>
  <si>
    <t>Disaster response</t>
  </si>
  <si>
    <t>Contracting</t>
  </si>
  <si>
    <t>Conceptual Model</t>
  </si>
  <si>
    <t>Science Communication</t>
  </si>
  <si>
    <t>Socially conscious software</t>
  </si>
  <si>
    <t>digital government</t>
  </si>
  <si>
    <t>Law &amp; Economics</t>
  </si>
  <si>
    <t>individual sustainability.</t>
  </si>
  <si>
    <t>Agile Contracts</t>
  </si>
  <si>
    <t>Governance Rules</t>
  </si>
  <si>
    <t>Route Training</t>
  </si>
  <si>
    <t>Voting.</t>
  </si>
  <si>
    <t>immigration</t>
  </si>
  <si>
    <t>Toxicity Detector</t>
  </si>
  <si>
    <t>Patients</t>
  </si>
  <si>
    <t>Whistleblowing</t>
  </si>
  <si>
    <t>Performance</t>
  </si>
  <si>
    <t>Granger Causality</t>
  </si>
  <si>
    <t>algorithmic discrimination</t>
  </si>
  <si>
    <t>Inclusivity Bugs</t>
  </si>
  <si>
    <t>Data Exploration</t>
  </si>
  <si>
    <t>Individ-ualism</t>
  </si>
  <si>
    <t>Information Architecture</t>
  </si>
  <si>
    <t>CBAM extension</t>
  </si>
  <si>
    <t>vulnerable populations</t>
  </si>
  <si>
    <t>Eye-tracking</t>
  </si>
  <si>
    <t>Deployment</t>
  </si>
  <si>
    <t>Portinari</t>
  </si>
  <si>
    <t>whiteboard</t>
  </si>
  <si>
    <t>Cervical Cancer Screening</t>
  </si>
  <si>
    <t>smart energy system</t>
  </si>
  <si>
    <t>Fisherfolk Communities</t>
  </si>
  <si>
    <t>Digital Preservation</t>
  </si>
  <si>
    <t>D&amp;I initiative</t>
  </si>
  <si>
    <t>User Confidence</t>
  </si>
  <si>
    <t>SAP ERP</t>
  </si>
  <si>
    <t>micro-inequities</t>
  </si>
  <si>
    <t>Faking</t>
  </si>
  <si>
    <t>Multi-Objective Optimization</t>
  </si>
  <si>
    <t>mHealth applications</t>
  </si>
  <si>
    <t>WRF</t>
  </si>
  <si>
    <t>Crowd monitoring</t>
  </si>
  <si>
    <t>Bangladesh</t>
  </si>
  <si>
    <t>ADHD</t>
  </si>
  <si>
    <t>Emotional Complexity</t>
  </si>
  <si>
    <t>Domain-specific</t>
  </si>
  <si>
    <t>Cogitive walkthrough</t>
  </si>
  <si>
    <t>Outdoor navigation</t>
  </si>
  <si>
    <t>Layered Reuse</t>
  </si>
  <si>
    <t>scalability</t>
  </si>
  <si>
    <t>Deduplication</t>
  </si>
  <si>
    <t>Sink or Swim</t>
  </si>
  <si>
    <t>Requirements Pattern</t>
  </si>
  <si>
    <t>Iterative Process.</t>
  </si>
  <si>
    <t>Open data</t>
  </si>
  <si>
    <t>Knowledge Sharing</t>
  </si>
  <si>
    <t>Emergency</t>
  </si>
  <si>
    <t>Scratch</t>
  </si>
  <si>
    <t>Collaborative Learning</t>
  </si>
  <si>
    <t>Intellectual Property Rights (IPRs)</t>
  </si>
  <si>
    <t>Hackathons</t>
  </si>
  <si>
    <t>primary school students</t>
  </si>
  <si>
    <t>AUI</t>
  </si>
  <si>
    <t>Mylyn</t>
  </si>
  <si>
    <t>Early Career Experience</t>
  </si>
  <si>
    <t>Code contributions</t>
  </si>
  <si>
    <t>Ambiguity Resolution</t>
  </si>
  <si>
    <t>metamorphic testing</t>
  </si>
  <si>
    <t>Provenance</t>
  </si>
  <si>
    <t>Physical Activity</t>
  </si>
  <si>
    <t>Persona</t>
  </si>
  <si>
    <t>Responsible Research Practice</t>
  </si>
  <si>
    <t>European Court of Justice</t>
  </si>
  <si>
    <t>supermarket</t>
  </si>
  <si>
    <t>Androgogy</t>
  </si>
  <si>
    <t>Conceptual Tools</t>
  </si>
  <si>
    <t>Tailored Solutions</t>
  </si>
  <si>
    <t>Family Caregivers</t>
  </si>
  <si>
    <t>Industry require- ments</t>
  </si>
  <si>
    <t>application-maintenance</t>
  </si>
  <si>
    <t>Digitization</t>
  </si>
  <si>
    <t>Maintainers</t>
  </si>
  <si>
    <t>recommendations</t>
  </si>
  <si>
    <t>Men's Orientations</t>
  </si>
  <si>
    <t>Extensive analysis</t>
  </si>
  <si>
    <t>validation</t>
  </si>
  <si>
    <t>ICSE</t>
  </si>
  <si>
    <t>Experimentation</t>
  </si>
  <si>
    <t>robustness</t>
  </si>
  <si>
    <t>Exceptional scenarios</t>
  </si>
  <si>
    <t>Alexa</t>
  </si>
  <si>
    <t>Code for Ireland</t>
  </si>
  <si>
    <t>reflection</t>
  </si>
  <si>
    <t>Distributed message-passing model</t>
  </si>
  <si>
    <t>Obstacles</t>
  </si>
  <si>
    <t>conferences</t>
  </si>
  <si>
    <t>Assistive Computing</t>
  </si>
  <si>
    <t>Participant Studies</t>
  </si>
  <si>
    <t>Case law analysis</t>
  </si>
  <si>
    <t>chronic disease</t>
  </si>
  <si>
    <t>Representation</t>
  </si>
  <si>
    <t>Future Directions</t>
  </si>
  <si>
    <t>equity</t>
  </si>
  <si>
    <t>Renewable Energy</t>
  </si>
  <si>
    <t>Decision map.</t>
  </si>
  <si>
    <t>Deliberation</t>
  </si>
  <si>
    <t>Green Software Engineering</t>
  </si>
  <si>
    <t>Digital Ecclesia</t>
  </si>
  <si>
    <t>Pushback Detector</t>
  </si>
  <si>
    <t>Marginalized</t>
  </si>
  <si>
    <t>Measurement</t>
  </si>
  <si>
    <t>Harmful Terminology</t>
  </si>
  <si>
    <t>Software energy consumption</t>
  </si>
  <si>
    <t>Cognitive revolution</t>
  </si>
  <si>
    <t>Humor</t>
  </si>
  <si>
    <t>Surgery Planning</t>
  </si>
  <si>
    <t>re- views</t>
  </si>
  <si>
    <t>children</t>
  </si>
  <si>
    <t>Replication</t>
  </si>
  <si>
    <t>Profiling</t>
  </si>
  <si>
    <t>Compliance Assessment</t>
  </si>
  <si>
    <t>risk management</t>
  </si>
  <si>
    <t>Narrative</t>
  </si>
  <si>
    <t>contradictions.</t>
  </si>
  <si>
    <t>vetting</t>
  </si>
  <si>
    <t>Incubator</t>
  </si>
  <si>
    <t>Wildfire</t>
  </si>
  <si>
    <t>sUAS</t>
  </si>
  <si>
    <t>runtime</t>
  </si>
  <si>
    <t>Reference Model</t>
  </si>
  <si>
    <t>operationalisation</t>
  </si>
  <si>
    <t>Creativity</t>
  </si>
  <si>
    <t>Search</t>
  </si>
  <si>
    <t>Legal implications</t>
  </si>
  <si>
    <t>Generalization of Detection Tools</t>
  </si>
  <si>
    <t>DISEASE PREDICTION</t>
  </si>
  <si>
    <t>Computer-mediated Communication</t>
  </si>
  <si>
    <t>Em- pirical Study</t>
  </si>
  <si>
    <t>STEM</t>
  </si>
  <si>
    <t>Topic modeling</t>
  </si>
  <si>
    <t>Information dashboard</t>
  </si>
  <si>
    <t>ASF</t>
  </si>
  <si>
    <t>LinkedIn</t>
  </si>
  <si>
    <t>game theory</t>
  </si>
  <si>
    <t>Diversity and Inclusion</t>
  </si>
  <si>
    <t>Open Source</t>
  </si>
  <si>
    <t>Ethics</t>
  </si>
  <si>
    <t>Social Media</t>
  </si>
  <si>
    <t>Atypical Interaction Capabilities</t>
  </si>
  <si>
    <t>Category</t>
  </si>
  <si>
    <t>ID Count</t>
  </si>
  <si>
    <t>C1</t>
  </si>
  <si>
    <t>P01, P04, P05, P06, P09, P10, P11, P13, P14, P19, P21, P36, P45, P54, P107, P116, P118</t>
  </si>
  <si>
    <t>sustainability, karlskrona manifesto for sustainability design, sustainability, long-term sustainability, cognitive sustainability, sustainability, sustainability design, sustainability, environmental, individual sustainability, sustainability, sustainability requirement, environmental science, environmental modelling, sustainability, sustainability, sustainability, environmental sustainability, sustainable ict, societal sustainability, social responsibility, social sustainability, social sustainability, sustainable software engineering, green software engineering, software sustainability, green ai, sustainability debt</t>
  </si>
  <si>
    <t>C2</t>
  </si>
  <si>
    <t>P71, P76, P77, P80, P81, P85, P86, P88, P90, P91, P96, P97, P103, P104, P108, P111</t>
  </si>
  <si>
    <t>diversity, diverse end-users, diversity, diversity, diversity, diversity and inclusion, diversity, diversity, diversity, diversity, diversity awareness, adaptation, gender diversity, diversity, diversity, inclusion, inclusion, inclusion, inclusion, inclusive speech, inclusion, inclusion</t>
  </si>
  <si>
    <t>C3</t>
  </si>
  <si>
    <t>Research Methodology</t>
  </si>
  <si>
    <t>P15, P16, P40, P42, P53, P54, P55, P66, P75, P94, P96, P100, P111, P123</t>
  </si>
  <si>
    <t xml:space="preserve">action research, case law analysis, case study, case study, participant studies, case study, case study, case study, empirical study, empirical study, empirical study, empirical study, empirical study, empirical studies, </t>
  </si>
  <si>
    <t>C4</t>
  </si>
  <si>
    <t>P06, P21, P28, P29, P44, P72, P77, P81, P84, P85, P86, P99, P104</t>
  </si>
  <si>
    <t>open source software (oss), open source software engineering, open source software, free/open source software (foss), open-source software, open-source software analysis, open source software development, open source software, open source, open source software, open source, open source, open source, open science, open source, open-source software</t>
  </si>
  <si>
    <t>C5</t>
  </si>
  <si>
    <t>P08, P09, P35, P53, P63, P70, P92, P97, P101, P106</t>
  </si>
  <si>
    <t>ethical concerns, ethics, principled morality, harmful micropolitics, ethics, whistleblowing, ethics, harmful terminology, socio-ethical policy, responsibility</t>
  </si>
  <si>
    <t>C6</t>
  </si>
  <si>
    <t>P38, P40, P69, P71, P85, P88, P89, P90, P120</t>
  </si>
  <si>
    <t>gender bias, men's orientations, gender stereotypes, gender balance, persona, gender, gender, gender inequalities, lgbtqia+, gender, female developers, women, women</t>
  </si>
  <si>
    <t>C7</t>
  </si>
  <si>
    <t>P25, P42, P63, P68, P82, P92, P110, P114</t>
  </si>
  <si>
    <t>twitter, stack overflow, online forums, social media, advertising, facebook, social media, crowdsourcing, social network, reddit, online platforms, linkedin</t>
  </si>
  <si>
    <t>C8</t>
  </si>
  <si>
    <t>Education</t>
  </si>
  <si>
    <t>P24, P47, P49, P83, P89, P93, P102</t>
  </si>
  <si>
    <t>school, whiteboard, education, individualism, education, computing education, continuing education, accessibility education, androgogy, digital literacy, primary school students</t>
  </si>
  <si>
    <t>C9</t>
  </si>
  <si>
    <t>P50, P78, P111, P10, P95</t>
  </si>
  <si>
    <t>intellectual disability, autism, adhd, dementia, cognitive impairment, neurodiversity</t>
  </si>
  <si>
    <t xml:space="preserve">   ID</t>
  </si>
  <si>
    <t>Social Sustainability</t>
  </si>
  <si>
    <t>Economic Sustainability</t>
  </si>
  <si>
    <t>Environmental Sustainability</t>
  </si>
  <si>
    <t>Technical Sustainability</t>
  </si>
  <si>
    <t>Social</t>
  </si>
  <si>
    <t>Economic</t>
  </si>
  <si>
    <t>Environmental</t>
  </si>
  <si>
    <t>Technical</t>
  </si>
  <si>
    <t>Focus of the contribution</t>
  </si>
  <si>
    <t>CITATIONS</t>
  </si>
  <si>
    <t>Community and Social Interaction</t>
  </si>
  <si>
    <t>Cost Efficiency</t>
  </si>
  <si>
    <t>Energy Efficiency</t>
  </si>
  <si>
    <t>System Longevity</t>
  </si>
  <si>
    <t>mindset</t>
  </si>
  <si>
    <t>User Trust and Privacy</t>
  </si>
  <si>
    <t>Reusability of Design Patterns</t>
  </si>
  <si>
    <t>solutions</t>
  </si>
  <si>
    <t>Community Engagement</t>
  </si>
  <si>
    <t>Cost-Effective</t>
  </si>
  <si>
    <t>Renewable Energy Integration</t>
  </si>
  <si>
    <t>Scalability</t>
  </si>
  <si>
    <t>skills</t>
  </si>
  <si>
    <t>Human Values</t>
  </si>
  <si>
    <t>model</t>
  </si>
  <si>
    <t>Longevity and Adaptability</t>
  </si>
  <si>
    <t>programming language</t>
  </si>
  <si>
    <t>Maintainable and Adaptable</t>
  </si>
  <si>
    <t>SE process</t>
  </si>
  <si>
    <t>Resource Efficiency</t>
  </si>
  <si>
    <t>activism</t>
  </si>
  <si>
    <t>Improved Coordination</t>
  </si>
  <si>
    <t>Scalability and Flexibility</t>
  </si>
  <si>
    <t>SOA</t>
  </si>
  <si>
    <t>Iterative Ethical Framework</t>
  </si>
  <si>
    <t>Support for Social Communities(Dementia patients in this case)</t>
  </si>
  <si>
    <t>Reducing Healthcare Costs</t>
  </si>
  <si>
    <t>Long-term Use and Adaptation</t>
  </si>
  <si>
    <t>SE challenges</t>
  </si>
  <si>
    <t>Privacy, Work-Life Balance</t>
  </si>
  <si>
    <t>cognition</t>
  </si>
  <si>
    <t>profiling method</t>
  </si>
  <si>
    <t>Cost Considerations</t>
  </si>
  <si>
    <t>skills and organisation priorities</t>
  </si>
  <si>
    <t>Societal Contribution</t>
  </si>
  <si>
    <t>Maintainability</t>
  </si>
  <si>
    <t>estimation</t>
  </si>
  <si>
    <t>Cost-Efficiency</t>
  </si>
  <si>
    <t>Market Competition</t>
  </si>
  <si>
    <t>law</t>
  </si>
  <si>
    <t>effective use of resources by Participatory Budgeting</t>
  </si>
  <si>
    <t>Integration and Flexibility</t>
  </si>
  <si>
    <t>SE (process + product)</t>
  </si>
  <si>
    <t>Health</t>
  </si>
  <si>
    <t>Economic Prosperity</t>
  </si>
  <si>
    <t>Energy Policy</t>
  </si>
  <si>
    <t>embed policy in SE</t>
  </si>
  <si>
    <t>Societal Impact</t>
  </si>
  <si>
    <t>SE (RE)</t>
  </si>
  <si>
    <t>SE (RE) and process</t>
  </si>
  <si>
    <t>sustainable community</t>
  </si>
  <si>
    <t>Community Building</t>
  </si>
  <si>
    <t xml:space="preserve">SE </t>
  </si>
  <si>
    <t>Community Health</t>
  </si>
  <si>
    <t>tool</t>
  </si>
  <si>
    <t>data collection</t>
  </si>
  <si>
    <t>continuously analyze and integrate</t>
  </si>
  <si>
    <t>method/tool</t>
  </si>
  <si>
    <t>middleware</t>
  </si>
  <si>
    <t>integration of energy consumption considerations into the software development lifecycle</t>
  </si>
  <si>
    <t>environmental awareness</t>
  </si>
  <si>
    <t>Cultural Preservation</t>
  </si>
  <si>
    <t>Adaptability</t>
  </si>
  <si>
    <t>platform</t>
  </si>
  <si>
    <t>role of foundations</t>
  </si>
  <si>
    <t>Inclusivity</t>
  </si>
  <si>
    <t>user feedback</t>
  </si>
  <si>
    <t>User-Centered Design</t>
  </si>
  <si>
    <t>Human Centered Design</t>
  </si>
  <si>
    <t>Cost of Errors(Cost Efficiency)</t>
  </si>
  <si>
    <t>Fairness</t>
  </si>
  <si>
    <t>Automation and Deep Learning</t>
  </si>
  <si>
    <t>policy embedding tool</t>
  </si>
  <si>
    <t>Accessibility</t>
  </si>
  <si>
    <t>resource efficiency</t>
  </si>
  <si>
    <t>cloud</t>
  </si>
  <si>
    <t>Privacy</t>
  </si>
  <si>
    <t>IS design</t>
  </si>
  <si>
    <t>addressing gender gaps</t>
  </si>
  <si>
    <t>Maximizing Impact and Growth</t>
  </si>
  <si>
    <t>gender gap</t>
  </si>
  <si>
    <t>inclusivity</t>
  </si>
  <si>
    <t>Inclusivity and Diversity</t>
  </si>
  <si>
    <t>gender balance</t>
  </si>
  <si>
    <t>User Trust</t>
  </si>
  <si>
    <t>Trust in the system and the developers can lead to increased user engagement and investment</t>
  </si>
  <si>
    <t>guidelines for addresisng trust in BC</t>
  </si>
  <si>
    <t>Security</t>
  </si>
  <si>
    <t>interaction "patterns"</t>
  </si>
  <si>
    <t>resource management(water)</t>
  </si>
  <si>
    <t>skills (gender infleunce on decision)</t>
  </si>
  <si>
    <t>Generational Equity</t>
  </si>
  <si>
    <t>Economic Value</t>
  </si>
  <si>
    <t>Energy Efficiency,Reducing Carbon</t>
  </si>
  <si>
    <t>Long-term Use</t>
  </si>
  <si>
    <t>design</t>
  </si>
  <si>
    <t>Human Trust, System Trust, Psycological Narrative</t>
  </si>
  <si>
    <t>Trust, Safety critical system, smart software agents</t>
  </si>
  <si>
    <t>Employment Issues</t>
  </si>
  <si>
    <t>hiring SEers</t>
  </si>
  <si>
    <t>Robustness, Resilience</t>
  </si>
  <si>
    <t>user centered design</t>
  </si>
  <si>
    <t>design method</t>
  </si>
  <si>
    <t>intellectual disability ,adapted navigational assistance, easy-to-
read text, visual communication</t>
  </si>
  <si>
    <t>SW product</t>
  </si>
  <si>
    <t>application generation, maintenance</t>
  </si>
  <si>
    <t>tools</t>
  </si>
  <si>
    <t>collaboration, social good</t>
  </si>
  <si>
    <t>SE / RE Cares events</t>
  </si>
  <si>
    <t>micopolitics</t>
  </si>
  <si>
    <t>cost, logistics</t>
  </si>
  <si>
    <t>reuse</t>
  </si>
  <si>
    <t>Layered reuse</t>
  </si>
  <si>
    <t>ERP</t>
  </si>
  <si>
    <t>urban security, visitor comfort, toursism sustianability</t>
  </si>
  <si>
    <t>crowd monitoring system</t>
  </si>
  <si>
    <t>maintenance cost</t>
  </si>
  <si>
    <t>technical debt</t>
  </si>
  <si>
    <t>technical debt analysis</t>
  </si>
  <si>
    <t>community smells</t>
  </si>
  <si>
    <t>behavior in SE process</t>
  </si>
  <si>
    <t>user values</t>
  </si>
  <si>
    <t>RE</t>
  </si>
  <si>
    <t>Gender Inclusiveness</t>
  </si>
  <si>
    <t>Ethical Values</t>
  </si>
  <si>
    <t>perception</t>
  </si>
  <si>
    <t>hiring</t>
  </si>
  <si>
    <t>requirements in SE</t>
  </si>
  <si>
    <t>Community Enhancing</t>
  </si>
  <si>
    <t>taxonomy</t>
  </si>
  <si>
    <t>Public Safety</t>
  </si>
  <si>
    <t>Environmental Monitoring and Protection</t>
  </si>
  <si>
    <t>app</t>
  </si>
  <si>
    <t>Improving Communication(through examine culture diff)</t>
  </si>
  <si>
    <t>Tom K. Landauer, Sai T. Moturu, Yiwen Huang</t>
  </si>
  <si>
    <t>Inclusiveness and Diversity</t>
  </si>
  <si>
    <t>Compatibility</t>
  </si>
  <si>
    <t>platforms</t>
  </si>
  <si>
    <t>Davide Fucci, Rafael Sachez, David Shepherd, Nachiappan Nagappan</t>
  </si>
  <si>
    <t xml:space="preserve">culture in SE </t>
  </si>
  <si>
    <t>Accessibility, Inclusiveness</t>
  </si>
  <si>
    <t>Inclusiveness</t>
  </si>
  <si>
    <t>tool to detect policy adherence</t>
  </si>
  <si>
    <t>Inclusion and Accessibility</t>
  </si>
  <si>
    <t>gender issues</t>
  </si>
  <si>
    <t>Public Health(In order to face further crisis)</t>
  </si>
  <si>
    <t>dashboard</t>
  </si>
  <si>
    <t>classifiers</t>
  </si>
  <si>
    <t>Gender Diversity</t>
  </si>
  <si>
    <t>DSL</t>
  </si>
  <si>
    <t>Access and Equity</t>
  </si>
  <si>
    <t>long-term usability</t>
  </si>
  <si>
    <t>human-centric issues</t>
  </si>
  <si>
    <t>Gender Inequality</t>
  </si>
  <si>
    <t>debugging process</t>
  </si>
  <si>
    <t>impact analysis</t>
  </si>
  <si>
    <t>approach</t>
  </si>
  <si>
    <t>Inclusiveness,Access and Equity</t>
  </si>
  <si>
    <t>analysis</t>
  </si>
  <si>
    <t>Equity</t>
  </si>
  <si>
    <t>SE process (dashboarding)</t>
  </si>
  <si>
    <t>Diversity, User Experience, Self-efficacy</t>
  </si>
  <si>
    <t>Bugs</t>
  </si>
  <si>
    <t>Security Thinking</t>
  </si>
  <si>
    <t>guidelines</t>
  </si>
  <si>
    <t>gender, social congnition (belief, attitude, action)</t>
  </si>
  <si>
    <t>perceptions</t>
  </si>
  <si>
    <t>remote work, visibility, security, isolation, invisibility, LGBTQIA+</t>
  </si>
  <si>
    <t xml:space="preserve">inclusivity, </t>
  </si>
  <si>
    <t>marginalized communities, ethical concerns, privacy, misinformation, discrimination</t>
  </si>
  <si>
    <t>development practices</t>
  </si>
  <si>
    <t>inequity, software ethics, AI/ML bias</t>
  </si>
  <si>
    <t>AI?ML bias</t>
  </si>
  <si>
    <t xml:space="preserve">low socio-economic background, digital literacy, </t>
  </si>
  <si>
    <t>prototyping for tacit knowledge transfer</t>
  </si>
  <si>
    <t xml:space="preserve">mobility training, inclusive design, conginitive impairments, </t>
  </si>
  <si>
    <t>inclusive design practices</t>
  </si>
  <si>
    <t>training system</t>
  </si>
  <si>
    <t>diversity</t>
  </si>
  <si>
    <t>diversity awarenss model for SE studies</t>
  </si>
  <si>
    <t>DB + tool</t>
  </si>
  <si>
    <t>maintainability</t>
  </si>
  <si>
    <t>testing</t>
  </si>
  <si>
    <t>efficient resource use</t>
  </si>
  <si>
    <t>scientific impact, analysis</t>
  </si>
  <si>
    <t>Inclusivity and Accessibility</t>
  </si>
  <si>
    <r>
      <rPr>
        <sz val="12"/>
        <color theme="1"/>
        <rFont val="Calibri, sans-serif"/>
      </rPr>
      <t>Values@Runtime: An Adaptive Framework for Operationalising Values</t>
    </r>
  </si>
  <si>
    <t>Creating Knowledge</t>
  </si>
  <si>
    <t>Impact on Consumer Behavior</t>
  </si>
  <si>
    <t>analysis (workplace discrimination)</t>
  </si>
  <si>
    <t xml:space="preserve">Developer engagement, collaboration, </t>
  </si>
  <si>
    <t>Energy Patterns, Resource usage, Energy Consumption</t>
  </si>
  <si>
    <t>Energy Patterns</t>
  </si>
  <si>
    <t>Micro-inequities, Immigration perspectice, inclusivity, awareness</t>
  </si>
  <si>
    <t>Privacy, Usability</t>
  </si>
  <si>
    <t>Security and privacy architectures, Runtime monitoring</t>
  </si>
  <si>
    <t>Equitable Online ecosystem</t>
  </si>
  <si>
    <t>Regulatory compliance</t>
  </si>
  <si>
    <t>Documnetation</t>
  </si>
  <si>
    <t>tool (for compliance)</t>
  </si>
  <si>
    <t>Challenges and Strengths of Neurodivergent individuals, Sustainable working pace, burnout, career path, awareness, wokplace safety, wrokmode flexibility</t>
  </si>
  <si>
    <t>Discrimination based on :Gender, Ethnicity, Culture, Disability, Sexual Oreintation, Geography, Age</t>
  </si>
  <si>
    <t>Algortihmic Discrimination</t>
  </si>
  <si>
    <t>Cultural Dispersion</t>
  </si>
  <si>
    <t>Total</t>
  </si>
  <si>
    <t>Content sharing</t>
  </si>
  <si>
    <t>Imposter phenomenon</t>
  </si>
  <si>
    <t xml:space="preserve">criteria: multidisciplinarity of development team, sustainable collaboration, team culture, willingness to change, communication transparency, team participation, </t>
  </si>
  <si>
    <t>criteria: business continuitty of development environment</t>
  </si>
  <si>
    <t xml:space="preserve">criteria: resource intensive operations, </t>
  </si>
  <si>
    <t xml:space="preserve">criteria: best practices, technical debt reduction capacity, handling changing requirements, maintainability, feedback loops, automated quality checks,  test management, continuous sustainability improvement, sustainable design decisions, </t>
  </si>
  <si>
    <t>SE process, sust. criteria</t>
  </si>
  <si>
    <t>adaptive UI</t>
  </si>
  <si>
    <t>product</t>
  </si>
  <si>
    <t>green architecture tactics</t>
  </si>
  <si>
    <t>architectural tactics</t>
  </si>
  <si>
    <t>LLM model size, inference latency, energy consumption, carbon footprint</t>
  </si>
  <si>
    <t>effectiveness (prediction accuracy)</t>
  </si>
  <si>
    <t>gender bias, harassment, work-life imbalance, undervaluation, low sense
of belonging, and impostor syndrome.</t>
  </si>
  <si>
    <t>analysis, recommendations</t>
  </si>
  <si>
    <t>early career experience, (Newbie Sink or Swim Smell)</t>
  </si>
  <si>
    <t>analysis, suggestions</t>
  </si>
  <si>
    <t>stakeholder perspective, transparency</t>
  </si>
  <si>
    <t>decision making</t>
  </si>
  <si>
    <t>product, decisions</t>
  </si>
  <si>
    <t>smart local energy</t>
  </si>
  <si>
    <t>systems of systems, requirements</t>
  </si>
  <si>
    <t>SE/RE, product</t>
  </si>
  <si>
    <t xml:space="preserve">   </t>
  </si>
  <si>
    <t>Resource Efficiency,  renewable energy sources</t>
  </si>
  <si>
    <t>privacy</t>
  </si>
  <si>
    <t>analysis of app reviews</t>
  </si>
  <si>
    <t>socio technical factors</t>
  </si>
  <si>
    <t>Documentation</t>
  </si>
  <si>
    <t>image analysis</t>
  </si>
  <si>
    <r>
      <rPr>
        <sz val="12"/>
        <color theme="1"/>
        <rFont val="Calibri, sans-serif"/>
      </rPr>
      <t>Values@Runtime: An Adaptive Framework for Operationalising Values</t>
    </r>
  </si>
  <si>
    <t>(blank)</t>
  </si>
</sst>
</file>

<file path=xl/styles.xml><?xml version="1.0" encoding="utf-8"?>
<styleSheet xmlns="http://schemas.openxmlformats.org/spreadsheetml/2006/main" xmlns:mc="http://schemas.openxmlformats.org/markup-compatibility/2006" xmlns:x14ac="http://schemas.microsoft.com/office/spreadsheetml/2009/9/ac" mc:Ignorable="x14ac">
  <fonts count="26">
    <font>
      <sz val="12"/>
      <color rgb="FF000000"/>
      <name val="Calibri"/>
      <scheme val="minor"/>
    </font>
    <font>
      <b/>
      <i/>
      <sz val="12"/>
      <color theme="1"/>
      <name val="Calibri"/>
    </font>
    <font>
      <b/>
      <sz val="16"/>
      <color rgb="FF000000"/>
      <name val="Calibri"/>
    </font>
    <font>
      <b/>
      <i/>
      <sz val="12"/>
      <color rgb="FF000000"/>
      <name val="Calibri"/>
    </font>
    <font>
      <sz val="12"/>
      <color theme="1"/>
      <name val="Calibri"/>
    </font>
    <font>
      <sz val="11"/>
      <color rgb="FF000000"/>
      <name val="Calibri"/>
    </font>
    <font>
      <sz val="12"/>
      <color theme="1"/>
      <name val="Calibri"/>
    </font>
    <font>
      <sz val="12"/>
      <color rgb="FF000000"/>
      <name val="Calibri"/>
    </font>
    <font>
      <b/>
      <sz val="12"/>
      <color rgb="FF000000"/>
      <name val="Calibri"/>
    </font>
    <font>
      <b/>
      <sz val="12"/>
      <color theme="1"/>
      <name val="Calibri"/>
    </font>
    <font>
      <b/>
      <sz val="12"/>
      <color theme="1"/>
      <name val="Calibri"/>
      <scheme val="minor"/>
    </font>
    <font>
      <sz val="12"/>
      <color rgb="FF434343"/>
      <name val="Calibri"/>
    </font>
    <font>
      <sz val="12"/>
      <color rgb="FF434343"/>
      <name val="Roboto"/>
    </font>
    <font>
      <sz val="12"/>
      <color rgb="FF000000"/>
      <name val="Arial"/>
    </font>
    <font>
      <b/>
      <sz val="12"/>
      <color theme="1"/>
      <name val="Calibri"/>
    </font>
    <font>
      <i/>
      <sz val="12"/>
      <color rgb="FF000000"/>
      <name val="Calibri"/>
    </font>
    <font>
      <b/>
      <sz val="11"/>
      <color rgb="FF000000"/>
      <name val="Calibri"/>
    </font>
    <font>
      <sz val="12"/>
      <color rgb="FF000000"/>
      <name val="Arial"/>
    </font>
    <font>
      <sz val="9"/>
      <color rgb="FF000000"/>
      <name val="Arial"/>
    </font>
    <font>
      <sz val="12"/>
      <color theme="1"/>
      <name val="NimbusRomNo9L"/>
    </font>
    <font>
      <sz val="12"/>
      <color theme="1"/>
      <name val="Roboto"/>
    </font>
    <font>
      <sz val="17"/>
      <color theme="1"/>
      <name val="Calibri"/>
    </font>
    <font>
      <sz val="12"/>
      <color theme="1"/>
      <name val="Arial"/>
    </font>
    <font>
      <u/>
      <sz val="12"/>
      <color theme="1"/>
      <name val="Calibri, sans-serif"/>
    </font>
    <font>
      <u/>
      <sz val="12"/>
      <color rgb="FF0000FF"/>
      <name val="Calibri, sans-serif"/>
    </font>
    <font>
      <sz val="12"/>
      <color theme="1"/>
      <name val="Calibri, sans-serif"/>
    </font>
  </fonts>
  <fills count="12">
    <fill>
      <patternFill patternType="none"/>
    </fill>
    <fill>
      <patternFill patternType="gray125"/>
    </fill>
    <fill>
      <patternFill patternType="solid">
        <fgColor rgb="FFD9D9D9"/>
        <bgColor rgb="FFD9D9D9"/>
      </patternFill>
    </fill>
    <fill>
      <patternFill patternType="solid">
        <fgColor rgb="FFFFFFFF"/>
        <bgColor rgb="FFFFFFFF"/>
      </patternFill>
    </fill>
    <fill>
      <patternFill patternType="solid">
        <fgColor rgb="FFF8F9FA"/>
        <bgColor rgb="FFF8F9FA"/>
      </patternFill>
    </fill>
    <fill>
      <patternFill patternType="solid">
        <fgColor rgb="FFF2F2F2"/>
        <bgColor rgb="FFF2F2F2"/>
      </patternFill>
    </fill>
    <fill>
      <patternFill patternType="solid">
        <fgColor rgb="FFEFEFEF"/>
        <bgColor rgb="FFEFEFEF"/>
      </patternFill>
    </fill>
    <fill>
      <patternFill patternType="solid">
        <fgColor rgb="FFFCE5CD"/>
        <bgColor rgb="FFFCE5CD"/>
      </patternFill>
    </fill>
    <fill>
      <patternFill patternType="solid">
        <fgColor rgb="FFF4CCCC"/>
        <bgColor rgb="FFF4CCCC"/>
      </patternFill>
    </fill>
    <fill>
      <patternFill patternType="solid">
        <fgColor rgb="FFB6D7A8"/>
        <bgColor rgb="FFB6D7A8"/>
      </patternFill>
    </fill>
    <fill>
      <patternFill patternType="solid">
        <fgColor rgb="FFCFE2F3"/>
        <bgColor rgb="FFCFE2F3"/>
      </patternFill>
    </fill>
    <fill>
      <patternFill patternType="solid">
        <fgColor rgb="FFCCCCCC"/>
        <bgColor rgb="FFCCCCCC"/>
      </patternFill>
    </fill>
  </fills>
  <borders count="24">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style="thin">
        <color rgb="FF000000"/>
      </top>
      <bottom/>
      <diagonal/>
    </border>
    <border>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206">
    <xf numFmtId="0" fontId="0" fillId="0" borderId="0" xfId="0" applyFont="1" applyAlignment="1">
      <alignment vertical="top" wrapText="1"/>
    </xf>
    <xf numFmtId="0" fontId="1" fillId="0" borderId="1" xfId="0" applyFont="1" applyBorder="1" applyAlignment="1">
      <alignment horizontal="left" vertical="top" wrapText="1"/>
    </xf>
    <xf numFmtId="0" fontId="2" fillId="2" borderId="2" xfId="0" applyFont="1" applyFill="1" applyBorder="1" applyAlignment="1">
      <alignment horizontal="center" vertical="top"/>
    </xf>
    <xf numFmtId="0" fontId="3" fillId="0" borderId="2" xfId="0" applyFont="1" applyBorder="1" applyAlignment="1">
      <alignment horizontal="center" vertical="top"/>
    </xf>
    <xf numFmtId="0" fontId="4" fillId="0" borderId="3" xfId="0" applyFont="1" applyBorder="1" applyAlignment="1">
      <alignment horizontal="right" vertical="top"/>
    </xf>
    <xf numFmtId="0" fontId="4" fillId="3" borderId="3" xfId="0" applyFont="1" applyFill="1" applyBorder="1" applyAlignment="1">
      <alignment horizontal="left" vertical="top" wrapText="1"/>
    </xf>
    <xf numFmtId="0" fontId="4" fillId="0" borderId="3" xfId="0" applyFont="1" applyBorder="1" applyAlignment="1">
      <alignment horizontal="left" vertical="top" wrapText="1"/>
    </xf>
    <xf numFmtId="0" fontId="4" fillId="0" borderId="3" xfId="0" applyFont="1" applyBorder="1" applyAlignment="1">
      <alignment horizontal="center" vertical="top" wrapText="1"/>
    </xf>
    <xf numFmtId="0" fontId="5" fillId="0" borderId="0" xfId="0" applyFont="1" applyAlignment="1"/>
    <xf numFmtId="0" fontId="5" fillId="0" borderId="2" xfId="0" applyFont="1" applyBorder="1" applyAlignment="1">
      <alignment horizontal="right"/>
    </xf>
    <xf numFmtId="0" fontId="4" fillId="4" borderId="3" xfId="0" applyFont="1" applyFill="1" applyBorder="1" applyAlignment="1">
      <alignment horizontal="left" vertical="top" wrapText="1"/>
    </xf>
    <xf numFmtId="0" fontId="4" fillId="5" borderId="3" xfId="0" applyFont="1" applyFill="1" applyBorder="1" applyAlignment="1">
      <alignment horizontal="left" vertical="top" wrapText="1"/>
    </xf>
    <xf numFmtId="0" fontId="4" fillId="5" borderId="3" xfId="0" applyFont="1" applyFill="1" applyBorder="1" applyAlignment="1">
      <alignment horizontal="center" vertical="top" wrapText="1"/>
    </xf>
    <xf numFmtId="0" fontId="6" fillId="0" borderId="4" xfId="0" applyFont="1" applyBorder="1" applyAlignment="1">
      <alignment vertical="top" wrapText="1"/>
    </xf>
    <xf numFmtId="0" fontId="4" fillId="3" borderId="3" xfId="0" applyFont="1" applyFill="1" applyBorder="1" applyAlignment="1">
      <alignment horizontal="left"/>
    </xf>
    <xf numFmtId="0" fontId="4" fillId="0" borderId="3" xfId="0" applyFont="1" applyBorder="1" applyAlignment="1">
      <alignment horizontal="left"/>
    </xf>
    <xf numFmtId="0" fontId="4" fillId="4" borderId="3" xfId="0" applyFont="1" applyFill="1" applyBorder="1" applyAlignment="1">
      <alignment horizontal="left"/>
    </xf>
    <xf numFmtId="0" fontId="7" fillId="3" borderId="2" xfId="0" applyFont="1" applyFill="1" applyBorder="1" applyAlignment="1">
      <alignment horizontal="left"/>
    </xf>
    <xf numFmtId="0" fontId="4" fillId="5" borderId="3" xfId="0" applyFont="1" applyFill="1" applyBorder="1" applyAlignment="1">
      <alignment horizontal="left"/>
    </xf>
    <xf numFmtId="0" fontId="4" fillId="5" borderId="3" xfId="0" applyFont="1" applyFill="1" applyBorder="1" applyAlignment="1">
      <alignment horizontal="right"/>
    </xf>
    <xf numFmtId="0" fontId="7" fillId="0" borderId="0" xfId="0" applyFont="1" applyAlignment="1">
      <alignment horizontal="right" vertical="top" wrapText="1"/>
    </xf>
    <xf numFmtId="0" fontId="7" fillId="0" borderId="0" xfId="0" applyFont="1" applyAlignment="1">
      <alignment vertical="top" wrapText="1"/>
    </xf>
    <xf numFmtId="0" fontId="7" fillId="0" borderId="0" xfId="0" applyFont="1" applyAlignment="1">
      <alignment vertical="center" wrapText="1"/>
    </xf>
    <xf numFmtId="0" fontId="8" fillId="0" borderId="0" xfId="0" applyFont="1" applyAlignment="1">
      <alignment horizontal="right" vertical="top" wrapText="1"/>
    </xf>
    <xf numFmtId="0" fontId="9" fillId="0" borderId="1" xfId="0" applyFont="1" applyBorder="1" applyAlignment="1">
      <alignment horizontal="left" vertical="top" wrapText="1"/>
    </xf>
    <xf numFmtId="0" fontId="8" fillId="2" borderId="2" xfId="0" applyFont="1" applyFill="1" applyBorder="1" applyAlignment="1">
      <alignment horizontal="left" vertical="top"/>
    </xf>
    <xf numFmtId="0" fontId="8" fillId="0" borderId="2" xfId="0" applyFont="1" applyBorder="1" applyAlignment="1">
      <alignment horizontal="left" vertical="top"/>
    </xf>
    <xf numFmtId="0" fontId="10" fillId="0" borderId="0" xfId="0" applyFont="1" applyAlignment="1">
      <alignment vertical="top" wrapText="1"/>
    </xf>
    <xf numFmtId="0" fontId="4" fillId="0" borderId="3" xfId="0" applyFont="1" applyBorder="1" applyAlignment="1">
      <alignment horizontal="left" vertical="top"/>
    </xf>
    <xf numFmtId="0" fontId="5" fillId="0" borderId="2" xfId="0" applyFont="1" applyBorder="1" applyAlignment="1">
      <alignment horizontal="left"/>
    </xf>
    <xf numFmtId="0" fontId="5" fillId="0" borderId="2" xfId="0" applyFont="1" applyBorder="1" applyAlignment="1">
      <alignment horizontal="left"/>
    </xf>
    <xf numFmtId="0" fontId="3" fillId="0" borderId="1" xfId="0" applyFont="1" applyBorder="1" applyAlignment="1">
      <alignment horizontal="left" vertical="top" wrapText="1"/>
    </xf>
    <xf numFmtId="0" fontId="7" fillId="0" borderId="0" xfId="0" applyFont="1" applyAlignment="1">
      <alignment horizontal="center" vertical="top" wrapText="1"/>
    </xf>
    <xf numFmtId="0" fontId="8" fillId="0" borderId="2" xfId="0" applyFont="1" applyBorder="1" applyAlignment="1">
      <alignment horizontal="center" vertical="top"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11" fillId="3" borderId="3" xfId="0" applyFont="1" applyFill="1" applyBorder="1" applyAlignment="1">
      <alignment horizontal="left" vertical="top" wrapText="1"/>
    </xf>
    <xf numFmtId="0" fontId="7" fillId="0" borderId="3" xfId="0" applyFont="1" applyBorder="1" applyAlignment="1">
      <alignment horizontal="left" vertical="top" wrapText="1"/>
    </xf>
    <xf numFmtId="0" fontId="7" fillId="0" borderId="3" xfId="0" applyFont="1" applyBorder="1" applyAlignment="1">
      <alignment horizontal="center" vertical="top" wrapText="1"/>
    </xf>
    <xf numFmtId="0" fontId="6" fillId="0" borderId="6" xfId="0" applyFont="1" applyBorder="1" applyAlignment="1">
      <alignment vertical="top" wrapText="1"/>
    </xf>
    <xf numFmtId="0" fontId="6" fillId="0" borderId="5" xfId="0" applyFont="1" applyBorder="1" applyAlignment="1">
      <alignment vertical="top" wrapText="1"/>
    </xf>
    <xf numFmtId="0" fontId="6" fillId="0" borderId="7" xfId="0" applyFont="1" applyBorder="1" applyAlignment="1">
      <alignment vertical="top" wrapText="1"/>
    </xf>
    <xf numFmtId="0" fontId="6" fillId="0" borderId="0" xfId="0" applyFont="1" applyAlignment="1">
      <alignment vertical="top" wrapText="1"/>
    </xf>
    <xf numFmtId="0" fontId="11" fillId="4" borderId="3" xfId="0" applyFont="1" applyFill="1" applyBorder="1" applyAlignment="1">
      <alignment horizontal="left" vertical="top" wrapText="1"/>
    </xf>
    <xf numFmtId="0" fontId="6" fillId="0" borderId="8" xfId="0" applyFont="1" applyBorder="1" applyAlignment="1">
      <alignment vertical="top" wrapText="1"/>
    </xf>
    <xf numFmtId="0" fontId="7" fillId="4" borderId="3" xfId="0" applyFont="1" applyFill="1" applyBorder="1" applyAlignment="1">
      <alignment horizontal="left" vertical="top" wrapText="1"/>
    </xf>
    <xf numFmtId="0" fontId="6" fillId="0" borderId="9" xfId="0" applyFont="1" applyBorder="1" applyAlignment="1">
      <alignment vertical="top" wrapText="1"/>
    </xf>
    <xf numFmtId="0" fontId="6" fillId="0" borderId="10" xfId="0" applyFont="1" applyBorder="1" applyAlignment="1">
      <alignment vertical="top" wrapText="1"/>
    </xf>
    <xf numFmtId="0" fontId="6" fillId="0" borderId="3" xfId="0" applyFont="1" applyBorder="1" applyAlignment="1">
      <alignment vertical="top" wrapText="1"/>
    </xf>
    <xf numFmtId="0" fontId="6" fillId="0" borderId="2" xfId="0" applyFont="1" applyBorder="1" applyAlignment="1">
      <alignment vertical="top" wrapText="1"/>
    </xf>
    <xf numFmtId="0" fontId="6" fillId="0" borderId="11" xfId="0" applyFont="1" applyBorder="1" applyAlignment="1">
      <alignment vertical="top" wrapText="1"/>
    </xf>
    <xf numFmtId="0" fontId="6" fillId="0" borderId="12" xfId="0" applyFont="1" applyBorder="1" applyAlignment="1">
      <alignment vertical="top" wrapText="1"/>
    </xf>
    <xf numFmtId="0" fontId="6" fillId="0" borderId="1" xfId="0" applyFont="1" applyBorder="1" applyAlignment="1">
      <alignment vertical="top" wrapText="1"/>
    </xf>
    <xf numFmtId="0" fontId="11" fillId="5" borderId="3" xfId="0" applyFont="1" applyFill="1" applyBorder="1" applyAlignment="1">
      <alignment horizontal="left" vertical="top" wrapText="1"/>
    </xf>
    <xf numFmtId="0" fontId="7" fillId="5" borderId="3" xfId="0" applyFont="1" applyFill="1" applyBorder="1" applyAlignment="1">
      <alignment horizontal="left" vertical="top" wrapText="1"/>
    </xf>
    <xf numFmtId="0" fontId="7" fillId="5" borderId="3" xfId="0" applyFont="1" applyFill="1" applyBorder="1" applyAlignment="1">
      <alignment horizontal="center" vertical="top" wrapText="1"/>
    </xf>
    <xf numFmtId="0" fontId="7" fillId="3" borderId="3" xfId="0" applyFont="1" applyFill="1" applyBorder="1" applyAlignment="1">
      <alignment horizontal="left" vertical="top" wrapText="1"/>
    </xf>
    <xf numFmtId="0" fontId="12" fillId="0" borderId="0" xfId="0" applyFont="1" applyAlignment="1">
      <alignment vertical="top" wrapText="1"/>
    </xf>
    <xf numFmtId="0" fontId="7" fillId="0" borderId="0" xfId="0" applyFont="1" applyAlignment="1">
      <alignment horizontal="right" vertical="center"/>
    </xf>
    <xf numFmtId="0" fontId="11" fillId="3" borderId="3" xfId="0" applyFont="1" applyFill="1" applyBorder="1" applyAlignment="1">
      <alignment horizontal="left"/>
    </xf>
    <xf numFmtId="0" fontId="7" fillId="0" borderId="3" xfId="0" applyFont="1" applyBorder="1" applyAlignment="1">
      <alignment horizontal="left"/>
    </xf>
    <xf numFmtId="0" fontId="7" fillId="0" borderId="3" xfId="0" applyFont="1" applyBorder="1" applyAlignment="1">
      <alignment horizontal="left" wrapText="1"/>
    </xf>
    <xf numFmtId="0" fontId="11" fillId="4" borderId="3" xfId="0" applyFont="1" applyFill="1" applyBorder="1" applyAlignment="1">
      <alignment horizontal="left"/>
    </xf>
    <xf numFmtId="0" fontId="13" fillId="0" borderId="0" xfId="0" applyFont="1" applyAlignment="1"/>
    <xf numFmtId="0" fontId="7" fillId="5" borderId="3" xfId="0" applyFont="1" applyFill="1" applyBorder="1" applyAlignment="1">
      <alignment horizontal="left"/>
    </xf>
    <xf numFmtId="0" fontId="7" fillId="5" borderId="3" xfId="0" applyFont="1" applyFill="1" applyBorder="1" applyAlignment="1">
      <alignment vertical="top" wrapText="1"/>
    </xf>
    <xf numFmtId="0" fontId="7" fillId="0" borderId="3" xfId="0" applyFont="1" applyBorder="1" applyAlignment="1">
      <alignment horizontal="left" vertical="top"/>
    </xf>
    <xf numFmtId="0" fontId="7" fillId="5" borderId="3" xfId="0" applyFont="1" applyFill="1" applyBorder="1" applyAlignment="1">
      <alignment horizontal="right"/>
    </xf>
    <xf numFmtId="0" fontId="7" fillId="5" borderId="3" xfId="0" applyFont="1" applyFill="1" applyBorder="1" applyAlignment="1">
      <alignment vertical="top"/>
    </xf>
    <xf numFmtId="0" fontId="8" fillId="0" borderId="2" xfId="0" applyFont="1" applyBorder="1" applyAlignment="1">
      <alignment horizontal="left"/>
    </xf>
    <xf numFmtId="0" fontId="8" fillId="0" borderId="2" xfId="0" applyFont="1" applyBorder="1" applyAlignment="1">
      <alignment horizontal="right"/>
    </xf>
    <xf numFmtId="0" fontId="8" fillId="3" borderId="2" xfId="0" applyFont="1" applyFill="1" applyBorder="1" applyAlignment="1">
      <alignment horizontal="left"/>
    </xf>
    <xf numFmtId="0" fontId="3" fillId="0" borderId="0" xfId="0" applyFont="1" applyAlignment="1">
      <alignment horizontal="left" vertical="center" wrapText="1"/>
    </xf>
    <xf numFmtId="0" fontId="8" fillId="0" borderId="0" xfId="0" applyFont="1" applyAlignment="1">
      <alignment vertical="top" wrapText="1"/>
    </xf>
    <xf numFmtId="0" fontId="14" fillId="0" borderId="0" xfId="0" applyFont="1" applyAlignment="1">
      <alignment vertical="top" wrapText="1"/>
    </xf>
    <xf numFmtId="0" fontId="7" fillId="0" borderId="2" xfId="0" applyFont="1" applyBorder="1" applyAlignment="1">
      <alignment horizontal="left"/>
    </xf>
    <xf numFmtId="0" fontId="7" fillId="0" borderId="2" xfId="0" applyFont="1" applyBorder="1" applyAlignment="1">
      <alignment horizontal="right"/>
    </xf>
    <xf numFmtId="0" fontId="7" fillId="3" borderId="9" xfId="0" applyFont="1" applyFill="1" applyBorder="1" applyAlignment="1">
      <alignment horizontal="left"/>
    </xf>
    <xf numFmtId="0" fontId="15" fillId="0" borderId="0" xfId="0" applyFont="1" applyAlignment="1">
      <alignment horizontal="left" vertical="center" wrapText="1"/>
    </xf>
    <xf numFmtId="0" fontId="7" fillId="4" borderId="9" xfId="0" applyFont="1" applyFill="1" applyBorder="1" applyAlignment="1">
      <alignment horizontal="left"/>
    </xf>
    <xf numFmtId="49" fontId="7" fillId="4" borderId="2" xfId="0" applyNumberFormat="1" applyFont="1" applyFill="1" applyBorder="1" applyAlignment="1">
      <alignment horizontal="left"/>
    </xf>
    <xf numFmtId="0" fontId="7" fillId="0" borderId="0" xfId="0" applyFont="1" applyAlignment="1">
      <alignment horizontal="left" vertical="center"/>
    </xf>
    <xf numFmtId="49" fontId="7" fillId="3" borderId="2" xfId="0" applyNumberFormat="1" applyFont="1" applyFill="1" applyBorder="1" applyAlignment="1">
      <alignment horizontal="left"/>
    </xf>
    <xf numFmtId="0" fontId="7" fillId="3" borderId="2" xfId="0" applyFont="1" applyFill="1" applyBorder="1" applyAlignment="1">
      <alignment horizontal="left"/>
    </xf>
    <xf numFmtId="0" fontId="7" fillId="0" borderId="0" xfId="0" applyFont="1" applyAlignment="1">
      <alignment horizontal="left" vertical="center" wrapText="1"/>
    </xf>
    <xf numFmtId="0" fontId="7" fillId="4" borderId="2" xfId="0" applyFont="1" applyFill="1" applyBorder="1" applyAlignment="1">
      <alignment horizontal="left"/>
    </xf>
    <xf numFmtId="0" fontId="7" fillId="0" borderId="6" xfId="0" applyFont="1" applyBorder="1" applyAlignment="1">
      <alignment vertical="top" wrapText="1"/>
    </xf>
    <xf numFmtId="0" fontId="16" fillId="0" borderId="2" xfId="0" applyFont="1" applyBorder="1" applyAlignment="1">
      <alignment horizontal="center" vertical="top"/>
    </xf>
    <xf numFmtId="0" fontId="16" fillId="0" borderId="1" xfId="0" applyFont="1" applyBorder="1" applyAlignment="1">
      <alignment horizontal="center" vertical="top"/>
    </xf>
    <xf numFmtId="0" fontId="5" fillId="0" borderId="0" xfId="0" applyFont="1" applyAlignment="1">
      <alignment horizontal="right"/>
    </xf>
    <xf numFmtId="0" fontId="5" fillId="0" borderId="0" xfId="0" applyFont="1" applyAlignment="1">
      <alignment horizontal="left"/>
    </xf>
    <xf numFmtId="0" fontId="16" fillId="0" borderId="2" xfId="0" applyFont="1" applyBorder="1" applyAlignment="1">
      <alignment horizontal="left"/>
    </xf>
    <xf numFmtId="0" fontId="16" fillId="0" borderId="1" xfId="0" applyFont="1" applyBorder="1" applyAlignment="1">
      <alignment horizontal="left"/>
    </xf>
    <xf numFmtId="0" fontId="5" fillId="0" borderId="9" xfId="0" applyFont="1" applyBorder="1" applyAlignment="1">
      <alignment horizontal="left"/>
    </xf>
    <xf numFmtId="0" fontId="5" fillId="0" borderId="3" xfId="0" applyFont="1" applyBorder="1" applyAlignment="1">
      <alignment horizontal="right"/>
    </xf>
    <xf numFmtId="0" fontId="5" fillId="0" borderId="3" xfId="0" applyFont="1" applyBorder="1" applyAlignment="1">
      <alignment horizontal="left"/>
    </xf>
    <xf numFmtId="0" fontId="6" fillId="0" borderId="13" xfId="0" applyFont="1" applyBorder="1" applyAlignment="1">
      <alignment vertical="top" wrapText="1"/>
    </xf>
    <xf numFmtId="0" fontId="4" fillId="0" borderId="2" xfId="0" applyFont="1" applyBorder="1" applyAlignment="1">
      <alignment vertical="top" wrapText="1"/>
    </xf>
    <xf numFmtId="0" fontId="6" fillId="0" borderId="14" xfId="0" applyFont="1" applyBorder="1" applyAlignment="1">
      <alignment vertical="top" wrapText="1"/>
    </xf>
    <xf numFmtId="0" fontId="6" fillId="0" borderId="15" xfId="0" applyFont="1" applyBorder="1" applyAlignment="1">
      <alignment vertical="top" wrapText="1"/>
    </xf>
    <xf numFmtId="0" fontId="9" fillId="6" borderId="0" xfId="0" applyFont="1" applyFill="1" applyAlignment="1">
      <alignment horizontal="left" vertical="top" wrapText="1"/>
    </xf>
    <xf numFmtId="0" fontId="9" fillId="6" borderId="2" xfId="0" applyFont="1" applyFill="1" applyBorder="1" applyAlignment="1">
      <alignment horizontal="left" vertical="top" wrapText="1"/>
    </xf>
    <xf numFmtId="0" fontId="14" fillId="0" borderId="0" xfId="0" applyFont="1" applyAlignment="1">
      <alignment horizontal="left" vertical="top" wrapText="1"/>
    </xf>
    <xf numFmtId="0" fontId="4" fillId="6" borderId="0" xfId="0" applyFont="1" applyFill="1" applyAlignment="1">
      <alignment horizontal="left" vertical="top" wrapText="1"/>
    </xf>
    <xf numFmtId="0" fontId="4" fillId="6" borderId="2" xfId="0" applyFont="1" applyFill="1" applyBorder="1" applyAlignment="1">
      <alignment horizontal="left" vertical="top" wrapText="1"/>
    </xf>
    <xf numFmtId="0" fontId="7" fillId="6" borderId="2" xfId="0" applyFont="1" applyFill="1" applyBorder="1" applyAlignment="1">
      <alignment horizontal="left" vertical="top" wrapText="1"/>
    </xf>
    <xf numFmtId="0" fontId="17" fillId="6" borderId="2" xfId="0" applyFont="1" applyFill="1" applyBorder="1" applyAlignment="1">
      <alignment vertical="top" wrapText="1"/>
    </xf>
    <xf numFmtId="0" fontId="6" fillId="0" borderId="0" xfId="0" applyFont="1" applyAlignment="1">
      <alignment horizontal="left" vertical="top" wrapText="1"/>
    </xf>
    <xf numFmtId="0" fontId="18" fillId="3" borderId="0" xfId="0" applyFont="1" applyFill="1" applyAlignment="1">
      <alignment vertical="top" wrapText="1"/>
    </xf>
    <xf numFmtId="0" fontId="1" fillId="0" borderId="1" xfId="0" applyFont="1" applyBorder="1" applyAlignment="1">
      <alignment horizontal="left" vertical="top"/>
    </xf>
    <xf numFmtId="0" fontId="1" fillId="0" borderId="1" xfId="0" applyFont="1" applyBorder="1" applyAlignment="1">
      <alignment horizontal="center" vertical="top"/>
    </xf>
    <xf numFmtId="0" fontId="9" fillId="0" borderId="1" xfId="0" applyFont="1" applyBorder="1" applyAlignment="1">
      <alignment vertical="center"/>
    </xf>
    <xf numFmtId="0" fontId="9" fillId="0" borderId="2" xfId="0" applyFont="1" applyBorder="1" applyAlignment="1">
      <alignment horizontal="left" vertical="center"/>
    </xf>
    <xf numFmtId="0" fontId="9" fillId="0" borderId="2" xfId="0" applyFont="1" applyBorder="1" applyAlignment="1">
      <alignment vertical="center"/>
    </xf>
    <xf numFmtId="0" fontId="8" fillId="0" borderId="0" xfId="0" applyFont="1" applyAlignment="1">
      <alignment horizontal="left" vertical="top"/>
    </xf>
    <xf numFmtId="0" fontId="4" fillId="3" borderId="3" xfId="0" applyFont="1" applyFill="1" applyBorder="1" applyAlignment="1">
      <alignment horizontal="left" vertical="top"/>
    </xf>
    <xf numFmtId="0" fontId="4" fillId="0" borderId="3" xfId="0" applyFont="1" applyBorder="1" applyAlignment="1">
      <alignment horizontal="center" vertical="top"/>
    </xf>
    <xf numFmtId="0" fontId="4" fillId="0" borderId="3" xfId="0" applyFont="1" applyBorder="1" applyAlignment="1">
      <alignment vertical="top"/>
    </xf>
    <xf numFmtId="0" fontId="4" fillId="0" borderId="2" xfId="0" applyFont="1" applyBorder="1" applyAlignment="1">
      <alignment horizontal="left" vertical="top"/>
    </xf>
    <xf numFmtId="0" fontId="4" fillId="0" borderId="2" xfId="0" applyFont="1" applyBorder="1" applyAlignment="1">
      <alignment vertical="top"/>
    </xf>
    <xf numFmtId="0" fontId="6" fillId="7" borderId="2" xfId="0" applyFont="1" applyFill="1" applyBorder="1" applyAlignment="1">
      <alignment vertical="top" wrapText="1"/>
    </xf>
    <xf numFmtId="0" fontId="6" fillId="8" borderId="2" xfId="0" applyFont="1" applyFill="1" applyBorder="1" applyAlignment="1">
      <alignment vertical="top" wrapText="1"/>
    </xf>
    <xf numFmtId="0" fontId="6" fillId="9" borderId="2" xfId="0" applyFont="1" applyFill="1" applyBorder="1" applyAlignment="1">
      <alignment vertical="top" wrapText="1"/>
    </xf>
    <xf numFmtId="0" fontId="6" fillId="10" borderId="2" xfId="0" applyFont="1" applyFill="1" applyBorder="1" applyAlignment="1">
      <alignment vertical="top" wrapText="1"/>
    </xf>
    <xf numFmtId="0" fontId="6" fillId="0" borderId="0" xfId="0" applyFont="1" applyAlignment="1">
      <alignment horizontal="left" vertical="top"/>
    </xf>
    <xf numFmtId="0" fontId="4" fillId="4" borderId="3" xfId="0" applyFont="1" applyFill="1" applyBorder="1" applyAlignment="1">
      <alignment horizontal="left" vertical="top"/>
    </xf>
    <xf numFmtId="0" fontId="4" fillId="0" borderId="2" xfId="0" applyFont="1" applyBorder="1" applyAlignment="1">
      <alignment vertical="center"/>
    </xf>
    <xf numFmtId="0" fontId="4" fillId="0" borderId="3" xfId="0" applyFont="1" applyBorder="1" applyAlignment="1">
      <alignment horizontal="left" vertical="center"/>
    </xf>
    <xf numFmtId="0" fontId="4" fillId="0" borderId="2" xfId="0" applyFont="1" applyBorder="1" applyAlignment="1">
      <alignment horizontal="left" vertical="center"/>
    </xf>
    <xf numFmtId="0" fontId="6" fillId="0" borderId="2" xfId="0" applyFont="1" applyBorder="1" applyAlignment="1">
      <alignment vertical="top"/>
    </xf>
    <xf numFmtId="0" fontId="4" fillId="0" borderId="3" xfId="0" applyFont="1" applyBorder="1" applyAlignment="1">
      <alignment vertical="center"/>
    </xf>
    <xf numFmtId="0" fontId="4" fillId="0" borderId="16" xfId="0" applyFont="1" applyBorder="1" applyAlignment="1">
      <alignment horizontal="right" vertical="top"/>
    </xf>
    <xf numFmtId="0" fontId="4" fillId="3" borderId="16" xfId="0" applyFont="1" applyFill="1" applyBorder="1" applyAlignment="1">
      <alignment horizontal="left" vertical="top"/>
    </xf>
    <xf numFmtId="0" fontId="4" fillId="0" borderId="16" xfId="0" applyFont="1" applyBorder="1" applyAlignment="1">
      <alignment horizontal="left" vertical="top"/>
    </xf>
    <xf numFmtId="0" fontId="4" fillId="0" borderId="16" xfId="0" applyFont="1" applyBorder="1" applyAlignment="1">
      <alignment horizontal="center" vertical="top"/>
    </xf>
    <xf numFmtId="0" fontId="4" fillId="0" borderId="16" xfId="0" applyFont="1" applyBorder="1" applyAlignment="1">
      <alignment vertical="top"/>
    </xf>
    <xf numFmtId="0" fontId="4" fillId="0" borderId="17" xfId="0" applyFont="1" applyBorder="1" applyAlignment="1">
      <alignment horizontal="left" vertical="top"/>
    </xf>
    <xf numFmtId="0" fontId="4" fillId="0" borderId="17" xfId="0" applyFont="1" applyBorder="1" applyAlignment="1">
      <alignment vertical="center"/>
    </xf>
    <xf numFmtId="0" fontId="6" fillId="7" borderId="17" xfId="0" applyFont="1" applyFill="1" applyBorder="1" applyAlignment="1">
      <alignment vertical="top" wrapText="1"/>
    </xf>
    <xf numFmtId="0" fontId="6" fillId="8" borderId="17" xfId="0" applyFont="1" applyFill="1" applyBorder="1" applyAlignment="1">
      <alignment vertical="top" wrapText="1"/>
    </xf>
    <xf numFmtId="0" fontId="6" fillId="9" borderId="17" xfId="0" applyFont="1" applyFill="1" applyBorder="1" applyAlignment="1">
      <alignment vertical="top" wrapText="1"/>
    </xf>
    <xf numFmtId="0" fontId="6" fillId="10" borderId="17" xfId="0" applyFont="1" applyFill="1" applyBorder="1" applyAlignment="1">
      <alignment vertical="top" wrapText="1"/>
    </xf>
    <xf numFmtId="0" fontId="4" fillId="5" borderId="3" xfId="0" applyFont="1" applyFill="1" applyBorder="1" applyAlignment="1">
      <alignment horizontal="left" vertical="top"/>
    </xf>
    <xf numFmtId="0" fontId="4" fillId="5" borderId="3" xfId="0" applyFont="1" applyFill="1" applyBorder="1" applyAlignment="1">
      <alignment horizontal="center" vertical="top"/>
    </xf>
    <xf numFmtId="0" fontId="4" fillId="0" borderId="9" xfId="0" applyFont="1" applyBorder="1" applyAlignment="1">
      <alignment horizontal="left" vertical="center"/>
    </xf>
    <xf numFmtId="0" fontId="4" fillId="0" borderId="9" xfId="0" applyFont="1" applyBorder="1" applyAlignment="1">
      <alignment vertical="top"/>
    </xf>
    <xf numFmtId="0" fontId="4" fillId="0" borderId="9" xfId="0" applyFont="1" applyBorder="1" applyAlignment="1">
      <alignment vertical="center"/>
    </xf>
    <xf numFmtId="0" fontId="6" fillId="7" borderId="9" xfId="0" applyFont="1" applyFill="1" applyBorder="1" applyAlignment="1">
      <alignment vertical="top" wrapText="1"/>
    </xf>
    <xf numFmtId="0" fontId="6" fillId="8" borderId="9" xfId="0" applyFont="1" applyFill="1" applyBorder="1" applyAlignment="1">
      <alignment vertical="top" wrapText="1"/>
    </xf>
    <xf numFmtId="0" fontId="6" fillId="9" borderId="9" xfId="0" applyFont="1" applyFill="1" applyBorder="1" applyAlignment="1">
      <alignment vertical="top" wrapText="1"/>
    </xf>
    <xf numFmtId="0" fontId="6" fillId="10" borderId="9" xfId="0" applyFont="1" applyFill="1" applyBorder="1" applyAlignment="1">
      <alignment vertical="top" wrapText="1"/>
    </xf>
    <xf numFmtId="0" fontId="4" fillId="5" borderId="16" xfId="0" applyFont="1" applyFill="1" applyBorder="1" applyAlignment="1">
      <alignment horizontal="left" vertical="top"/>
    </xf>
    <xf numFmtId="0" fontId="4" fillId="5" borderId="16" xfId="0" applyFont="1" applyFill="1" applyBorder="1" applyAlignment="1">
      <alignment horizontal="center" vertical="top"/>
    </xf>
    <xf numFmtId="0" fontId="4" fillId="0" borderId="17" xfId="0" applyFont="1" applyBorder="1" applyAlignment="1">
      <alignment vertical="top"/>
    </xf>
    <xf numFmtId="0" fontId="4" fillId="0" borderId="9" xfId="0" applyFont="1" applyBorder="1" applyAlignment="1">
      <alignment horizontal="left" vertical="top"/>
    </xf>
    <xf numFmtId="0" fontId="19" fillId="0" borderId="3" xfId="0" applyFont="1" applyBorder="1" applyAlignment="1">
      <alignment vertical="top"/>
    </xf>
    <xf numFmtId="0" fontId="19" fillId="0" borderId="2" xfId="0" applyFont="1" applyBorder="1" applyAlignment="1">
      <alignment horizontal="left" vertical="top"/>
    </xf>
    <xf numFmtId="0" fontId="4" fillId="0" borderId="16" xfId="0" applyFont="1" applyBorder="1" applyAlignment="1">
      <alignment vertical="center"/>
    </xf>
    <xf numFmtId="0" fontId="4" fillId="0" borderId="17" xfId="0" applyFont="1" applyBorder="1" applyAlignment="1">
      <alignment horizontal="left" vertical="center"/>
    </xf>
    <xf numFmtId="0" fontId="4" fillId="4" borderId="16" xfId="0" applyFont="1" applyFill="1" applyBorder="1" applyAlignment="1">
      <alignment horizontal="left" vertical="top"/>
    </xf>
    <xf numFmtId="0" fontId="4" fillId="0" borderId="3" xfId="0" applyFont="1" applyBorder="1" applyAlignment="1">
      <alignment horizontal="right" vertical="center"/>
    </xf>
    <xf numFmtId="49" fontId="4" fillId="0" borderId="9" xfId="0" applyNumberFormat="1" applyFont="1" applyBorder="1" applyAlignment="1">
      <alignment horizontal="center" vertical="center"/>
    </xf>
    <xf numFmtId="0" fontId="20" fillId="3" borderId="9" xfId="0" applyFont="1" applyFill="1" applyBorder="1" applyAlignment="1">
      <alignment vertical="top"/>
    </xf>
    <xf numFmtId="0" fontId="6" fillId="0" borderId="9" xfId="0" applyFont="1" applyBorder="1" applyAlignment="1">
      <alignment vertical="top"/>
    </xf>
    <xf numFmtId="0" fontId="12" fillId="3" borderId="0" xfId="0" applyFont="1" applyFill="1" applyAlignment="1">
      <alignment vertical="top" wrapText="1"/>
    </xf>
    <xf numFmtId="49" fontId="4" fillId="0" borderId="2" xfId="0" applyNumberFormat="1" applyFont="1" applyBorder="1" applyAlignment="1">
      <alignment horizontal="center" vertical="center"/>
    </xf>
    <xf numFmtId="0" fontId="20" fillId="3" borderId="2" xfId="0" applyFont="1" applyFill="1" applyBorder="1" applyAlignment="1">
      <alignment vertical="top"/>
    </xf>
    <xf numFmtId="49" fontId="6" fillId="0" borderId="0" xfId="0" applyNumberFormat="1" applyFont="1" applyAlignment="1">
      <alignment vertical="top" wrapText="1"/>
    </xf>
    <xf numFmtId="0" fontId="20" fillId="0" borderId="2" xfId="0" applyFont="1" applyBorder="1" applyAlignment="1">
      <alignment vertical="top"/>
    </xf>
    <xf numFmtId="0" fontId="20" fillId="0" borderId="0" xfId="0" applyFont="1" applyAlignment="1">
      <alignment vertical="top" wrapText="1"/>
    </xf>
    <xf numFmtId="0" fontId="4" fillId="0" borderId="16" xfId="0" applyFont="1" applyBorder="1" applyAlignment="1">
      <alignment horizontal="right" vertical="center"/>
    </xf>
    <xf numFmtId="49" fontId="4" fillId="0" borderId="17" xfId="0" applyNumberFormat="1" applyFont="1" applyBorder="1" applyAlignment="1">
      <alignment horizontal="center" vertical="center"/>
    </xf>
    <xf numFmtId="0" fontId="20" fillId="3" borderId="17" xfId="0" applyFont="1" applyFill="1" applyBorder="1" applyAlignment="1">
      <alignment vertical="top"/>
    </xf>
    <xf numFmtId="0" fontId="6" fillId="0" borderId="17" xfId="0" applyFont="1" applyBorder="1" applyAlignment="1">
      <alignment vertical="top"/>
    </xf>
    <xf numFmtId="0" fontId="4" fillId="3" borderId="16" xfId="0" applyFont="1" applyFill="1" applyBorder="1" applyAlignment="1">
      <alignment horizontal="left"/>
    </xf>
    <xf numFmtId="0" fontId="4" fillId="0" borderId="16" xfId="0" applyFont="1" applyBorder="1" applyAlignment="1">
      <alignment horizontal="left"/>
    </xf>
    <xf numFmtId="0" fontId="6" fillId="0" borderId="9" xfId="0" applyFont="1" applyBorder="1" applyAlignment="1">
      <alignment horizontal="left" vertical="top" wrapText="1"/>
    </xf>
    <xf numFmtId="0" fontId="6" fillId="0" borderId="2" xfId="0" applyFont="1" applyBorder="1" applyAlignment="1">
      <alignment horizontal="left" vertical="top" wrapText="1"/>
    </xf>
    <xf numFmtId="0" fontId="4" fillId="5" borderId="3" xfId="0" applyFont="1" applyFill="1" applyBorder="1" applyAlignment="1">
      <alignment horizontal="center"/>
    </xf>
    <xf numFmtId="0" fontId="14" fillId="0" borderId="2" xfId="0" applyFont="1" applyBorder="1" applyAlignment="1">
      <alignment vertical="top" wrapText="1"/>
    </xf>
    <xf numFmtId="0" fontId="9" fillId="0" borderId="2" xfId="0" applyFont="1" applyBorder="1" applyAlignment="1">
      <alignment vertical="top" wrapText="1"/>
    </xf>
    <xf numFmtId="0" fontId="6" fillId="10" borderId="11" xfId="0" applyFont="1" applyFill="1" applyBorder="1" applyAlignment="1">
      <alignment vertical="top" wrapText="1"/>
    </xf>
    <xf numFmtId="0" fontId="4" fillId="11" borderId="2" xfId="0" applyFont="1" applyFill="1" applyBorder="1" applyAlignment="1">
      <alignment horizontal="right" vertical="top" wrapText="1"/>
    </xf>
    <xf numFmtId="0" fontId="14" fillId="0" borderId="5" xfId="0" applyFont="1" applyBorder="1" applyAlignment="1">
      <alignment vertical="top" wrapText="1"/>
    </xf>
    <xf numFmtId="0" fontId="4" fillId="11" borderId="5" xfId="0" applyFont="1" applyFill="1" applyBorder="1" applyAlignment="1">
      <alignment horizontal="right" vertical="top" wrapText="1"/>
    </xf>
    <xf numFmtId="0" fontId="6" fillId="7" borderId="5" xfId="0" applyFont="1" applyFill="1" applyBorder="1" applyAlignment="1">
      <alignment vertical="top" wrapText="1"/>
    </xf>
    <xf numFmtId="0" fontId="6" fillId="8" borderId="5" xfId="0" applyFont="1" applyFill="1" applyBorder="1" applyAlignment="1">
      <alignment vertical="top" wrapText="1"/>
    </xf>
    <xf numFmtId="0" fontId="6" fillId="9" borderId="5" xfId="0" applyFont="1" applyFill="1" applyBorder="1" applyAlignment="1">
      <alignment vertical="top" wrapText="1"/>
    </xf>
    <xf numFmtId="0" fontId="6" fillId="10" borderId="5" xfId="0" applyFont="1" applyFill="1" applyBorder="1" applyAlignment="1">
      <alignment vertical="top" wrapText="1"/>
    </xf>
    <xf numFmtId="0" fontId="6" fillId="0" borderId="0" xfId="0" applyFont="1" applyAlignment="1">
      <alignment horizontal="center" vertical="top" wrapText="1"/>
    </xf>
    <xf numFmtId="0" fontId="7" fillId="0" borderId="0" xfId="0" applyFont="1" applyAlignment="1">
      <alignment vertical="center"/>
    </xf>
    <xf numFmtId="0" fontId="14" fillId="0" borderId="11" xfId="0" applyFont="1" applyBorder="1" applyAlignment="1">
      <alignment vertical="top" wrapText="1"/>
    </xf>
    <xf numFmtId="0" fontId="9" fillId="0" borderId="12" xfId="0" applyFont="1" applyBorder="1" applyAlignment="1">
      <alignment horizontal="right" vertical="top" wrapText="1"/>
    </xf>
    <xf numFmtId="0" fontId="14" fillId="0" borderId="12" xfId="0" applyFont="1" applyBorder="1" applyAlignment="1">
      <alignment vertical="top" wrapText="1"/>
    </xf>
    <xf numFmtId="0" fontId="14" fillId="0" borderId="1" xfId="0" applyFont="1" applyBorder="1" applyAlignment="1">
      <alignment vertical="top" wrapText="1"/>
    </xf>
    <xf numFmtId="0" fontId="21" fillId="0" borderId="0" xfId="0" applyFont="1" applyAlignment="1">
      <alignment vertical="top" wrapText="1"/>
    </xf>
    <xf numFmtId="0" fontId="22" fillId="0" borderId="2" xfId="0" applyFont="1" applyBorder="1" applyAlignment="1">
      <alignment horizontal="left" vertical="top"/>
    </xf>
    <xf numFmtId="49" fontId="7" fillId="0" borderId="0" xfId="0" applyNumberFormat="1" applyFont="1" applyAlignment="1">
      <alignment horizontal="center" vertical="center"/>
    </xf>
    <xf numFmtId="0" fontId="0" fillId="0" borderId="18" xfId="0" pivotButton="1" applyFont="1" applyBorder="1" applyAlignment="1">
      <alignment vertical="top" wrapText="1"/>
    </xf>
    <xf numFmtId="0" fontId="0" fillId="0" borderId="19" xfId="0" applyFont="1" applyBorder="1" applyAlignment="1">
      <alignment vertical="top" wrapText="1"/>
    </xf>
    <xf numFmtId="0" fontId="0" fillId="0" borderId="18" xfId="0" applyFont="1" applyBorder="1" applyAlignment="1">
      <alignment vertical="top" wrapText="1"/>
    </xf>
    <xf numFmtId="0" fontId="0" fillId="0" borderId="19" xfId="0" applyNumberFormat="1" applyFont="1" applyBorder="1" applyAlignment="1">
      <alignment vertical="top" wrapText="1"/>
    </xf>
    <xf numFmtId="0" fontId="0" fillId="0" borderId="20" xfId="0" applyFont="1" applyBorder="1" applyAlignment="1">
      <alignment vertical="top" wrapText="1"/>
    </xf>
    <xf numFmtId="0" fontId="0" fillId="0" borderId="21" xfId="0" applyNumberFormat="1" applyFont="1" applyBorder="1" applyAlignment="1">
      <alignment vertical="top" wrapText="1"/>
    </xf>
    <xf numFmtId="0" fontId="0" fillId="0" borderId="22" xfId="0" applyFont="1" applyBorder="1" applyAlignment="1">
      <alignment vertical="top" wrapText="1"/>
    </xf>
    <xf numFmtId="0" fontId="0" fillId="0" borderId="23" xfId="0" applyNumberFormat="1" applyFont="1" applyBorder="1" applyAlignment="1">
      <alignment vertical="top" wrapText="1"/>
    </xf>
  </cellXfs>
  <cellStyles count="1">
    <cellStyle name="Normal" xfId="0" builtinId="0"/>
  </cellStyles>
  <dxfs count="2">
    <dxf>
      <fill>
        <patternFill patternType="solid">
          <fgColor rgb="FFF8F9FA"/>
          <bgColor rgb="FFF8F9FA"/>
        </patternFill>
      </fill>
    </dxf>
    <dxf>
      <fill>
        <patternFill patternType="solid">
          <fgColor rgb="FFFFFFFF"/>
          <bgColor rgb="FFFFFFFF"/>
        </patternFill>
      </fill>
    </dxf>
  </dxfs>
  <tableStyles count="1">
    <tableStyle name="keywords_data-style" pivot="0" count="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autoTitleDeleted val="1"/>
    <c:plotArea>
      <c:layout>
        <c:manualLayout>
          <c:xMode val="edge"/>
          <c:yMode val="edge"/>
          <c:x val="0.14062500000000011"/>
          <c:y val="7.173913043478268E-2"/>
          <c:w val="0.82583333333333331"/>
          <c:h val="0.71863354037267069"/>
        </c:manualLayout>
      </c:layout>
      <c:barChart>
        <c:barDir val="col"/>
        <c:grouping val="clustered"/>
        <c:varyColors val="1"/>
        <c:ser>
          <c:idx val="0"/>
          <c:order val="0"/>
          <c:spPr>
            <a:solidFill>
              <a:srgbClr val="B7B7B7"/>
            </a:solidFill>
            <a:ln cmpd="sng">
              <a:solidFill>
                <a:srgbClr val="000000"/>
              </a:solidFill>
            </a:ln>
          </c:spPr>
          <c:invertIfNegative val="1"/>
          <c:dPt>
            <c:idx val="9"/>
            <c:invertIfNegative val="1"/>
            <c:bubble3D val="0"/>
          </c:dPt>
          <c:dLbls>
            <c:dLbl>
              <c:idx val="9"/>
              <c:spPr/>
              <c:txPr>
                <a:bodyPr/>
                <a:lstStyle/>
                <a:p>
                  <a:pPr lvl="0">
                    <a:defRPr b="1" i="0">
                      <a:solidFill>
                        <a:srgbClr val="000000"/>
                      </a:solidFill>
                    </a:defRPr>
                  </a:pPr>
                  <a:endParaRPr lang=""/>
                </a:p>
              </c:txPr>
              <c:showLegendKey val="0"/>
              <c:showVal val="1"/>
              <c:showCatName val="0"/>
              <c:showSerName val="0"/>
              <c:showPercent val="0"/>
              <c:showBubbleSize val="0"/>
            </c:dLbl>
            <c:spPr>
              <a:noFill/>
              <a:ln>
                <a:noFill/>
              </a:ln>
              <a:effectLst/>
            </c:spPr>
            <c:txPr>
              <a:bodyPr/>
              <a:lstStyle/>
              <a:p>
                <a:pPr lvl="0">
                  <a:defRPr b="1" i="0"/>
                </a:pPr>
                <a:endParaRPr lang=""/>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citation_pivot_table!$A$3:$A$12</c:f>
              <c:strCache>
                <c:ptCount val="10"/>
                <c:pt idx="0">
                  <c:v>2016</c:v>
                </c:pt>
                <c:pt idx="1">
                  <c:v>2017</c:v>
                </c:pt>
                <c:pt idx="2">
                  <c:v>2018</c:v>
                </c:pt>
                <c:pt idx="3">
                  <c:v>2019</c:v>
                </c:pt>
                <c:pt idx="4">
                  <c:v>2020</c:v>
                </c:pt>
                <c:pt idx="5">
                  <c:v>2021</c:v>
                </c:pt>
                <c:pt idx="6">
                  <c:v>2022</c:v>
                </c:pt>
                <c:pt idx="7">
                  <c:v>2023</c:v>
                </c:pt>
                <c:pt idx="8">
                  <c:v>2024</c:v>
                </c:pt>
                <c:pt idx="9">
                  <c:v>(blank)</c:v>
                </c:pt>
              </c:strCache>
            </c:strRef>
          </c:cat>
          <c:val>
            <c:numRef>
              <c:f>citation_pivot_table!$B$3:$B$12</c:f>
              <c:numCache>
                <c:formatCode>General</c:formatCode>
                <c:ptCount val="10"/>
                <c:pt idx="0">
                  <c:v>88</c:v>
                </c:pt>
                <c:pt idx="1">
                  <c:v>91</c:v>
                </c:pt>
                <c:pt idx="2">
                  <c:v>130</c:v>
                </c:pt>
                <c:pt idx="3">
                  <c:v>181</c:v>
                </c:pt>
                <c:pt idx="4">
                  <c:v>100</c:v>
                </c:pt>
                <c:pt idx="5">
                  <c:v>83</c:v>
                </c:pt>
                <c:pt idx="6">
                  <c:v>48</c:v>
                </c:pt>
                <c:pt idx="7">
                  <c:v>33</c:v>
                </c:pt>
                <c:pt idx="8">
                  <c:v>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6530288"/>
        <c:axId val="-6527568"/>
      </c:barChart>
      <c:catAx>
        <c:axId val="-6530288"/>
        <c:scaling>
          <c:orientation val="minMax"/>
        </c:scaling>
        <c:delete val="0"/>
        <c:axPos val="b"/>
        <c:title>
          <c:tx>
            <c:rich>
              <a:bodyPr/>
              <a:lstStyle/>
              <a:p>
                <a:pPr lvl="0">
                  <a:defRPr sz="1800" b="0" i="0">
                    <a:solidFill>
                      <a:srgbClr val="000000"/>
                    </a:solidFill>
                    <a:latin typeface="+mn-lt"/>
                  </a:defRPr>
                </a:pPr>
                <a:r>
                  <a:rPr sz="1800" b="0" i="0">
                    <a:solidFill>
                      <a:srgbClr val="000000"/>
                    </a:solidFill>
                    <a:latin typeface="+mn-lt"/>
                  </a:rPr>
                  <a:t>Year</a:t>
                </a:r>
              </a:p>
            </c:rich>
          </c:tx>
          <c:layout>
            <c:manualLayout>
              <c:xMode val="edge"/>
              <c:yMode val="edge"/>
              <c:x val="0.13854166666666679"/>
              <c:y val="0.89409937888198754"/>
            </c:manualLayout>
          </c:layout>
          <c:overlay val="0"/>
        </c:title>
        <c:numFmt formatCode="General" sourceLinked="1"/>
        <c:majorTickMark val="none"/>
        <c:minorTickMark val="none"/>
        <c:tickLblPos val="nextTo"/>
        <c:txPr>
          <a:bodyPr/>
          <a:lstStyle/>
          <a:p>
            <a:pPr lvl="0">
              <a:defRPr sz="1400" b="0" i="0">
                <a:solidFill>
                  <a:srgbClr val="000000"/>
                </a:solidFill>
                <a:latin typeface="+mn-lt"/>
              </a:defRPr>
            </a:pPr>
            <a:endParaRPr lang=""/>
          </a:p>
        </c:txPr>
        <c:crossAx val="-6527568"/>
        <c:crosses val="autoZero"/>
        <c:auto val="1"/>
        <c:lblAlgn val="ctr"/>
        <c:lblOffset val="100"/>
        <c:noMultiLvlLbl val="1"/>
      </c:catAx>
      <c:valAx>
        <c:axId val="-65275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sz="1800" b="0" i="0">
                    <a:solidFill>
                      <a:srgbClr val="000000"/>
                    </a:solidFill>
                    <a:latin typeface="+mn-lt"/>
                  </a:defRPr>
                </a:pPr>
                <a:r>
                  <a:rPr sz="1800" b="0" i="0">
                    <a:solidFill>
                      <a:srgbClr val="000000"/>
                    </a:solidFill>
                    <a:latin typeface="+mn-lt"/>
                  </a:rPr>
                  <a:t>Citations</a:t>
                </a:r>
              </a:p>
            </c:rich>
          </c:tx>
          <c:layout>
            <c:manualLayout>
              <c:xMode val="edge"/>
              <c:yMode val="edge"/>
              <c:x val="2.5650289017341048E-2"/>
              <c:y val="0.05"/>
            </c:manualLayout>
          </c:layout>
          <c:overlay val="0"/>
        </c:title>
        <c:numFmt formatCode="General" sourceLinked="1"/>
        <c:majorTickMark val="none"/>
        <c:minorTickMark val="none"/>
        <c:tickLblPos val="nextTo"/>
        <c:spPr>
          <a:ln/>
        </c:spPr>
        <c:txPr>
          <a:bodyPr/>
          <a:lstStyle/>
          <a:p>
            <a:pPr lvl="0">
              <a:defRPr sz="1400" b="0" i="0">
                <a:solidFill>
                  <a:srgbClr val="000000"/>
                </a:solidFill>
                <a:latin typeface="+mn-lt"/>
              </a:defRPr>
            </a:pPr>
            <a:endParaRPr lang=""/>
          </a:p>
        </c:txPr>
        <c:crossAx val="-6530288"/>
        <c:crosses val="autoZero"/>
        <c:crossBetween val="between"/>
      </c:valAx>
    </c:plotArea>
    <c:legend>
      <c:legendPos val="r"/>
      <c:overlay val="0"/>
      <c:txPr>
        <a:bodyPr/>
        <a:lstStyle/>
        <a:p>
          <a:pPr lvl="0">
            <a:defRPr b="0" i="0">
              <a:solidFill>
                <a:srgbClr val="1A1A1A"/>
              </a:solidFill>
              <a:latin typeface="+mn-lt"/>
            </a:defRPr>
          </a:pPr>
          <a:endParaRPr lang=""/>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autoTitleDeleted val="1"/>
    <c:plotArea>
      <c:layout/>
      <c:barChart>
        <c:barDir val="col"/>
        <c:grouping val="stacked"/>
        <c:varyColors val="1"/>
        <c:ser>
          <c:idx val="0"/>
          <c:order val="0"/>
          <c:tx>
            <c:strRef>
              <c:f>research_type!$I$2</c:f>
              <c:strCache>
                <c:ptCount val="1"/>
                <c:pt idx="0">
                  <c:v>Evaluation Research</c:v>
                </c:pt>
              </c:strCache>
            </c:strRef>
          </c:tx>
          <c:spPr>
            <a:solidFill>
              <a:schemeClr val="accent1"/>
            </a:solidFill>
            <a:ln cmpd="sng">
              <a:solidFill>
                <a:srgbClr val="000000"/>
              </a:solidFill>
            </a:ln>
          </c:spPr>
          <c:invertIfNegative val="1"/>
          <c:dLbls>
            <c:numFmt formatCode="0;\-0;;@" sourceLinked="0"/>
            <c:spPr>
              <a:noFill/>
              <a:ln>
                <a:noFill/>
              </a:ln>
              <a:effectLst/>
            </c:spPr>
            <c:txPr>
              <a:bodyPr/>
              <a:lstStyle/>
              <a:p>
                <a:pPr lvl="0">
                  <a:defRPr b="1" i="0">
                    <a:solidFill>
                      <a:srgbClr val="000000"/>
                    </a:solidFill>
                  </a:defRPr>
                </a:pPr>
                <a:endParaRPr lang=""/>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research_type!$J$1:$S$1</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research_type!$J$2:$S$2</c:f>
              <c:numCache>
                <c:formatCode>General</c:formatCode>
                <c:ptCount val="10"/>
                <c:pt idx="0">
                  <c:v>4</c:v>
                </c:pt>
                <c:pt idx="1">
                  <c:v>2</c:v>
                </c:pt>
                <c:pt idx="2">
                  <c:v>4</c:v>
                </c:pt>
                <c:pt idx="3">
                  <c:v>5</c:v>
                </c:pt>
                <c:pt idx="4">
                  <c:v>2</c:v>
                </c:pt>
                <c:pt idx="5">
                  <c:v>3</c:v>
                </c:pt>
                <c:pt idx="6">
                  <c:v>2</c:v>
                </c:pt>
                <c:pt idx="7">
                  <c:v>7</c:v>
                </c:pt>
                <c:pt idx="8">
                  <c:v>5</c:v>
                </c:pt>
                <c:pt idx="9">
                  <c:v>13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strRef>
              <c:f>research_type!$I$3</c:f>
              <c:strCache>
                <c:ptCount val="1"/>
                <c:pt idx="0">
                  <c:v>Proposal of Solution</c:v>
                </c:pt>
              </c:strCache>
            </c:strRef>
          </c:tx>
          <c:spPr>
            <a:solidFill>
              <a:schemeClr val="accent2"/>
            </a:solidFill>
            <a:ln cmpd="sng">
              <a:solidFill>
                <a:srgbClr val="000000"/>
              </a:solidFill>
            </a:ln>
          </c:spPr>
          <c:invertIfNegative val="1"/>
          <c:dLbls>
            <c:numFmt formatCode="0;\-0;;@" sourceLinked="0"/>
            <c:spPr>
              <a:noFill/>
              <a:ln>
                <a:noFill/>
              </a:ln>
              <a:effectLst/>
            </c:spPr>
            <c:txPr>
              <a:bodyPr/>
              <a:lstStyle/>
              <a:p>
                <a:pPr lvl="0">
                  <a:defRPr b="1" i="0">
                    <a:solidFill>
                      <a:srgbClr val="000000"/>
                    </a:solidFill>
                  </a:defRPr>
                </a:pPr>
                <a:endParaRPr lang=""/>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research_type!$J$1:$S$1</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research_type!$J$3:$S$3</c:f>
              <c:numCache>
                <c:formatCode>General</c:formatCode>
                <c:ptCount val="10"/>
                <c:pt idx="0">
                  <c:v>5</c:v>
                </c:pt>
                <c:pt idx="1">
                  <c:v>1</c:v>
                </c:pt>
                <c:pt idx="2">
                  <c:v>3</c:v>
                </c:pt>
                <c:pt idx="3">
                  <c:v>4</c:v>
                </c:pt>
                <c:pt idx="4">
                  <c:v>2</c:v>
                </c:pt>
                <c:pt idx="5">
                  <c:v>2</c:v>
                </c:pt>
                <c:pt idx="6">
                  <c:v>5</c:v>
                </c:pt>
                <c:pt idx="7">
                  <c:v>5</c:v>
                </c:pt>
                <c:pt idx="8">
                  <c:v>6</c:v>
                </c:pt>
                <c:pt idx="9">
                  <c:v>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strRef>
              <c:f>research_type!$I$4</c:f>
              <c:strCache>
                <c:ptCount val="1"/>
                <c:pt idx="0">
                  <c:v>Opinion Paper</c:v>
                </c:pt>
              </c:strCache>
            </c:strRef>
          </c:tx>
          <c:spPr>
            <a:solidFill>
              <a:schemeClr val="accent3"/>
            </a:solidFill>
            <a:ln cmpd="sng">
              <a:solidFill>
                <a:srgbClr val="000000"/>
              </a:solidFill>
            </a:ln>
          </c:spPr>
          <c:invertIfNegative val="1"/>
          <c:dLbls>
            <c:numFmt formatCode="0;\-0;;@" sourceLinked="0"/>
            <c:spPr>
              <a:noFill/>
              <a:ln>
                <a:noFill/>
              </a:ln>
              <a:effectLst/>
            </c:spPr>
            <c:txPr>
              <a:bodyPr/>
              <a:lstStyle/>
              <a:p>
                <a:pPr lvl="0">
                  <a:defRPr b="1" i="0">
                    <a:solidFill>
                      <a:srgbClr val="000000"/>
                    </a:solidFill>
                  </a:defRPr>
                </a:pPr>
                <a:endParaRPr lang=""/>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research_type!$J$1:$S$1</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research_type!$J$4:$S$4</c:f>
              <c:numCache>
                <c:formatCode>General</c:formatCode>
                <c:ptCount val="10"/>
                <c:pt idx="0">
                  <c:v>1</c:v>
                </c:pt>
                <c:pt idx="1">
                  <c:v>1</c:v>
                </c:pt>
                <c:pt idx="2">
                  <c:v>0</c:v>
                </c:pt>
                <c:pt idx="3">
                  <c:v>0</c:v>
                </c:pt>
                <c:pt idx="4">
                  <c:v>0</c:v>
                </c:pt>
                <c:pt idx="5">
                  <c:v>1</c:v>
                </c:pt>
                <c:pt idx="6">
                  <c:v>0</c:v>
                </c:pt>
                <c:pt idx="7">
                  <c:v>2</c:v>
                </c:pt>
                <c:pt idx="8">
                  <c:v>0</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3"/>
          <c:order val="3"/>
          <c:tx>
            <c:strRef>
              <c:f>research_type!$I$5</c:f>
              <c:strCache>
                <c:ptCount val="1"/>
                <c:pt idx="0">
                  <c:v>Philosophical Paper</c:v>
                </c:pt>
              </c:strCache>
            </c:strRef>
          </c:tx>
          <c:spPr>
            <a:solidFill>
              <a:schemeClr val="accent4"/>
            </a:solidFill>
            <a:ln cmpd="sng">
              <a:solidFill>
                <a:srgbClr val="000000"/>
              </a:solidFill>
            </a:ln>
          </c:spPr>
          <c:invertIfNegative val="1"/>
          <c:dLbls>
            <c:numFmt formatCode="0;\-0;;@" sourceLinked="0"/>
            <c:spPr>
              <a:noFill/>
              <a:ln>
                <a:noFill/>
              </a:ln>
              <a:effectLst/>
            </c:spPr>
            <c:txPr>
              <a:bodyPr/>
              <a:lstStyle/>
              <a:p>
                <a:pPr lvl="0">
                  <a:defRPr b="1" i="0">
                    <a:solidFill>
                      <a:srgbClr val="000000"/>
                    </a:solidFill>
                  </a:defRPr>
                </a:pPr>
                <a:endParaRPr lang=""/>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research_type!$J$1:$S$1</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research_type!$J$5:$S$5</c:f>
              <c:numCache>
                <c:formatCode>General</c:formatCode>
                <c:ptCount val="10"/>
                <c:pt idx="0">
                  <c:v>1</c:v>
                </c:pt>
                <c:pt idx="1">
                  <c:v>2</c:v>
                </c:pt>
                <c:pt idx="2">
                  <c:v>0</c:v>
                </c:pt>
                <c:pt idx="3">
                  <c:v>0</c:v>
                </c:pt>
                <c:pt idx="4">
                  <c:v>1</c:v>
                </c:pt>
                <c:pt idx="5">
                  <c:v>1</c:v>
                </c:pt>
                <c:pt idx="6">
                  <c:v>2</c:v>
                </c:pt>
                <c:pt idx="7">
                  <c:v>1</c:v>
                </c:pt>
                <c:pt idx="8">
                  <c:v>2</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4"/>
          <c:order val="4"/>
          <c:tx>
            <c:strRef>
              <c:f>research_type!$I$6</c:f>
              <c:strCache>
                <c:ptCount val="1"/>
                <c:pt idx="0">
                  <c:v>Validation Research</c:v>
                </c:pt>
              </c:strCache>
            </c:strRef>
          </c:tx>
          <c:spPr>
            <a:solidFill>
              <a:schemeClr val="accent5"/>
            </a:solidFill>
            <a:ln cmpd="sng">
              <a:solidFill>
                <a:srgbClr val="000000"/>
              </a:solidFill>
            </a:ln>
          </c:spPr>
          <c:invertIfNegative val="1"/>
          <c:dLbls>
            <c:numFmt formatCode="0;\-0;;@" sourceLinked="0"/>
            <c:spPr>
              <a:noFill/>
              <a:ln>
                <a:noFill/>
              </a:ln>
              <a:effectLst/>
            </c:spPr>
            <c:txPr>
              <a:bodyPr/>
              <a:lstStyle/>
              <a:p>
                <a:pPr lvl="0">
                  <a:defRPr b="1" i="0">
                    <a:solidFill>
                      <a:srgbClr val="000000"/>
                    </a:solidFill>
                  </a:defRPr>
                </a:pPr>
                <a:endParaRPr lang=""/>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research_type!$J$1:$S$1</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research_type!$J$6:$S$6</c:f>
              <c:numCache>
                <c:formatCode>General</c:formatCode>
                <c:ptCount val="10"/>
                <c:pt idx="0">
                  <c:v>0</c:v>
                </c:pt>
                <c:pt idx="1">
                  <c:v>1</c:v>
                </c:pt>
                <c:pt idx="2">
                  <c:v>1</c:v>
                </c:pt>
                <c:pt idx="3">
                  <c:v>2</c:v>
                </c:pt>
                <c:pt idx="4">
                  <c:v>1</c:v>
                </c:pt>
                <c:pt idx="5">
                  <c:v>4</c:v>
                </c:pt>
                <c:pt idx="6">
                  <c:v>2</c:v>
                </c:pt>
                <c:pt idx="7">
                  <c:v>2</c:v>
                </c:pt>
                <c:pt idx="8">
                  <c:v>4</c:v>
                </c:pt>
                <c:pt idx="9">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5"/>
          <c:order val="5"/>
          <c:tx>
            <c:strRef>
              <c:f>research_type!$I$7</c:f>
              <c:strCache>
                <c:ptCount val="1"/>
                <c:pt idx="0">
                  <c:v>Personal Experience Paper</c:v>
                </c:pt>
              </c:strCache>
            </c:strRef>
          </c:tx>
          <c:spPr>
            <a:solidFill>
              <a:schemeClr val="accent6"/>
            </a:solidFill>
            <a:ln cmpd="sng">
              <a:solidFill>
                <a:srgbClr val="000000"/>
              </a:solidFill>
            </a:ln>
          </c:spPr>
          <c:invertIfNegative val="1"/>
          <c:dLbls>
            <c:numFmt formatCode="0;\-0;;@" sourceLinked="0"/>
            <c:spPr>
              <a:noFill/>
              <a:ln>
                <a:noFill/>
              </a:ln>
              <a:effectLst/>
            </c:spPr>
            <c:txPr>
              <a:bodyPr/>
              <a:lstStyle/>
              <a:p>
                <a:pPr lvl="0">
                  <a:defRPr b="1" i="0">
                    <a:solidFill>
                      <a:srgbClr val="000000"/>
                    </a:solidFill>
                  </a:defRPr>
                </a:pPr>
                <a:endParaRPr lang=""/>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research_type!$J$1:$S$1</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research_type!$J$7:$S$7</c:f>
              <c:numCache>
                <c:formatCode>General</c:formatCode>
                <c:ptCount val="10"/>
                <c:pt idx="0">
                  <c:v>0</c:v>
                </c:pt>
                <c:pt idx="1">
                  <c:v>0</c:v>
                </c:pt>
                <c:pt idx="2">
                  <c:v>1</c:v>
                </c:pt>
                <c:pt idx="3">
                  <c:v>1</c:v>
                </c:pt>
                <c:pt idx="4">
                  <c:v>0</c:v>
                </c:pt>
                <c:pt idx="5">
                  <c:v>1</c:v>
                </c:pt>
                <c:pt idx="6">
                  <c:v>0</c:v>
                </c:pt>
                <c:pt idx="7">
                  <c:v>0</c:v>
                </c:pt>
                <c:pt idx="8">
                  <c:v>3</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overlap val="100"/>
        <c:axId val="-6522672"/>
        <c:axId val="-6526480"/>
      </c:barChart>
      <c:catAx>
        <c:axId val="-6522672"/>
        <c:scaling>
          <c:orientation val="minMax"/>
        </c:scaling>
        <c:delete val="0"/>
        <c:axPos val="b"/>
        <c:title>
          <c:tx>
            <c:rich>
              <a:bodyPr/>
              <a:lstStyle/>
              <a:p>
                <a:pPr lvl="0">
                  <a:defRPr sz="2000" b="0" i="0">
                    <a:solidFill>
                      <a:srgbClr val="000000"/>
                    </a:solidFill>
                    <a:latin typeface="+mn-lt"/>
                  </a:defRPr>
                </a:pPr>
                <a:r>
                  <a:rPr lang="en-US" sz="2000" b="0" i="0">
                    <a:solidFill>
                      <a:srgbClr val="000000"/>
                    </a:solidFill>
                    <a:latin typeface="+mn-lt"/>
                  </a:rPr>
                  <a:t>Year</a:t>
                </a:r>
              </a:p>
            </c:rich>
          </c:tx>
          <c:layout/>
          <c:overlay val="0"/>
        </c:title>
        <c:numFmt formatCode="General" sourceLinked="1"/>
        <c:majorTickMark val="none"/>
        <c:minorTickMark val="none"/>
        <c:tickLblPos val="nextTo"/>
        <c:txPr>
          <a:bodyPr/>
          <a:lstStyle/>
          <a:p>
            <a:pPr lvl="0">
              <a:defRPr sz="1800" b="0" i="0">
                <a:solidFill>
                  <a:srgbClr val="000000"/>
                </a:solidFill>
                <a:latin typeface="+mn-lt"/>
              </a:defRPr>
            </a:pPr>
            <a:endParaRPr lang=""/>
          </a:p>
        </c:txPr>
        <c:crossAx val="-6526480"/>
        <c:crosses val="autoZero"/>
        <c:auto val="1"/>
        <c:lblAlgn val="ctr"/>
        <c:lblOffset val="100"/>
        <c:noMultiLvlLbl val="1"/>
      </c:catAx>
      <c:valAx>
        <c:axId val="-65264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sz="2000" b="0" i="0">
                    <a:solidFill>
                      <a:srgbClr val="000000"/>
                    </a:solidFill>
                    <a:latin typeface="Roboto"/>
                  </a:defRPr>
                </a:pPr>
                <a:r>
                  <a:rPr lang="en-US" sz="2000" b="0" i="0">
                    <a:solidFill>
                      <a:srgbClr val="000000"/>
                    </a:solidFill>
                    <a:latin typeface="Roboto"/>
                  </a:rPr>
                  <a:t>Number of Publications</a:t>
                </a:r>
              </a:p>
            </c:rich>
          </c:tx>
          <c:layout/>
          <c:overlay val="0"/>
        </c:title>
        <c:numFmt formatCode="General" sourceLinked="1"/>
        <c:majorTickMark val="none"/>
        <c:minorTickMark val="none"/>
        <c:tickLblPos val="nextTo"/>
        <c:spPr>
          <a:ln/>
        </c:spPr>
        <c:txPr>
          <a:bodyPr/>
          <a:lstStyle/>
          <a:p>
            <a:pPr lvl="0">
              <a:defRPr sz="1800" b="0" i="0">
                <a:solidFill>
                  <a:srgbClr val="000000"/>
                </a:solidFill>
                <a:latin typeface="+mn-lt"/>
              </a:defRPr>
            </a:pPr>
            <a:endParaRPr lang=""/>
          </a:p>
        </c:txPr>
        <c:crossAx val="-6522672"/>
        <c:crosses val="autoZero"/>
        <c:crossBetween val="between"/>
      </c:valAx>
    </c:plotArea>
    <c:legend>
      <c:legendPos val="t"/>
      <c:layout/>
      <c:overlay val="0"/>
      <c:txPr>
        <a:bodyPr/>
        <a:lstStyle/>
        <a:p>
          <a:pPr lvl="0">
            <a:defRPr sz="1600" b="0" i="0">
              <a:solidFill>
                <a:srgbClr val="1A1A1A"/>
              </a:solidFill>
              <a:latin typeface="Roboto"/>
            </a:defRPr>
          </a:pPr>
          <a:endParaRPr lang=""/>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autoTitleDeleted val="1"/>
    <c:plotArea>
      <c:layout/>
      <c:barChart>
        <c:barDir val="col"/>
        <c:grouping val="stacked"/>
        <c:varyColors val="1"/>
        <c:ser>
          <c:idx val="0"/>
          <c:order val="0"/>
          <c:tx>
            <c:strRef>
              <c:f>research_type!$I$2</c:f>
              <c:strCache>
                <c:ptCount val="1"/>
                <c:pt idx="0">
                  <c:v>Evaluation Research</c:v>
                </c:pt>
              </c:strCache>
            </c:strRef>
          </c:tx>
          <c:spPr>
            <a:solidFill>
              <a:srgbClr val="67CFF5"/>
            </a:solidFill>
            <a:ln cmpd="sng">
              <a:solidFill>
                <a:srgbClr val="000000"/>
              </a:solidFill>
            </a:ln>
          </c:spPr>
          <c:invertIfNegative val="1"/>
          <c:dLbls>
            <c:numFmt formatCode="0;\-0;;@" sourceLinked="0"/>
            <c:spPr>
              <a:noFill/>
              <a:ln>
                <a:noFill/>
              </a:ln>
              <a:effectLst/>
            </c:spPr>
            <c:txPr>
              <a:bodyPr/>
              <a:lstStyle/>
              <a:p>
                <a:pPr lvl="0">
                  <a:defRPr b="1" i="0">
                    <a:solidFill>
                      <a:srgbClr val="000000"/>
                    </a:solidFill>
                  </a:defRPr>
                </a:pPr>
                <a:endParaRPr lang=""/>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research_type!$J$1:$S$1</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research_type!$J$2:$S$2</c:f>
              <c:numCache>
                <c:formatCode>General</c:formatCode>
                <c:ptCount val="10"/>
                <c:pt idx="0">
                  <c:v>4</c:v>
                </c:pt>
                <c:pt idx="1">
                  <c:v>2</c:v>
                </c:pt>
                <c:pt idx="2">
                  <c:v>4</c:v>
                </c:pt>
                <c:pt idx="3">
                  <c:v>5</c:v>
                </c:pt>
                <c:pt idx="4">
                  <c:v>2</c:v>
                </c:pt>
                <c:pt idx="5">
                  <c:v>3</c:v>
                </c:pt>
                <c:pt idx="6">
                  <c:v>2</c:v>
                </c:pt>
                <c:pt idx="7">
                  <c:v>7</c:v>
                </c:pt>
                <c:pt idx="8">
                  <c:v>5</c:v>
                </c:pt>
                <c:pt idx="9">
                  <c:v>13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strRef>
              <c:f>research_type!$I$3</c:f>
              <c:strCache>
                <c:ptCount val="1"/>
                <c:pt idx="0">
                  <c:v>Proposal of Solution</c:v>
                </c:pt>
              </c:strCache>
            </c:strRef>
          </c:tx>
          <c:spPr>
            <a:solidFill>
              <a:srgbClr val="D3402D"/>
            </a:solidFill>
            <a:ln cmpd="sng">
              <a:solidFill>
                <a:srgbClr val="000000"/>
              </a:solidFill>
            </a:ln>
          </c:spPr>
          <c:invertIfNegative val="1"/>
          <c:dLbls>
            <c:numFmt formatCode="0;\-0;;@" sourceLinked="0"/>
            <c:spPr>
              <a:noFill/>
              <a:ln>
                <a:noFill/>
              </a:ln>
              <a:effectLst/>
            </c:spPr>
            <c:txPr>
              <a:bodyPr/>
              <a:lstStyle/>
              <a:p>
                <a:pPr lvl="0">
                  <a:defRPr b="1" i="0">
                    <a:solidFill>
                      <a:srgbClr val="000000"/>
                    </a:solidFill>
                  </a:defRPr>
                </a:pPr>
                <a:endParaRPr lang=""/>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research_type!$J$1:$S$1</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research_type!$J$3:$S$3</c:f>
              <c:numCache>
                <c:formatCode>General</c:formatCode>
                <c:ptCount val="10"/>
                <c:pt idx="0">
                  <c:v>5</c:v>
                </c:pt>
                <c:pt idx="1">
                  <c:v>1</c:v>
                </c:pt>
                <c:pt idx="2">
                  <c:v>3</c:v>
                </c:pt>
                <c:pt idx="3">
                  <c:v>4</c:v>
                </c:pt>
                <c:pt idx="4">
                  <c:v>2</c:v>
                </c:pt>
                <c:pt idx="5">
                  <c:v>2</c:v>
                </c:pt>
                <c:pt idx="6">
                  <c:v>5</c:v>
                </c:pt>
                <c:pt idx="7">
                  <c:v>5</c:v>
                </c:pt>
                <c:pt idx="8">
                  <c:v>6</c:v>
                </c:pt>
                <c:pt idx="9">
                  <c:v>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strRef>
              <c:f>research_type!$I$4</c:f>
              <c:strCache>
                <c:ptCount val="1"/>
                <c:pt idx="0">
                  <c:v>Opinion Paper</c:v>
                </c:pt>
              </c:strCache>
            </c:strRef>
          </c:tx>
          <c:spPr>
            <a:solidFill>
              <a:srgbClr val="BD7EBE"/>
            </a:solidFill>
            <a:ln cmpd="sng">
              <a:solidFill>
                <a:srgbClr val="000000"/>
              </a:solidFill>
            </a:ln>
          </c:spPr>
          <c:invertIfNegative val="1"/>
          <c:dLbls>
            <c:numFmt formatCode="0;\-0;;@" sourceLinked="0"/>
            <c:spPr>
              <a:noFill/>
              <a:ln>
                <a:noFill/>
              </a:ln>
              <a:effectLst/>
            </c:spPr>
            <c:txPr>
              <a:bodyPr/>
              <a:lstStyle/>
              <a:p>
                <a:pPr lvl="0">
                  <a:defRPr b="1" i="0">
                    <a:solidFill>
                      <a:srgbClr val="000000"/>
                    </a:solidFill>
                  </a:defRPr>
                </a:pPr>
                <a:endParaRPr lang=""/>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research_type!$J$1:$S$1</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research_type!$J$4:$S$4</c:f>
              <c:numCache>
                <c:formatCode>General</c:formatCode>
                <c:ptCount val="10"/>
                <c:pt idx="0">
                  <c:v>1</c:v>
                </c:pt>
                <c:pt idx="1">
                  <c:v>1</c:v>
                </c:pt>
                <c:pt idx="2">
                  <c:v>0</c:v>
                </c:pt>
                <c:pt idx="3">
                  <c:v>0</c:v>
                </c:pt>
                <c:pt idx="4">
                  <c:v>0</c:v>
                </c:pt>
                <c:pt idx="5">
                  <c:v>1</c:v>
                </c:pt>
                <c:pt idx="6">
                  <c:v>0</c:v>
                </c:pt>
                <c:pt idx="7">
                  <c:v>2</c:v>
                </c:pt>
                <c:pt idx="8">
                  <c:v>0</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3"/>
          <c:order val="3"/>
          <c:tx>
            <c:strRef>
              <c:f>research_type!$I$5</c:f>
              <c:strCache>
                <c:ptCount val="1"/>
                <c:pt idx="0">
                  <c:v>Philosophical Paper</c:v>
                </c:pt>
              </c:strCache>
            </c:strRef>
          </c:tx>
          <c:spPr>
            <a:solidFill>
              <a:srgbClr val="B2E061"/>
            </a:solidFill>
            <a:ln cmpd="sng">
              <a:solidFill>
                <a:srgbClr val="000000"/>
              </a:solidFill>
            </a:ln>
          </c:spPr>
          <c:invertIfNegative val="1"/>
          <c:dLbls>
            <c:numFmt formatCode="0;\-0;;@" sourceLinked="0"/>
            <c:spPr>
              <a:noFill/>
              <a:ln>
                <a:noFill/>
              </a:ln>
              <a:effectLst/>
            </c:spPr>
            <c:txPr>
              <a:bodyPr/>
              <a:lstStyle/>
              <a:p>
                <a:pPr lvl="0">
                  <a:defRPr b="1" i="0">
                    <a:solidFill>
                      <a:srgbClr val="000000"/>
                    </a:solidFill>
                  </a:defRPr>
                </a:pPr>
                <a:endParaRPr lang=""/>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research_type!$J$1:$S$1</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research_type!$J$5:$S$5</c:f>
              <c:numCache>
                <c:formatCode>General</c:formatCode>
                <c:ptCount val="10"/>
                <c:pt idx="0">
                  <c:v>1</c:v>
                </c:pt>
                <c:pt idx="1">
                  <c:v>2</c:v>
                </c:pt>
                <c:pt idx="2">
                  <c:v>0</c:v>
                </c:pt>
                <c:pt idx="3">
                  <c:v>0</c:v>
                </c:pt>
                <c:pt idx="4">
                  <c:v>1</c:v>
                </c:pt>
                <c:pt idx="5">
                  <c:v>1</c:v>
                </c:pt>
                <c:pt idx="6">
                  <c:v>2</c:v>
                </c:pt>
                <c:pt idx="7">
                  <c:v>1</c:v>
                </c:pt>
                <c:pt idx="8">
                  <c:v>2</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4"/>
          <c:order val="4"/>
          <c:tx>
            <c:strRef>
              <c:f>research_type!$I$6</c:f>
              <c:strCache>
                <c:ptCount val="1"/>
                <c:pt idx="0">
                  <c:v>Validation Research</c:v>
                </c:pt>
              </c:strCache>
            </c:strRef>
          </c:tx>
          <c:spPr>
            <a:solidFill>
              <a:srgbClr val="D88217"/>
            </a:solidFill>
            <a:ln cmpd="sng">
              <a:solidFill>
                <a:srgbClr val="000000"/>
              </a:solidFill>
            </a:ln>
          </c:spPr>
          <c:invertIfNegative val="1"/>
          <c:dLbls>
            <c:numFmt formatCode="0;\-0;;@" sourceLinked="0"/>
            <c:spPr>
              <a:noFill/>
              <a:ln>
                <a:noFill/>
              </a:ln>
              <a:effectLst/>
            </c:spPr>
            <c:txPr>
              <a:bodyPr/>
              <a:lstStyle/>
              <a:p>
                <a:pPr lvl="0">
                  <a:defRPr b="1" i="0">
                    <a:solidFill>
                      <a:srgbClr val="000000"/>
                    </a:solidFill>
                  </a:defRPr>
                </a:pPr>
                <a:endParaRPr lang=""/>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research_type!$J$1:$S$1</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research_type!$J$6:$S$6</c:f>
              <c:numCache>
                <c:formatCode>General</c:formatCode>
                <c:ptCount val="10"/>
                <c:pt idx="0">
                  <c:v>0</c:v>
                </c:pt>
                <c:pt idx="1">
                  <c:v>1</c:v>
                </c:pt>
                <c:pt idx="2">
                  <c:v>1</c:v>
                </c:pt>
                <c:pt idx="3">
                  <c:v>2</c:v>
                </c:pt>
                <c:pt idx="4">
                  <c:v>1</c:v>
                </c:pt>
                <c:pt idx="5">
                  <c:v>4</c:v>
                </c:pt>
                <c:pt idx="6">
                  <c:v>2</c:v>
                </c:pt>
                <c:pt idx="7">
                  <c:v>2</c:v>
                </c:pt>
                <c:pt idx="8">
                  <c:v>4</c:v>
                </c:pt>
                <c:pt idx="9">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5"/>
          <c:order val="5"/>
          <c:tx>
            <c:strRef>
              <c:f>research_type!$I$7</c:f>
              <c:strCache>
                <c:ptCount val="1"/>
                <c:pt idx="0">
                  <c:v>Personal Experience Paper</c:v>
                </c:pt>
              </c:strCache>
            </c:strRef>
          </c:tx>
          <c:spPr>
            <a:solidFill>
              <a:srgbClr val="8BD3C7"/>
            </a:solidFill>
            <a:ln cmpd="sng">
              <a:solidFill>
                <a:srgbClr val="000000"/>
              </a:solidFill>
            </a:ln>
          </c:spPr>
          <c:invertIfNegative val="1"/>
          <c:dLbls>
            <c:numFmt formatCode="0;\-0;;@" sourceLinked="0"/>
            <c:spPr>
              <a:noFill/>
              <a:ln>
                <a:noFill/>
              </a:ln>
              <a:effectLst/>
            </c:spPr>
            <c:txPr>
              <a:bodyPr/>
              <a:lstStyle/>
              <a:p>
                <a:pPr lvl="0">
                  <a:defRPr b="1" i="0">
                    <a:solidFill>
                      <a:srgbClr val="000000"/>
                    </a:solidFill>
                  </a:defRPr>
                </a:pPr>
                <a:endParaRPr lang=""/>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research_type!$J$1:$S$1</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research_type!$J$7:$S$7</c:f>
              <c:numCache>
                <c:formatCode>General</c:formatCode>
                <c:ptCount val="10"/>
                <c:pt idx="0">
                  <c:v>0</c:v>
                </c:pt>
                <c:pt idx="1">
                  <c:v>0</c:v>
                </c:pt>
                <c:pt idx="2">
                  <c:v>1</c:v>
                </c:pt>
                <c:pt idx="3">
                  <c:v>1</c:v>
                </c:pt>
                <c:pt idx="4">
                  <c:v>0</c:v>
                </c:pt>
                <c:pt idx="5">
                  <c:v>1</c:v>
                </c:pt>
                <c:pt idx="6">
                  <c:v>0</c:v>
                </c:pt>
                <c:pt idx="7">
                  <c:v>0</c:v>
                </c:pt>
                <c:pt idx="8">
                  <c:v>3</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overlap val="100"/>
        <c:axId val="-6525936"/>
        <c:axId val="-6525392"/>
      </c:barChart>
      <c:catAx>
        <c:axId val="-6525936"/>
        <c:scaling>
          <c:orientation val="minMax"/>
        </c:scaling>
        <c:delete val="0"/>
        <c:axPos val="b"/>
        <c:title>
          <c:tx>
            <c:rich>
              <a:bodyPr/>
              <a:lstStyle/>
              <a:p>
                <a:pPr lvl="0">
                  <a:defRPr sz="2400" b="0" i="0">
                    <a:solidFill>
                      <a:srgbClr val="000000"/>
                    </a:solidFill>
                    <a:latin typeface="Roboto"/>
                  </a:defRPr>
                </a:pPr>
                <a:r>
                  <a:rPr sz="2400" b="0" i="0">
                    <a:solidFill>
                      <a:srgbClr val="000000"/>
                    </a:solidFill>
                    <a:latin typeface="Roboto"/>
                  </a:rPr>
                  <a:t>Year</a:t>
                </a:r>
              </a:p>
            </c:rich>
          </c:tx>
          <c:overlay val="0"/>
        </c:title>
        <c:numFmt formatCode="General" sourceLinked="1"/>
        <c:majorTickMark val="none"/>
        <c:minorTickMark val="none"/>
        <c:tickLblPos val="nextTo"/>
        <c:txPr>
          <a:bodyPr/>
          <a:lstStyle/>
          <a:p>
            <a:pPr lvl="0">
              <a:defRPr sz="1800" b="0" i="0">
                <a:solidFill>
                  <a:srgbClr val="000000"/>
                </a:solidFill>
                <a:latin typeface="+mn-lt"/>
              </a:defRPr>
            </a:pPr>
            <a:endParaRPr lang=""/>
          </a:p>
        </c:txPr>
        <c:crossAx val="-6525392"/>
        <c:crosses val="autoZero"/>
        <c:auto val="1"/>
        <c:lblAlgn val="ctr"/>
        <c:lblOffset val="100"/>
        <c:noMultiLvlLbl val="1"/>
      </c:catAx>
      <c:valAx>
        <c:axId val="-65253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sz="2400" b="0" i="0">
                    <a:solidFill>
                      <a:srgbClr val="000000"/>
                    </a:solidFill>
                    <a:latin typeface="Roboto"/>
                  </a:defRPr>
                </a:pPr>
                <a:r>
                  <a:rPr sz="2400" b="0" i="0">
                    <a:solidFill>
                      <a:srgbClr val="000000"/>
                    </a:solidFill>
                    <a:latin typeface="Roboto"/>
                  </a:rPr>
                  <a:t>Number of Publications</a:t>
                </a:r>
              </a:p>
            </c:rich>
          </c:tx>
          <c:overlay val="0"/>
        </c:title>
        <c:numFmt formatCode="General" sourceLinked="1"/>
        <c:majorTickMark val="none"/>
        <c:minorTickMark val="none"/>
        <c:tickLblPos val="nextTo"/>
        <c:spPr>
          <a:ln/>
        </c:spPr>
        <c:txPr>
          <a:bodyPr/>
          <a:lstStyle/>
          <a:p>
            <a:pPr lvl="0">
              <a:defRPr sz="1800" b="0" i="0">
                <a:solidFill>
                  <a:srgbClr val="000000"/>
                </a:solidFill>
                <a:latin typeface="+mn-lt"/>
              </a:defRPr>
            </a:pPr>
            <a:endParaRPr lang=""/>
          </a:p>
        </c:txPr>
        <c:crossAx val="-6525936"/>
        <c:crosses val="autoZero"/>
        <c:crossBetween val="between"/>
      </c:valAx>
    </c:plotArea>
    <c:legend>
      <c:legendPos val="t"/>
      <c:overlay val="0"/>
      <c:txPr>
        <a:bodyPr/>
        <a:lstStyle/>
        <a:p>
          <a:pPr lvl="0">
            <a:defRPr sz="1600" b="0" i="0">
              <a:solidFill>
                <a:srgbClr val="1A1A1A"/>
              </a:solidFill>
              <a:latin typeface="Roboto"/>
            </a:defRPr>
          </a:pPr>
          <a:endParaRPr lang=""/>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autoTitleDeleted val="1"/>
    <c:plotArea>
      <c:layout>
        <c:manualLayout>
          <c:xMode val="edge"/>
          <c:yMode val="edge"/>
          <c:x val="0.26021336739736606"/>
          <c:y val="0.05"/>
          <c:w val="0.70918354442299059"/>
          <c:h val="0.79230769230769227"/>
        </c:manualLayout>
      </c:layout>
      <c:barChart>
        <c:barDir val="bar"/>
        <c:grouping val="clustered"/>
        <c:varyColors val="1"/>
        <c:ser>
          <c:idx val="0"/>
          <c:order val="0"/>
          <c:tx>
            <c:strRef>
              <c:f>topics!$F$1</c:f>
              <c:strCache>
                <c:ptCount val="1"/>
                <c:pt idx="0">
                  <c:v>ID Count</c:v>
                </c:pt>
              </c:strCache>
            </c:strRef>
          </c:tx>
          <c:spPr>
            <a:solidFill>
              <a:srgbClr val="CCCCCC"/>
            </a:solidFill>
            <a:ln cmpd="sng">
              <a:solidFill>
                <a:srgbClr val="000000"/>
              </a:solidFill>
            </a:ln>
          </c:spPr>
          <c:invertIfNegative val="1"/>
          <c:cat>
            <c:strRef>
              <c:f>topics!$B$2:$B$10</c:f>
              <c:strCache>
                <c:ptCount val="9"/>
                <c:pt idx="0">
                  <c:v>Sustainability</c:v>
                </c:pt>
                <c:pt idx="1">
                  <c:v>Diversity and Inclusion</c:v>
                </c:pt>
                <c:pt idx="2">
                  <c:v>Research Methodology</c:v>
                </c:pt>
                <c:pt idx="3">
                  <c:v>Open Source</c:v>
                </c:pt>
                <c:pt idx="4">
                  <c:v>Ethics</c:v>
                </c:pt>
                <c:pt idx="5">
                  <c:v>Gender</c:v>
                </c:pt>
                <c:pt idx="6">
                  <c:v>Social Media</c:v>
                </c:pt>
                <c:pt idx="7">
                  <c:v>Education</c:v>
                </c:pt>
                <c:pt idx="8">
                  <c:v>Atypical Interaction Capabilities</c:v>
                </c:pt>
              </c:strCache>
            </c:strRef>
          </c:cat>
          <c:val>
            <c:numRef>
              <c:f>topics!$F$2:$F$10</c:f>
              <c:numCache>
                <c:formatCode>General</c:formatCode>
                <c:ptCount val="9"/>
                <c:pt idx="0">
                  <c:v>17</c:v>
                </c:pt>
                <c:pt idx="1">
                  <c:v>16</c:v>
                </c:pt>
                <c:pt idx="2">
                  <c:v>14</c:v>
                </c:pt>
                <c:pt idx="3">
                  <c:v>13</c:v>
                </c:pt>
                <c:pt idx="4">
                  <c:v>10</c:v>
                </c:pt>
                <c:pt idx="5">
                  <c:v>9</c:v>
                </c:pt>
                <c:pt idx="6">
                  <c:v>8</c:v>
                </c:pt>
                <c:pt idx="7">
                  <c:v>7</c:v>
                </c:pt>
                <c:pt idx="8">
                  <c:v>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6537360"/>
        <c:axId val="-6522128"/>
      </c:barChart>
      <c:catAx>
        <c:axId val="-6537360"/>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2000" b="0" i="0">
                <a:solidFill>
                  <a:srgbClr val="000000"/>
                </a:solidFill>
                <a:latin typeface="Roboto"/>
              </a:defRPr>
            </a:pPr>
            <a:endParaRPr lang=""/>
          </a:p>
        </c:txPr>
        <c:crossAx val="-6522128"/>
        <c:crosses val="autoZero"/>
        <c:auto val="1"/>
        <c:lblAlgn val="ctr"/>
        <c:lblOffset val="100"/>
        <c:noMultiLvlLbl val="1"/>
      </c:catAx>
      <c:valAx>
        <c:axId val="-6522128"/>
        <c:scaling>
          <c:orientation val="minMax"/>
          <c:max val="19"/>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sz="2000" b="0" i="0">
                    <a:solidFill>
                      <a:srgbClr val="000000"/>
                    </a:solidFill>
                    <a:latin typeface="Roboto"/>
                  </a:defRPr>
                </a:pPr>
                <a:r>
                  <a:rPr sz="2000" b="0" i="0">
                    <a:solidFill>
                      <a:srgbClr val="000000"/>
                    </a:solidFill>
                    <a:latin typeface="Roboto"/>
                  </a:rPr>
                  <a:t>Number of Publications</a:t>
                </a:r>
              </a:p>
            </c:rich>
          </c:tx>
          <c:overlay val="0"/>
        </c:title>
        <c:numFmt formatCode="General" sourceLinked="1"/>
        <c:majorTickMark val="none"/>
        <c:minorTickMark val="none"/>
        <c:tickLblPos val="nextTo"/>
        <c:spPr>
          <a:ln/>
        </c:spPr>
        <c:txPr>
          <a:bodyPr/>
          <a:lstStyle/>
          <a:p>
            <a:pPr lvl="0">
              <a:defRPr sz="1800" b="0" i="0">
                <a:solidFill>
                  <a:srgbClr val="000000"/>
                </a:solidFill>
                <a:latin typeface="Roboto"/>
              </a:defRPr>
            </a:pPr>
            <a:endParaRPr lang=""/>
          </a:p>
        </c:txPr>
        <c:crossAx val="-6537360"/>
        <c:crosses val="max"/>
        <c:crossBetween val="between"/>
      </c:valAx>
    </c:plotArea>
    <c:legend>
      <c:legendPos val="r"/>
      <c:overlay val="0"/>
      <c:txPr>
        <a:bodyPr/>
        <a:lstStyle/>
        <a:p>
          <a:pPr lvl="0">
            <a:defRPr b="0" i="0">
              <a:solidFill>
                <a:srgbClr val="1A1A1A"/>
              </a:solidFill>
              <a:latin typeface="+mn-lt"/>
            </a:defRPr>
          </a:pPr>
          <a:endParaRPr lang=""/>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autoTitleDeleted val="1"/>
    <c:plotArea>
      <c:layout/>
      <c:barChart>
        <c:barDir val="col"/>
        <c:grouping val="clustered"/>
        <c:varyColors val="1"/>
        <c:ser>
          <c:idx val="0"/>
          <c:order val="0"/>
          <c:tx>
            <c:strRef>
              <c:f>sustainabilityprimary!$Q$114</c:f>
              <c:strCache>
                <c:ptCount val="1"/>
                <c:pt idx="0">
                  <c:v>Total</c:v>
                </c:pt>
              </c:strCache>
            </c:strRef>
          </c:tx>
          <c:spPr>
            <a:solidFill>
              <a:srgbClr val="D9D9D9"/>
            </a:solidFill>
            <a:ln cmpd="sng">
              <a:solidFill>
                <a:srgbClr val="000000"/>
              </a:solidFill>
            </a:ln>
          </c:spPr>
          <c:invertIfNegative val="1"/>
          <c:dLbls>
            <c:spPr>
              <a:noFill/>
              <a:ln>
                <a:noFill/>
              </a:ln>
              <a:effectLst/>
            </c:spPr>
            <c:txPr>
              <a:bodyPr/>
              <a:lstStyle/>
              <a:p>
                <a:pPr lvl="0">
                  <a:defRPr b="1" i="0">
                    <a:solidFill>
                      <a:srgbClr val="666666"/>
                    </a:solidFill>
                  </a:defRPr>
                </a:pPr>
                <a:endParaRPr lang=""/>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sustainabilityprimary!$P$115:$P$124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sustainabilityprimary!$Q$115:$Q$124</c:f>
              <c:numCache>
                <c:formatCode>General</c:formatCode>
                <c:ptCount val="10"/>
                <c:pt idx="0">
                  <c:v>11</c:v>
                </c:pt>
                <c:pt idx="1">
                  <c:v>7</c:v>
                </c:pt>
                <c:pt idx="2">
                  <c:v>9</c:v>
                </c:pt>
                <c:pt idx="3">
                  <c:v>12</c:v>
                </c:pt>
                <c:pt idx="4">
                  <c:v>6</c:v>
                </c:pt>
                <c:pt idx="5">
                  <c:v>12</c:v>
                </c:pt>
                <c:pt idx="6">
                  <c:v>11</c:v>
                </c:pt>
                <c:pt idx="7">
                  <c:v>17</c:v>
                </c:pt>
                <c:pt idx="8">
                  <c:v>20</c:v>
                </c:pt>
                <c:pt idx="9">
                  <c:v>18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6536816"/>
        <c:axId val="-6536272"/>
      </c:barChart>
      <c:lineChart>
        <c:grouping val="standard"/>
        <c:varyColors val="1"/>
        <c:ser>
          <c:idx val="1"/>
          <c:order val="1"/>
          <c:tx>
            <c:strRef>
              <c:f>sustainabilityprimary!$R$114</c:f>
              <c:strCache>
                <c:ptCount val="1"/>
                <c:pt idx="0">
                  <c:v>Social</c:v>
                </c:pt>
              </c:strCache>
            </c:strRef>
          </c:tx>
          <c:spPr>
            <a:ln w="19050" cmpd="sng">
              <a:solidFill>
                <a:srgbClr val="FF9900">
                  <a:alpha val="100000"/>
                </a:srgbClr>
              </a:solidFill>
              <a:prstDash val="dash"/>
            </a:ln>
          </c:spPr>
          <c:marker>
            <c:symbol val="circle"/>
            <c:size val="2"/>
            <c:spPr>
              <a:solidFill>
                <a:srgbClr val="FF9900">
                  <a:alpha val="100000"/>
                </a:srgbClr>
              </a:solidFill>
              <a:ln cmpd="sng">
                <a:solidFill>
                  <a:srgbClr val="FF9900">
                    <a:alpha val="100000"/>
                  </a:srgbClr>
                </a:solidFill>
              </a:ln>
            </c:spPr>
          </c:marker>
          <c:trendline>
            <c:spPr>
              <a:ln w="19050">
                <a:solidFill>
                  <a:srgbClr val="000000">
                    <a:alpha val="0"/>
                  </a:srgbClr>
                </a:solidFill>
              </a:ln>
            </c:spPr>
            <c:trendlineType val="linear"/>
            <c:dispRSqr val="0"/>
            <c:dispEq val="0"/>
          </c:trendline>
          <c:cat>
            <c:numRef>
              <c:f>sustainabilityprimary!$P$115:$P$124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sustainabilityprimary!$R$115:$R$124</c:f>
              <c:numCache>
                <c:formatCode>General</c:formatCode>
                <c:ptCount val="10"/>
                <c:pt idx="0">
                  <c:v>4</c:v>
                </c:pt>
                <c:pt idx="1">
                  <c:v>2</c:v>
                </c:pt>
                <c:pt idx="2">
                  <c:v>0</c:v>
                </c:pt>
                <c:pt idx="3">
                  <c:v>3</c:v>
                </c:pt>
                <c:pt idx="4">
                  <c:v>3</c:v>
                </c:pt>
                <c:pt idx="5">
                  <c:v>3</c:v>
                </c:pt>
                <c:pt idx="6">
                  <c:v>5</c:v>
                </c:pt>
                <c:pt idx="7">
                  <c:v>9</c:v>
                </c:pt>
                <c:pt idx="8">
                  <c:v>12</c:v>
                </c:pt>
                <c:pt idx="9">
                  <c:v>9</c:v>
                </c:pt>
              </c:numCache>
            </c:numRef>
          </c:val>
          <c:smooth val="1"/>
        </c:ser>
        <c:ser>
          <c:idx val="2"/>
          <c:order val="2"/>
          <c:tx>
            <c:strRef>
              <c:f>sustainabilityprimary!$S$114</c:f>
              <c:strCache>
                <c:ptCount val="1"/>
                <c:pt idx="0">
                  <c:v>Economic</c:v>
                </c:pt>
              </c:strCache>
            </c:strRef>
          </c:tx>
          <c:spPr>
            <a:ln w="19050" cmpd="sng">
              <a:solidFill>
                <a:srgbClr val="FF0000">
                  <a:alpha val="100000"/>
                </a:srgbClr>
              </a:solidFill>
              <a:prstDash val="dash"/>
            </a:ln>
          </c:spPr>
          <c:marker>
            <c:symbol val="circle"/>
            <c:size val="4"/>
            <c:spPr>
              <a:solidFill>
                <a:srgbClr val="FF0000">
                  <a:alpha val="100000"/>
                </a:srgbClr>
              </a:solidFill>
              <a:ln cmpd="sng">
                <a:solidFill>
                  <a:srgbClr val="FF0000">
                    <a:alpha val="100000"/>
                  </a:srgbClr>
                </a:solidFill>
              </a:ln>
            </c:spPr>
          </c:marker>
          <c:dPt>
            <c:idx val="2"/>
            <c:marker>
              <c:symbol val="none"/>
            </c:marker>
            <c:bubble3D val="0"/>
          </c:dPt>
          <c:cat>
            <c:numRef>
              <c:f>sustainabilityprimary!$P$115:$P$124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sustainabilityprimary!$S$115:$S$124</c:f>
              <c:numCache>
                <c:formatCode>General</c:formatCode>
                <c:ptCount val="10"/>
                <c:pt idx="0">
                  <c:v>0</c:v>
                </c:pt>
                <c:pt idx="1">
                  <c:v>0</c:v>
                </c:pt>
                <c:pt idx="2">
                  <c:v>0</c:v>
                </c:pt>
                <c:pt idx="3">
                  <c:v>0</c:v>
                </c:pt>
                <c:pt idx="4">
                  <c:v>0</c:v>
                </c:pt>
                <c:pt idx="5">
                  <c:v>0</c:v>
                </c:pt>
                <c:pt idx="6">
                  <c:v>0</c:v>
                </c:pt>
                <c:pt idx="7">
                  <c:v>0</c:v>
                </c:pt>
                <c:pt idx="8">
                  <c:v>0</c:v>
                </c:pt>
                <c:pt idx="9">
                  <c:v>0</c:v>
                </c:pt>
              </c:numCache>
            </c:numRef>
          </c:val>
          <c:smooth val="1"/>
        </c:ser>
        <c:ser>
          <c:idx val="3"/>
          <c:order val="3"/>
          <c:tx>
            <c:strRef>
              <c:f>sustainabilityprimary!$T$114</c:f>
              <c:strCache>
                <c:ptCount val="1"/>
                <c:pt idx="0">
                  <c:v>Environmental</c:v>
                </c:pt>
              </c:strCache>
            </c:strRef>
          </c:tx>
          <c:spPr>
            <a:ln w="19050" cmpd="sng">
              <a:solidFill>
                <a:srgbClr val="6AA84F">
                  <a:alpha val="100000"/>
                </a:srgbClr>
              </a:solidFill>
              <a:prstDash val="dash"/>
            </a:ln>
          </c:spPr>
          <c:marker>
            <c:symbol val="circle"/>
            <c:size val="4"/>
            <c:spPr>
              <a:solidFill>
                <a:srgbClr val="6AA84F">
                  <a:alpha val="100000"/>
                </a:srgbClr>
              </a:solidFill>
              <a:ln cmpd="sng">
                <a:solidFill>
                  <a:srgbClr val="6AA84F">
                    <a:alpha val="100000"/>
                  </a:srgbClr>
                </a:solidFill>
              </a:ln>
            </c:spPr>
          </c:marker>
          <c:cat>
            <c:numRef>
              <c:f>sustainabilityprimary!$P$115:$P$124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sustainabilityprimary!$T$115:$T$124</c:f>
              <c:numCache>
                <c:formatCode>General</c:formatCode>
                <c:ptCount val="10"/>
                <c:pt idx="0">
                  <c:v>0</c:v>
                </c:pt>
                <c:pt idx="1">
                  <c:v>0</c:v>
                </c:pt>
                <c:pt idx="2">
                  <c:v>1</c:v>
                </c:pt>
                <c:pt idx="3">
                  <c:v>0</c:v>
                </c:pt>
                <c:pt idx="4">
                  <c:v>0</c:v>
                </c:pt>
                <c:pt idx="5">
                  <c:v>0</c:v>
                </c:pt>
                <c:pt idx="6">
                  <c:v>0</c:v>
                </c:pt>
                <c:pt idx="7">
                  <c:v>0</c:v>
                </c:pt>
                <c:pt idx="8">
                  <c:v>0</c:v>
                </c:pt>
                <c:pt idx="9">
                  <c:v>0</c:v>
                </c:pt>
              </c:numCache>
            </c:numRef>
          </c:val>
          <c:smooth val="1"/>
        </c:ser>
        <c:ser>
          <c:idx val="4"/>
          <c:order val="4"/>
          <c:tx>
            <c:strRef>
              <c:f>sustainabilityprimary!$U$114</c:f>
              <c:strCache>
                <c:ptCount val="1"/>
                <c:pt idx="0">
                  <c:v>Technical</c:v>
                </c:pt>
              </c:strCache>
            </c:strRef>
          </c:tx>
          <c:spPr>
            <a:ln w="19050" cmpd="sng">
              <a:solidFill>
                <a:schemeClr val="accent5"/>
              </a:solidFill>
              <a:prstDash val="dash"/>
            </a:ln>
          </c:spPr>
          <c:marker>
            <c:symbol val="circle"/>
            <c:size val="4"/>
            <c:spPr>
              <a:solidFill>
                <a:schemeClr val="accent5"/>
              </a:solidFill>
              <a:ln cmpd="sng">
                <a:solidFill>
                  <a:schemeClr val="accent5"/>
                </a:solidFill>
              </a:ln>
            </c:spPr>
          </c:marker>
          <c:trendline>
            <c:spPr>
              <a:ln w="19050">
                <a:solidFill>
                  <a:srgbClr val="000000">
                    <a:alpha val="0"/>
                  </a:srgbClr>
                </a:solidFill>
              </a:ln>
            </c:spPr>
            <c:trendlineType val="linear"/>
            <c:dispRSqr val="0"/>
            <c:dispEq val="0"/>
          </c:trendline>
          <c:cat>
            <c:numRef>
              <c:f>sustainabilityprimary!$P$115:$P$124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sustainabilityprimary!$U$115:$U$124</c:f>
              <c:numCache>
                <c:formatCode>General</c:formatCode>
                <c:ptCount val="10"/>
                <c:pt idx="0">
                  <c:v>7</c:v>
                </c:pt>
                <c:pt idx="1">
                  <c:v>5</c:v>
                </c:pt>
                <c:pt idx="2">
                  <c:v>8</c:v>
                </c:pt>
                <c:pt idx="3">
                  <c:v>9</c:v>
                </c:pt>
                <c:pt idx="4">
                  <c:v>3</c:v>
                </c:pt>
                <c:pt idx="5">
                  <c:v>9</c:v>
                </c:pt>
                <c:pt idx="6">
                  <c:v>6</c:v>
                </c:pt>
                <c:pt idx="7">
                  <c:v>8</c:v>
                </c:pt>
                <c:pt idx="8">
                  <c:v>8</c:v>
                </c:pt>
                <c:pt idx="9">
                  <c:v>9</c:v>
                </c:pt>
              </c:numCache>
            </c:numRef>
          </c:val>
          <c:smooth val="1"/>
        </c:ser>
        <c:dLbls>
          <c:showLegendKey val="0"/>
          <c:showVal val="0"/>
          <c:showCatName val="0"/>
          <c:showSerName val="0"/>
          <c:showPercent val="0"/>
          <c:showBubbleSize val="0"/>
        </c:dLbls>
        <c:marker val="1"/>
        <c:smooth val="0"/>
        <c:axId val="-6536816"/>
        <c:axId val="-6536272"/>
      </c:lineChart>
      <c:catAx>
        <c:axId val="-6536816"/>
        <c:scaling>
          <c:orientation val="minMax"/>
        </c:scaling>
        <c:delete val="0"/>
        <c:axPos val="b"/>
        <c:title>
          <c:tx>
            <c:rich>
              <a:bodyPr/>
              <a:lstStyle/>
              <a:p>
                <a:pPr lvl="0">
                  <a:defRPr sz="1800" b="0" i="0">
                    <a:solidFill>
                      <a:srgbClr val="000000"/>
                    </a:solidFill>
                    <a:latin typeface="+mn-lt"/>
                  </a:defRPr>
                </a:pPr>
                <a:r>
                  <a:rPr sz="1800" b="0" i="0">
                    <a:solidFill>
                      <a:srgbClr val="000000"/>
                    </a:solidFill>
                    <a:latin typeface="+mn-lt"/>
                  </a:rPr>
                  <a:t>Year</a:t>
                </a:r>
              </a:p>
            </c:rich>
          </c:tx>
          <c:overlay val="0"/>
        </c:title>
        <c:numFmt formatCode="General" sourceLinked="1"/>
        <c:majorTickMark val="none"/>
        <c:minorTickMark val="none"/>
        <c:tickLblPos val="nextTo"/>
        <c:txPr>
          <a:bodyPr/>
          <a:lstStyle/>
          <a:p>
            <a:pPr lvl="0">
              <a:defRPr sz="1600" b="0" i="0">
                <a:solidFill>
                  <a:srgbClr val="000000"/>
                </a:solidFill>
                <a:latin typeface="+mn-lt"/>
              </a:defRPr>
            </a:pPr>
            <a:endParaRPr lang=""/>
          </a:p>
        </c:txPr>
        <c:crossAx val="-6536272"/>
        <c:crosses val="autoZero"/>
        <c:auto val="1"/>
        <c:lblAlgn val="ctr"/>
        <c:lblOffset val="100"/>
        <c:noMultiLvlLbl val="1"/>
      </c:catAx>
      <c:valAx>
        <c:axId val="-6536272"/>
        <c:scaling>
          <c:orientation val="minMax"/>
        </c:scaling>
        <c:delete val="0"/>
        <c:axPos val="l"/>
        <c:title>
          <c:tx>
            <c:rich>
              <a:bodyPr/>
              <a:lstStyle/>
              <a:p>
                <a:pPr lvl="0">
                  <a:defRPr sz="1800" b="0" i="0">
                    <a:solidFill>
                      <a:srgbClr val="000000"/>
                    </a:solidFill>
                    <a:latin typeface="+mn-lt"/>
                  </a:defRPr>
                </a:pPr>
                <a:r>
                  <a:rPr sz="1800" b="0" i="0">
                    <a:solidFill>
                      <a:srgbClr val="000000"/>
                    </a:solidFill>
                    <a:latin typeface="+mn-lt"/>
                  </a:rPr>
                  <a:t>Number of Publications</a:t>
                </a:r>
              </a:p>
            </c:rich>
          </c:tx>
          <c:overlay val="0"/>
        </c:title>
        <c:numFmt formatCode="General" sourceLinked="1"/>
        <c:majorTickMark val="none"/>
        <c:minorTickMark val="none"/>
        <c:tickLblPos val="nextTo"/>
        <c:spPr>
          <a:ln/>
        </c:spPr>
        <c:txPr>
          <a:bodyPr/>
          <a:lstStyle/>
          <a:p>
            <a:pPr lvl="0">
              <a:defRPr sz="1600" b="0" i="0">
                <a:solidFill>
                  <a:srgbClr val="000000"/>
                </a:solidFill>
                <a:latin typeface="+mn-lt"/>
              </a:defRPr>
            </a:pPr>
            <a:endParaRPr lang=""/>
          </a:p>
        </c:txPr>
        <c:crossAx val="-6536816"/>
        <c:crosses val="autoZero"/>
        <c:crossBetween val="between"/>
      </c:valAx>
    </c:plotArea>
    <c:legend>
      <c:legendPos val="t"/>
      <c:layout>
        <c:manualLayout>
          <c:xMode val="edge"/>
          <c:yMode val="edge"/>
          <c:x val="0.17044218359267535"/>
          <c:y val="9.7197614449137382E-3"/>
        </c:manualLayout>
      </c:layout>
      <c:overlay val="0"/>
      <c:txPr>
        <a:bodyPr/>
        <a:lstStyle/>
        <a:p>
          <a:pPr lvl="0">
            <a:defRPr sz="1600" b="0" i="0">
              <a:solidFill>
                <a:srgbClr val="1A1A1A"/>
              </a:solidFill>
              <a:latin typeface="Arial"/>
            </a:defRPr>
          </a:pPr>
          <a:endParaRPr lang=""/>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autoTitleDeleted val="1"/>
    <c:plotArea>
      <c:layout>
        <c:manualLayout>
          <c:xMode val="edge"/>
          <c:yMode val="edge"/>
          <c:x val="0.12091666666666669"/>
          <c:y val="0.1586433260393873"/>
          <c:w val="0.84816666666666707"/>
          <c:h val="0.66197662005225677"/>
        </c:manualLayout>
      </c:layout>
      <c:barChart>
        <c:barDir val="col"/>
        <c:grouping val="clustered"/>
        <c:varyColors val="1"/>
        <c:ser>
          <c:idx val="0"/>
          <c:order val="0"/>
          <c:tx>
            <c:strRef>
              <c:f>sustainabilityprimary!$Q$114</c:f>
              <c:strCache>
                <c:ptCount val="1"/>
                <c:pt idx="0">
                  <c:v>Total</c:v>
                </c:pt>
              </c:strCache>
            </c:strRef>
          </c:tx>
          <c:spPr>
            <a:solidFill>
              <a:srgbClr val="CCCCCC"/>
            </a:solidFill>
            <a:ln cmpd="sng">
              <a:solidFill>
                <a:srgbClr val="000000"/>
              </a:solidFill>
            </a:ln>
          </c:spPr>
          <c:invertIfNegative val="1"/>
          <c:dLbls>
            <c:spPr>
              <a:noFill/>
              <a:ln>
                <a:noFill/>
              </a:ln>
              <a:effectLst/>
            </c:spPr>
            <c:txPr>
              <a:bodyPr/>
              <a:lstStyle/>
              <a:p>
                <a:pPr lvl="0">
                  <a:defRPr b="1" i="0">
                    <a:solidFill>
                      <a:srgbClr val="000000"/>
                    </a:solidFill>
                  </a:defRPr>
                </a:pPr>
                <a:endParaRPr lang=""/>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sustainabilityprimary!$P$115:$P$124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sustainabilityprimary!$Q$115:$Q$124</c:f>
              <c:numCache>
                <c:formatCode>General</c:formatCode>
                <c:ptCount val="10"/>
                <c:pt idx="0">
                  <c:v>11</c:v>
                </c:pt>
                <c:pt idx="1">
                  <c:v>7</c:v>
                </c:pt>
                <c:pt idx="2">
                  <c:v>9</c:v>
                </c:pt>
                <c:pt idx="3">
                  <c:v>12</c:v>
                </c:pt>
                <c:pt idx="4">
                  <c:v>6</c:v>
                </c:pt>
                <c:pt idx="5">
                  <c:v>12</c:v>
                </c:pt>
                <c:pt idx="6">
                  <c:v>11</c:v>
                </c:pt>
                <c:pt idx="7">
                  <c:v>17</c:v>
                </c:pt>
                <c:pt idx="8">
                  <c:v>20</c:v>
                </c:pt>
                <c:pt idx="9">
                  <c:v>18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45986912"/>
        <c:axId val="-45995072"/>
      </c:barChart>
      <c:lineChart>
        <c:grouping val="standard"/>
        <c:varyColors val="1"/>
        <c:ser>
          <c:idx val="1"/>
          <c:order val="1"/>
          <c:tx>
            <c:strRef>
              <c:f>sustainabilityprimary!$R$114</c:f>
              <c:strCache>
                <c:ptCount val="1"/>
                <c:pt idx="0">
                  <c:v>Social</c:v>
                </c:pt>
              </c:strCache>
            </c:strRef>
          </c:tx>
          <c:spPr>
            <a:ln cmpd="sng">
              <a:solidFill>
                <a:srgbClr val="E69138"/>
              </a:solidFill>
            </a:ln>
          </c:spPr>
          <c:marker>
            <c:symbol val="none"/>
          </c:marker>
          <c:cat>
            <c:numRef>
              <c:f>sustainabilityprimary!$P$115:$P$124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sustainabilityprimary!$R$115:$R$124</c:f>
              <c:numCache>
                <c:formatCode>General</c:formatCode>
                <c:ptCount val="10"/>
                <c:pt idx="0">
                  <c:v>4</c:v>
                </c:pt>
                <c:pt idx="1">
                  <c:v>2</c:v>
                </c:pt>
                <c:pt idx="2">
                  <c:v>0</c:v>
                </c:pt>
                <c:pt idx="3">
                  <c:v>3</c:v>
                </c:pt>
                <c:pt idx="4">
                  <c:v>3</c:v>
                </c:pt>
                <c:pt idx="5">
                  <c:v>3</c:v>
                </c:pt>
                <c:pt idx="6">
                  <c:v>5</c:v>
                </c:pt>
                <c:pt idx="7">
                  <c:v>9</c:v>
                </c:pt>
                <c:pt idx="8">
                  <c:v>12</c:v>
                </c:pt>
                <c:pt idx="9">
                  <c:v>9</c:v>
                </c:pt>
              </c:numCache>
            </c:numRef>
          </c:val>
          <c:smooth val="1"/>
        </c:ser>
        <c:ser>
          <c:idx val="2"/>
          <c:order val="2"/>
          <c:tx>
            <c:strRef>
              <c:f>sustainabilityprimary!$S$114</c:f>
              <c:strCache>
                <c:ptCount val="1"/>
                <c:pt idx="0">
                  <c:v>Economic</c:v>
                </c:pt>
              </c:strCache>
            </c:strRef>
          </c:tx>
          <c:spPr>
            <a:ln cmpd="sng">
              <a:solidFill>
                <a:srgbClr val="CC0000"/>
              </a:solidFill>
            </a:ln>
          </c:spPr>
          <c:marker>
            <c:symbol val="none"/>
          </c:marker>
          <c:cat>
            <c:numRef>
              <c:f>sustainabilityprimary!$P$115:$P$124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sustainabilityprimary!$S$115:$S$124</c:f>
              <c:numCache>
                <c:formatCode>General</c:formatCode>
                <c:ptCount val="10"/>
                <c:pt idx="0">
                  <c:v>0</c:v>
                </c:pt>
                <c:pt idx="1">
                  <c:v>0</c:v>
                </c:pt>
                <c:pt idx="2">
                  <c:v>0</c:v>
                </c:pt>
                <c:pt idx="3">
                  <c:v>0</c:v>
                </c:pt>
                <c:pt idx="4">
                  <c:v>0</c:v>
                </c:pt>
                <c:pt idx="5">
                  <c:v>0</c:v>
                </c:pt>
                <c:pt idx="6">
                  <c:v>0</c:v>
                </c:pt>
                <c:pt idx="7">
                  <c:v>0</c:v>
                </c:pt>
                <c:pt idx="8">
                  <c:v>0</c:v>
                </c:pt>
                <c:pt idx="9">
                  <c:v>0</c:v>
                </c:pt>
              </c:numCache>
            </c:numRef>
          </c:val>
          <c:smooth val="1"/>
        </c:ser>
        <c:ser>
          <c:idx val="3"/>
          <c:order val="3"/>
          <c:tx>
            <c:strRef>
              <c:f>sustainabilityprimary!$T$114</c:f>
              <c:strCache>
                <c:ptCount val="1"/>
                <c:pt idx="0">
                  <c:v>Environmental</c:v>
                </c:pt>
              </c:strCache>
            </c:strRef>
          </c:tx>
          <c:spPr>
            <a:ln cmpd="sng">
              <a:solidFill>
                <a:srgbClr val="6AA84F"/>
              </a:solidFill>
            </a:ln>
          </c:spPr>
          <c:marker>
            <c:symbol val="none"/>
          </c:marker>
          <c:cat>
            <c:numRef>
              <c:f>sustainabilityprimary!$P$115:$P$124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sustainabilityprimary!$T$115:$T$124</c:f>
              <c:numCache>
                <c:formatCode>General</c:formatCode>
                <c:ptCount val="10"/>
                <c:pt idx="0">
                  <c:v>0</c:v>
                </c:pt>
                <c:pt idx="1">
                  <c:v>0</c:v>
                </c:pt>
                <c:pt idx="2">
                  <c:v>1</c:v>
                </c:pt>
                <c:pt idx="3">
                  <c:v>0</c:v>
                </c:pt>
                <c:pt idx="4">
                  <c:v>0</c:v>
                </c:pt>
                <c:pt idx="5">
                  <c:v>0</c:v>
                </c:pt>
                <c:pt idx="6">
                  <c:v>0</c:v>
                </c:pt>
                <c:pt idx="7">
                  <c:v>0</c:v>
                </c:pt>
                <c:pt idx="8">
                  <c:v>0</c:v>
                </c:pt>
                <c:pt idx="9">
                  <c:v>0</c:v>
                </c:pt>
              </c:numCache>
            </c:numRef>
          </c:val>
          <c:smooth val="1"/>
        </c:ser>
        <c:ser>
          <c:idx val="4"/>
          <c:order val="4"/>
          <c:tx>
            <c:strRef>
              <c:f>sustainabilityprimary!$U$114</c:f>
              <c:strCache>
                <c:ptCount val="1"/>
                <c:pt idx="0">
                  <c:v>Technical</c:v>
                </c:pt>
              </c:strCache>
            </c:strRef>
          </c:tx>
          <c:spPr>
            <a:ln cmpd="sng">
              <a:solidFill>
                <a:srgbClr val="4BACC6"/>
              </a:solidFill>
            </a:ln>
          </c:spPr>
          <c:marker>
            <c:symbol val="none"/>
          </c:marker>
          <c:cat>
            <c:numRef>
              <c:f>sustainabilityprimary!$P$115:$P$124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sustainabilityprimary!$U$115:$U$124</c:f>
              <c:numCache>
                <c:formatCode>General</c:formatCode>
                <c:ptCount val="10"/>
                <c:pt idx="0">
                  <c:v>7</c:v>
                </c:pt>
                <c:pt idx="1">
                  <c:v>5</c:v>
                </c:pt>
                <c:pt idx="2">
                  <c:v>8</c:v>
                </c:pt>
                <c:pt idx="3">
                  <c:v>9</c:v>
                </c:pt>
                <c:pt idx="4">
                  <c:v>3</c:v>
                </c:pt>
                <c:pt idx="5">
                  <c:v>9</c:v>
                </c:pt>
                <c:pt idx="6">
                  <c:v>6</c:v>
                </c:pt>
                <c:pt idx="7">
                  <c:v>8</c:v>
                </c:pt>
                <c:pt idx="8">
                  <c:v>8</c:v>
                </c:pt>
                <c:pt idx="9">
                  <c:v>9</c:v>
                </c:pt>
              </c:numCache>
            </c:numRef>
          </c:val>
          <c:smooth val="1"/>
        </c:ser>
        <c:dLbls>
          <c:showLegendKey val="0"/>
          <c:showVal val="0"/>
          <c:showCatName val="0"/>
          <c:showSerName val="0"/>
          <c:showPercent val="0"/>
          <c:showBubbleSize val="0"/>
        </c:dLbls>
        <c:marker val="1"/>
        <c:smooth val="0"/>
        <c:axId val="-45986912"/>
        <c:axId val="-45995072"/>
      </c:lineChart>
      <c:catAx>
        <c:axId val="-45986912"/>
        <c:scaling>
          <c:orientation val="minMax"/>
        </c:scaling>
        <c:delete val="0"/>
        <c:axPos val="b"/>
        <c:title>
          <c:tx>
            <c:rich>
              <a:bodyPr/>
              <a:lstStyle/>
              <a:p>
                <a:pPr lvl="0">
                  <a:defRPr sz="1800" b="0" i="0">
                    <a:solidFill>
                      <a:srgbClr val="000000"/>
                    </a:solidFill>
                    <a:latin typeface="Roboto"/>
                  </a:defRPr>
                </a:pPr>
                <a:r>
                  <a:rPr sz="1800" b="0" i="0">
                    <a:solidFill>
                      <a:srgbClr val="000000"/>
                    </a:solidFill>
                    <a:latin typeface="Roboto"/>
                  </a:rPr>
                  <a:t>Year</a:t>
                </a:r>
              </a:p>
            </c:rich>
          </c:tx>
          <c:overlay val="0"/>
        </c:title>
        <c:numFmt formatCode="General" sourceLinked="1"/>
        <c:majorTickMark val="none"/>
        <c:minorTickMark val="none"/>
        <c:tickLblPos val="nextTo"/>
        <c:txPr>
          <a:bodyPr/>
          <a:lstStyle/>
          <a:p>
            <a:pPr lvl="0">
              <a:defRPr sz="1400" b="0" i="0">
                <a:solidFill>
                  <a:srgbClr val="000000"/>
                </a:solidFill>
                <a:latin typeface="Roboto"/>
              </a:defRPr>
            </a:pPr>
            <a:endParaRPr lang=""/>
          </a:p>
        </c:txPr>
        <c:crossAx val="-45995072"/>
        <c:crosses val="autoZero"/>
        <c:auto val="1"/>
        <c:lblAlgn val="ctr"/>
        <c:lblOffset val="100"/>
        <c:noMultiLvlLbl val="1"/>
      </c:catAx>
      <c:valAx>
        <c:axId val="-45995072"/>
        <c:scaling>
          <c:orientation val="minMax"/>
          <c:max val="22"/>
        </c:scaling>
        <c:delete val="0"/>
        <c:axPos val="l"/>
        <c:minorGridlines>
          <c:spPr>
            <a:ln>
              <a:solidFill>
                <a:srgbClr val="CCCCCC">
                  <a:alpha val="0"/>
                </a:srgbClr>
              </a:solidFill>
            </a:ln>
          </c:spPr>
        </c:minorGridlines>
        <c:title>
          <c:tx>
            <c:rich>
              <a:bodyPr/>
              <a:lstStyle/>
              <a:p>
                <a:pPr lvl="0">
                  <a:defRPr sz="1800" b="0" i="0">
                    <a:solidFill>
                      <a:srgbClr val="000000"/>
                    </a:solidFill>
                    <a:latin typeface="Roboto"/>
                  </a:defRPr>
                </a:pPr>
                <a:r>
                  <a:rPr sz="1800" b="0" i="0">
                    <a:solidFill>
                      <a:srgbClr val="000000"/>
                    </a:solidFill>
                    <a:latin typeface="Roboto"/>
                  </a:rPr>
                  <a:t>Number of Publications</a:t>
                </a:r>
              </a:p>
            </c:rich>
          </c:tx>
          <c:overlay val="0"/>
        </c:title>
        <c:numFmt formatCode="General" sourceLinked="1"/>
        <c:majorTickMark val="none"/>
        <c:minorTickMark val="none"/>
        <c:tickLblPos val="nextTo"/>
        <c:spPr>
          <a:ln/>
        </c:spPr>
        <c:txPr>
          <a:bodyPr/>
          <a:lstStyle/>
          <a:p>
            <a:pPr lvl="0">
              <a:defRPr sz="1400" b="0" i="0">
                <a:solidFill>
                  <a:srgbClr val="000000"/>
                </a:solidFill>
                <a:latin typeface="Roboto"/>
              </a:defRPr>
            </a:pPr>
            <a:endParaRPr lang=""/>
          </a:p>
        </c:txPr>
        <c:crossAx val="-45986912"/>
        <c:crosses val="autoZero"/>
        <c:crossBetween val="between"/>
      </c:valAx>
    </c:plotArea>
    <c:legend>
      <c:legendPos val="r"/>
      <c:overlay val="0"/>
      <c:txPr>
        <a:bodyPr/>
        <a:lstStyle/>
        <a:p>
          <a:pPr lvl="0">
            <a:defRPr sz="1400" b="0" i="0">
              <a:solidFill>
                <a:srgbClr val="1A1A1A"/>
              </a:solidFill>
              <a:latin typeface="Roboto"/>
            </a:defRPr>
          </a:pPr>
          <a:endParaRPr lang=""/>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lvl="0">
              <a:defRPr b="0" i="0">
                <a:solidFill>
                  <a:srgbClr val="757575"/>
                </a:solidFill>
                <a:latin typeface="+mn-lt"/>
              </a:defRPr>
            </a:pPr>
            <a:r>
              <a:rPr b="0" i="0">
                <a:solidFill>
                  <a:srgbClr val="757575"/>
                </a:solidFill>
                <a:latin typeface="+mn-lt"/>
              </a:rPr>
              <a:t>Social, Economic, Environmental and Technical</a:t>
            </a:r>
          </a:p>
        </c:rich>
      </c:tx>
      <c:overlay val="0"/>
    </c:title>
    <c:autoTitleDeleted val="0"/>
    <c:plotArea>
      <c:layout/>
      <c:bubbleChart>
        <c:varyColors val="1"/>
        <c:ser>
          <c:idx val="0"/>
          <c:order val="0"/>
          <c:tx>
            <c:strRef>
              <c:f>sustainabilityprimary!$W$115</c:f>
              <c:strCache>
                <c:ptCount val="1"/>
                <c:pt idx="0">
                  <c:v>2015</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sustainabilityprimary!$X$115</c:f>
              <c:numCache>
                <c:formatCode>General</c:formatCode>
                <c:ptCount val="1"/>
                <c:pt idx="0">
                  <c:v>0</c:v>
                </c:pt>
              </c:numCache>
            </c:numRef>
          </c:xVal>
          <c:yVal>
            <c:numRef>
              <c:f>sustainabilityprimary!$Y$115</c:f>
              <c:numCache>
                <c:formatCode>General</c:formatCode>
                <c:ptCount val="1"/>
                <c:pt idx="0">
                  <c:v>0</c:v>
                </c:pt>
              </c:numCache>
            </c:numRef>
          </c:yVal>
          <c:bubbleSize>
            <c:numRef>
              <c:f>sustainabilityprimary!$AA$115</c:f>
              <c:numCache>
                <c:formatCode>General</c:formatCode>
                <c:ptCount val="1"/>
                <c:pt idx="0">
                  <c:v>0</c:v>
                </c:pt>
              </c:numCache>
            </c:numRef>
          </c:bubbleSize>
          <c:bubble3D val="0"/>
        </c:ser>
        <c:ser>
          <c:idx val="1"/>
          <c:order val="1"/>
          <c:tx>
            <c:strRef>
              <c:f>sustainabilityprimary!$W$116</c:f>
              <c:strCache>
                <c:ptCount val="1"/>
                <c:pt idx="0">
                  <c:v>2016</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sustainabilityprimary!$X$116</c:f>
              <c:numCache>
                <c:formatCode>General</c:formatCode>
                <c:ptCount val="1"/>
                <c:pt idx="0">
                  <c:v>0</c:v>
                </c:pt>
              </c:numCache>
            </c:numRef>
          </c:xVal>
          <c:yVal>
            <c:numRef>
              <c:f>sustainabilityprimary!$Y$116</c:f>
              <c:numCache>
                <c:formatCode>General</c:formatCode>
                <c:ptCount val="1"/>
                <c:pt idx="0">
                  <c:v>0</c:v>
                </c:pt>
              </c:numCache>
            </c:numRef>
          </c:yVal>
          <c:bubbleSize>
            <c:numRef>
              <c:f>sustainabilityprimary!$AA$116</c:f>
              <c:numCache>
                <c:formatCode>General</c:formatCode>
                <c:ptCount val="1"/>
                <c:pt idx="0">
                  <c:v>0</c:v>
                </c:pt>
              </c:numCache>
            </c:numRef>
          </c:bubbleSize>
          <c:bubble3D val="0"/>
        </c:ser>
        <c:ser>
          <c:idx val="2"/>
          <c:order val="2"/>
          <c:tx>
            <c:strRef>
              <c:f>sustainabilityprimary!$W$117</c:f>
              <c:strCache>
                <c:ptCount val="1"/>
                <c:pt idx="0">
                  <c:v>2017</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sustainabilityprimary!$X$117</c:f>
              <c:numCache>
                <c:formatCode>General</c:formatCode>
                <c:ptCount val="1"/>
                <c:pt idx="0">
                  <c:v>0</c:v>
                </c:pt>
              </c:numCache>
            </c:numRef>
          </c:xVal>
          <c:yVal>
            <c:numRef>
              <c:f>sustainabilityprimary!$Y$117</c:f>
              <c:numCache>
                <c:formatCode>General</c:formatCode>
                <c:ptCount val="1"/>
                <c:pt idx="0">
                  <c:v>0</c:v>
                </c:pt>
              </c:numCache>
            </c:numRef>
          </c:yVal>
          <c:bubbleSize>
            <c:numRef>
              <c:f>sustainabilityprimary!$AA$117</c:f>
              <c:numCache>
                <c:formatCode>General</c:formatCode>
                <c:ptCount val="1"/>
                <c:pt idx="0">
                  <c:v>0</c:v>
                </c:pt>
              </c:numCache>
            </c:numRef>
          </c:bubbleSize>
          <c:bubble3D val="0"/>
        </c:ser>
        <c:ser>
          <c:idx val="3"/>
          <c:order val="3"/>
          <c:tx>
            <c:strRef>
              <c:f>sustainabilityprimary!$W$118</c:f>
              <c:strCache>
                <c:ptCount val="1"/>
                <c:pt idx="0">
                  <c:v>2018</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sustainabilityprimary!$X$118</c:f>
              <c:numCache>
                <c:formatCode>General</c:formatCode>
                <c:ptCount val="1"/>
                <c:pt idx="0">
                  <c:v>0</c:v>
                </c:pt>
              </c:numCache>
            </c:numRef>
          </c:xVal>
          <c:yVal>
            <c:numRef>
              <c:f>sustainabilityprimary!$Y$118</c:f>
              <c:numCache>
                <c:formatCode>General</c:formatCode>
                <c:ptCount val="1"/>
                <c:pt idx="0">
                  <c:v>0</c:v>
                </c:pt>
              </c:numCache>
            </c:numRef>
          </c:yVal>
          <c:bubbleSize>
            <c:numRef>
              <c:f>sustainabilityprimary!$AA$118</c:f>
              <c:numCache>
                <c:formatCode>General</c:formatCode>
                <c:ptCount val="1"/>
                <c:pt idx="0">
                  <c:v>0</c:v>
                </c:pt>
              </c:numCache>
            </c:numRef>
          </c:bubbleSize>
          <c:bubble3D val="0"/>
        </c:ser>
        <c:ser>
          <c:idx val="4"/>
          <c:order val="4"/>
          <c:tx>
            <c:strRef>
              <c:f>sustainabilityprimary!$W$119</c:f>
              <c:strCache>
                <c:ptCount val="1"/>
                <c:pt idx="0">
                  <c:v>2019</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sustainabilityprimary!$X$119</c:f>
              <c:numCache>
                <c:formatCode>General</c:formatCode>
                <c:ptCount val="1"/>
                <c:pt idx="0">
                  <c:v>0</c:v>
                </c:pt>
              </c:numCache>
            </c:numRef>
          </c:xVal>
          <c:yVal>
            <c:numRef>
              <c:f>sustainabilityprimary!$Y$119</c:f>
              <c:numCache>
                <c:formatCode>General</c:formatCode>
                <c:ptCount val="1"/>
                <c:pt idx="0">
                  <c:v>0</c:v>
                </c:pt>
              </c:numCache>
            </c:numRef>
          </c:yVal>
          <c:bubbleSize>
            <c:numRef>
              <c:f>sustainabilityprimary!$AA$119</c:f>
              <c:numCache>
                <c:formatCode>General</c:formatCode>
                <c:ptCount val="1"/>
                <c:pt idx="0">
                  <c:v>0</c:v>
                </c:pt>
              </c:numCache>
            </c:numRef>
          </c:bubbleSize>
          <c:bubble3D val="0"/>
        </c:ser>
        <c:ser>
          <c:idx val="5"/>
          <c:order val="5"/>
          <c:tx>
            <c:strRef>
              <c:f>sustainabilityprimary!$W$120</c:f>
              <c:strCache>
                <c:ptCount val="1"/>
                <c:pt idx="0">
                  <c:v>2020</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sustainabilityprimary!$X$120</c:f>
              <c:numCache>
                <c:formatCode>General</c:formatCode>
                <c:ptCount val="1"/>
                <c:pt idx="0">
                  <c:v>0</c:v>
                </c:pt>
              </c:numCache>
            </c:numRef>
          </c:xVal>
          <c:yVal>
            <c:numRef>
              <c:f>sustainabilityprimary!$Y$120</c:f>
              <c:numCache>
                <c:formatCode>General</c:formatCode>
                <c:ptCount val="1"/>
                <c:pt idx="0">
                  <c:v>0</c:v>
                </c:pt>
              </c:numCache>
            </c:numRef>
          </c:yVal>
          <c:bubbleSize>
            <c:numRef>
              <c:f>sustainabilityprimary!$AA$120</c:f>
              <c:numCache>
                <c:formatCode>General</c:formatCode>
                <c:ptCount val="1"/>
                <c:pt idx="0">
                  <c:v>0</c:v>
                </c:pt>
              </c:numCache>
            </c:numRef>
          </c:bubbleSize>
          <c:bubble3D val="0"/>
        </c:ser>
        <c:ser>
          <c:idx val="6"/>
          <c:order val="6"/>
          <c:tx>
            <c:strRef>
              <c:f>sustainabilityprimary!$W$121</c:f>
              <c:strCache>
                <c:ptCount val="1"/>
                <c:pt idx="0">
                  <c:v>2021</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sustainabilityprimary!$X$121</c:f>
              <c:numCache>
                <c:formatCode>General</c:formatCode>
                <c:ptCount val="1"/>
                <c:pt idx="0">
                  <c:v>0</c:v>
                </c:pt>
              </c:numCache>
            </c:numRef>
          </c:xVal>
          <c:yVal>
            <c:numRef>
              <c:f>sustainabilityprimary!$Y$121</c:f>
              <c:numCache>
                <c:formatCode>General</c:formatCode>
                <c:ptCount val="1"/>
                <c:pt idx="0">
                  <c:v>0</c:v>
                </c:pt>
              </c:numCache>
            </c:numRef>
          </c:yVal>
          <c:bubbleSize>
            <c:numRef>
              <c:f>sustainabilityprimary!$AA$121</c:f>
              <c:numCache>
                <c:formatCode>General</c:formatCode>
                <c:ptCount val="1"/>
                <c:pt idx="0">
                  <c:v>0</c:v>
                </c:pt>
              </c:numCache>
            </c:numRef>
          </c:bubbleSize>
          <c:bubble3D val="0"/>
        </c:ser>
        <c:ser>
          <c:idx val="7"/>
          <c:order val="7"/>
          <c:tx>
            <c:strRef>
              <c:f>sustainabilityprimary!$W$122</c:f>
              <c:strCache>
                <c:ptCount val="1"/>
                <c:pt idx="0">
                  <c:v>2022</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sustainabilityprimary!$X$122</c:f>
              <c:numCache>
                <c:formatCode>General</c:formatCode>
                <c:ptCount val="1"/>
                <c:pt idx="0">
                  <c:v>0</c:v>
                </c:pt>
              </c:numCache>
            </c:numRef>
          </c:xVal>
          <c:yVal>
            <c:numRef>
              <c:f>sustainabilityprimary!$Y$122</c:f>
              <c:numCache>
                <c:formatCode>General</c:formatCode>
                <c:ptCount val="1"/>
                <c:pt idx="0">
                  <c:v>0</c:v>
                </c:pt>
              </c:numCache>
            </c:numRef>
          </c:yVal>
          <c:bubbleSize>
            <c:numRef>
              <c:f>sustainabilityprimary!$AA$122</c:f>
              <c:numCache>
                <c:formatCode>General</c:formatCode>
                <c:ptCount val="1"/>
                <c:pt idx="0">
                  <c:v>0</c:v>
                </c:pt>
              </c:numCache>
            </c:numRef>
          </c:bubbleSize>
          <c:bubble3D val="0"/>
        </c:ser>
        <c:ser>
          <c:idx val="8"/>
          <c:order val="8"/>
          <c:tx>
            <c:strRef>
              <c:f>sustainabilityprimary!$W$123</c:f>
              <c:strCache>
                <c:ptCount val="1"/>
                <c:pt idx="0">
                  <c:v>2023</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sustainabilityprimary!$X$123</c:f>
              <c:numCache>
                <c:formatCode>General</c:formatCode>
                <c:ptCount val="1"/>
                <c:pt idx="0">
                  <c:v>0</c:v>
                </c:pt>
              </c:numCache>
            </c:numRef>
          </c:xVal>
          <c:yVal>
            <c:numRef>
              <c:f>sustainabilityprimary!$Y$123</c:f>
              <c:numCache>
                <c:formatCode>General</c:formatCode>
                <c:ptCount val="1"/>
                <c:pt idx="0">
                  <c:v>0</c:v>
                </c:pt>
              </c:numCache>
            </c:numRef>
          </c:yVal>
          <c:bubbleSize>
            <c:numRef>
              <c:f>sustainabilityprimary!$AA$123</c:f>
              <c:numCache>
                <c:formatCode>General</c:formatCode>
                <c:ptCount val="1"/>
                <c:pt idx="0">
                  <c:v>0</c:v>
                </c:pt>
              </c:numCache>
            </c:numRef>
          </c:bubbleSize>
          <c:bubble3D val="0"/>
        </c:ser>
        <c:ser>
          <c:idx val="9"/>
          <c:order val="9"/>
          <c:tx>
            <c:strRef>
              <c:f>sustainabilityprimary!$W$124</c:f>
              <c:strCache>
                <c:ptCount val="1"/>
                <c:pt idx="0">
                  <c:v>2024</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sustainabilityprimary!$X$124</c:f>
              <c:numCache>
                <c:formatCode>General</c:formatCode>
                <c:ptCount val="1"/>
                <c:pt idx="0">
                  <c:v>0</c:v>
                </c:pt>
              </c:numCache>
            </c:numRef>
          </c:xVal>
          <c:yVal>
            <c:numRef>
              <c:f>sustainabilityprimary!$Y$124</c:f>
              <c:numCache>
                <c:formatCode>General</c:formatCode>
                <c:ptCount val="1"/>
                <c:pt idx="0">
                  <c:v>0</c:v>
                </c:pt>
              </c:numCache>
            </c:numRef>
          </c:yVal>
          <c:bubbleSize>
            <c:numRef>
              <c:f>sustainabilityprimary!$AA$124</c:f>
              <c:numCache>
                <c:formatCode>General</c:formatCode>
                <c:ptCount val="1"/>
                <c:pt idx="0">
                  <c:v>0</c:v>
                </c:pt>
              </c:numCache>
            </c:numRef>
          </c:bubbleSize>
          <c:bubble3D val="0"/>
        </c:ser>
        <c:dLbls>
          <c:showLegendKey val="0"/>
          <c:showVal val="0"/>
          <c:showCatName val="0"/>
          <c:showSerName val="0"/>
          <c:showPercent val="0"/>
          <c:showBubbleSize val="0"/>
        </c:dLbls>
        <c:bubbleScale val="100"/>
        <c:showNegBubbles val="1"/>
        <c:axId val="-45998880"/>
        <c:axId val="-1796945360"/>
      </c:bubbleChart>
      <c:valAx>
        <c:axId val="-4599888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Year</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
          </a:p>
        </c:txPr>
        <c:crossAx val="-1796945360"/>
        <c:crosses val="autoZero"/>
        <c:crossBetween val="midCat"/>
      </c:valAx>
      <c:valAx>
        <c:axId val="-17969453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
          </a:p>
        </c:txPr>
        <c:crossAx val="-45998880"/>
        <c:crosses val="autoZero"/>
        <c:crossBetween val="midCat"/>
      </c:valAx>
    </c:plotArea>
    <c:legend>
      <c:legendPos val="r"/>
      <c:overlay val="0"/>
      <c:txPr>
        <a:bodyPr/>
        <a:lstStyle/>
        <a:p>
          <a:pPr lvl="0">
            <a:defRPr b="0" i="0">
              <a:solidFill>
                <a:srgbClr val="1A1A1A"/>
              </a:solidFill>
              <a:latin typeface="+mn-lt"/>
            </a:defRPr>
          </a:pPr>
          <a:endParaRPr lang=""/>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lvl="0">
              <a:defRPr b="0" i="0">
                <a:solidFill>
                  <a:srgbClr val="757575"/>
                </a:solidFill>
                <a:latin typeface="+mn-lt"/>
              </a:defRPr>
            </a:pPr>
            <a:r>
              <a:rPr b="0" i="0">
                <a:solidFill>
                  <a:srgbClr val="757575"/>
                </a:solidFill>
                <a:latin typeface="+mn-lt"/>
              </a:rPr>
              <a:t>Social, Economic, Environmental and Technical</a:t>
            </a:r>
          </a:p>
        </c:rich>
      </c:tx>
      <c:overlay val="0"/>
    </c:title>
    <c:autoTitleDeleted val="0"/>
    <c:plotArea>
      <c:layout/>
      <c:bubbleChart>
        <c:varyColors val="1"/>
        <c:ser>
          <c:idx val="0"/>
          <c:order val="0"/>
          <c:tx>
            <c:strRef>
              <c:f>sustainabilityprimary!$W$115</c:f>
              <c:strCache>
                <c:ptCount val="1"/>
                <c:pt idx="0">
                  <c:v>2015</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sustainabilityprimary!$X$115</c:f>
              <c:numCache>
                <c:formatCode>General</c:formatCode>
                <c:ptCount val="1"/>
                <c:pt idx="0">
                  <c:v>0</c:v>
                </c:pt>
              </c:numCache>
            </c:numRef>
          </c:xVal>
          <c:yVal>
            <c:numRef>
              <c:f>sustainabilityprimary!$Y$115</c:f>
              <c:numCache>
                <c:formatCode>General</c:formatCode>
                <c:ptCount val="1"/>
                <c:pt idx="0">
                  <c:v>0</c:v>
                </c:pt>
              </c:numCache>
            </c:numRef>
          </c:yVal>
          <c:bubbleSize>
            <c:numRef>
              <c:f>sustainabilityprimary!$AA$115</c:f>
              <c:numCache>
                <c:formatCode>General</c:formatCode>
                <c:ptCount val="1"/>
                <c:pt idx="0">
                  <c:v>0</c:v>
                </c:pt>
              </c:numCache>
            </c:numRef>
          </c:bubbleSize>
          <c:bubble3D val="0"/>
        </c:ser>
        <c:ser>
          <c:idx val="1"/>
          <c:order val="1"/>
          <c:tx>
            <c:strRef>
              <c:f>sustainabilityprimary!$W$116</c:f>
              <c:strCache>
                <c:ptCount val="1"/>
                <c:pt idx="0">
                  <c:v>2016</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sustainabilityprimary!$X$116</c:f>
              <c:numCache>
                <c:formatCode>General</c:formatCode>
                <c:ptCount val="1"/>
                <c:pt idx="0">
                  <c:v>0</c:v>
                </c:pt>
              </c:numCache>
            </c:numRef>
          </c:xVal>
          <c:yVal>
            <c:numRef>
              <c:f>sustainabilityprimary!$Y$116</c:f>
              <c:numCache>
                <c:formatCode>General</c:formatCode>
                <c:ptCount val="1"/>
                <c:pt idx="0">
                  <c:v>0</c:v>
                </c:pt>
              </c:numCache>
            </c:numRef>
          </c:yVal>
          <c:bubbleSize>
            <c:numRef>
              <c:f>sustainabilityprimary!$AA$116</c:f>
              <c:numCache>
                <c:formatCode>General</c:formatCode>
                <c:ptCount val="1"/>
                <c:pt idx="0">
                  <c:v>0</c:v>
                </c:pt>
              </c:numCache>
            </c:numRef>
          </c:bubbleSize>
          <c:bubble3D val="0"/>
        </c:ser>
        <c:ser>
          <c:idx val="2"/>
          <c:order val="2"/>
          <c:tx>
            <c:strRef>
              <c:f>sustainabilityprimary!$W$117</c:f>
              <c:strCache>
                <c:ptCount val="1"/>
                <c:pt idx="0">
                  <c:v>2017</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sustainabilityprimary!$X$117</c:f>
              <c:numCache>
                <c:formatCode>General</c:formatCode>
                <c:ptCount val="1"/>
                <c:pt idx="0">
                  <c:v>0</c:v>
                </c:pt>
              </c:numCache>
            </c:numRef>
          </c:xVal>
          <c:yVal>
            <c:numRef>
              <c:f>sustainabilityprimary!$Y$117</c:f>
              <c:numCache>
                <c:formatCode>General</c:formatCode>
                <c:ptCount val="1"/>
                <c:pt idx="0">
                  <c:v>0</c:v>
                </c:pt>
              </c:numCache>
            </c:numRef>
          </c:yVal>
          <c:bubbleSize>
            <c:numRef>
              <c:f>sustainabilityprimary!$AA$117</c:f>
              <c:numCache>
                <c:formatCode>General</c:formatCode>
                <c:ptCount val="1"/>
                <c:pt idx="0">
                  <c:v>0</c:v>
                </c:pt>
              </c:numCache>
            </c:numRef>
          </c:bubbleSize>
          <c:bubble3D val="0"/>
        </c:ser>
        <c:ser>
          <c:idx val="3"/>
          <c:order val="3"/>
          <c:tx>
            <c:strRef>
              <c:f>sustainabilityprimary!$W$118</c:f>
              <c:strCache>
                <c:ptCount val="1"/>
                <c:pt idx="0">
                  <c:v>2018</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sustainabilityprimary!$X$118</c:f>
              <c:numCache>
                <c:formatCode>General</c:formatCode>
                <c:ptCount val="1"/>
                <c:pt idx="0">
                  <c:v>0</c:v>
                </c:pt>
              </c:numCache>
            </c:numRef>
          </c:xVal>
          <c:yVal>
            <c:numRef>
              <c:f>sustainabilityprimary!$Y$118</c:f>
              <c:numCache>
                <c:formatCode>General</c:formatCode>
                <c:ptCount val="1"/>
                <c:pt idx="0">
                  <c:v>0</c:v>
                </c:pt>
              </c:numCache>
            </c:numRef>
          </c:yVal>
          <c:bubbleSize>
            <c:numRef>
              <c:f>sustainabilityprimary!$AA$118</c:f>
              <c:numCache>
                <c:formatCode>General</c:formatCode>
                <c:ptCount val="1"/>
                <c:pt idx="0">
                  <c:v>0</c:v>
                </c:pt>
              </c:numCache>
            </c:numRef>
          </c:bubbleSize>
          <c:bubble3D val="0"/>
        </c:ser>
        <c:ser>
          <c:idx val="4"/>
          <c:order val="4"/>
          <c:tx>
            <c:strRef>
              <c:f>sustainabilityprimary!$W$119</c:f>
              <c:strCache>
                <c:ptCount val="1"/>
                <c:pt idx="0">
                  <c:v>2019</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sustainabilityprimary!$X$119</c:f>
              <c:numCache>
                <c:formatCode>General</c:formatCode>
                <c:ptCount val="1"/>
                <c:pt idx="0">
                  <c:v>0</c:v>
                </c:pt>
              </c:numCache>
            </c:numRef>
          </c:xVal>
          <c:yVal>
            <c:numRef>
              <c:f>sustainabilityprimary!$Y$119</c:f>
              <c:numCache>
                <c:formatCode>General</c:formatCode>
                <c:ptCount val="1"/>
                <c:pt idx="0">
                  <c:v>0</c:v>
                </c:pt>
              </c:numCache>
            </c:numRef>
          </c:yVal>
          <c:bubbleSize>
            <c:numRef>
              <c:f>sustainabilityprimary!$AA$119</c:f>
              <c:numCache>
                <c:formatCode>General</c:formatCode>
                <c:ptCount val="1"/>
                <c:pt idx="0">
                  <c:v>0</c:v>
                </c:pt>
              </c:numCache>
            </c:numRef>
          </c:bubbleSize>
          <c:bubble3D val="0"/>
        </c:ser>
        <c:ser>
          <c:idx val="5"/>
          <c:order val="5"/>
          <c:tx>
            <c:strRef>
              <c:f>sustainabilityprimary!$W$120</c:f>
              <c:strCache>
                <c:ptCount val="1"/>
                <c:pt idx="0">
                  <c:v>2020</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sustainabilityprimary!$X$120</c:f>
              <c:numCache>
                <c:formatCode>General</c:formatCode>
                <c:ptCount val="1"/>
                <c:pt idx="0">
                  <c:v>0</c:v>
                </c:pt>
              </c:numCache>
            </c:numRef>
          </c:xVal>
          <c:yVal>
            <c:numRef>
              <c:f>sustainabilityprimary!$Y$120</c:f>
              <c:numCache>
                <c:formatCode>General</c:formatCode>
                <c:ptCount val="1"/>
                <c:pt idx="0">
                  <c:v>0</c:v>
                </c:pt>
              </c:numCache>
            </c:numRef>
          </c:yVal>
          <c:bubbleSize>
            <c:numRef>
              <c:f>sustainabilityprimary!$AA$120</c:f>
              <c:numCache>
                <c:formatCode>General</c:formatCode>
                <c:ptCount val="1"/>
                <c:pt idx="0">
                  <c:v>0</c:v>
                </c:pt>
              </c:numCache>
            </c:numRef>
          </c:bubbleSize>
          <c:bubble3D val="0"/>
        </c:ser>
        <c:ser>
          <c:idx val="6"/>
          <c:order val="6"/>
          <c:tx>
            <c:strRef>
              <c:f>sustainabilityprimary!$W$121</c:f>
              <c:strCache>
                <c:ptCount val="1"/>
                <c:pt idx="0">
                  <c:v>2021</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sustainabilityprimary!$X$121</c:f>
              <c:numCache>
                <c:formatCode>General</c:formatCode>
                <c:ptCount val="1"/>
                <c:pt idx="0">
                  <c:v>0</c:v>
                </c:pt>
              </c:numCache>
            </c:numRef>
          </c:xVal>
          <c:yVal>
            <c:numRef>
              <c:f>sustainabilityprimary!$Y$121</c:f>
              <c:numCache>
                <c:formatCode>General</c:formatCode>
                <c:ptCount val="1"/>
                <c:pt idx="0">
                  <c:v>0</c:v>
                </c:pt>
              </c:numCache>
            </c:numRef>
          </c:yVal>
          <c:bubbleSize>
            <c:numRef>
              <c:f>sustainabilityprimary!$AA$121</c:f>
              <c:numCache>
                <c:formatCode>General</c:formatCode>
                <c:ptCount val="1"/>
                <c:pt idx="0">
                  <c:v>0</c:v>
                </c:pt>
              </c:numCache>
            </c:numRef>
          </c:bubbleSize>
          <c:bubble3D val="0"/>
        </c:ser>
        <c:ser>
          <c:idx val="7"/>
          <c:order val="7"/>
          <c:tx>
            <c:strRef>
              <c:f>sustainabilityprimary!$W$122</c:f>
              <c:strCache>
                <c:ptCount val="1"/>
                <c:pt idx="0">
                  <c:v>2022</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sustainabilityprimary!$X$122</c:f>
              <c:numCache>
                <c:formatCode>General</c:formatCode>
                <c:ptCount val="1"/>
                <c:pt idx="0">
                  <c:v>0</c:v>
                </c:pt>
              </c:numCache>
            </c:numRef>
          </c:xVal>
          <c:yVal>
            <c:numRef>
              <c:f>sustainabilityprimary!$Y$122</c:f>
              <c:numCache>
                <c:formatCode>General</c:formatCode>
                <c:ptCount val="1"/>
                <c:pt idx="0">
                  <c:v>0</c:v>
                </c:pt>
              </c:numCache>
            </c:numRef>
          </c:yVal>
          <c:bubbleSize>
            <c:numRef>
              <c:f>sustainabilityprimary!$AA$122</c:f>
              <c:numCache>
                <c:formatCode>General</c:formatCode>
                <c:ptCount val="1"/>
                <c:pt idx="0">
                  <c:v>0</c:v>
                </c:pt>
              </c:numCache>
            </c:numRef>
          </c:bubbleSize>
          <c:bubble3D val="0"/>
        </c:ser>
        <c:ser>
          <c:idx val="8"/>
          <c:order val="8"/>
          <c:tx>
            <c:strRef>
              <c:f>sustainabilityprimary!$W$123</c:f>
              <c:strCache>
                <c:ptCount val="1"/>
                <c:pt idx="0">
                  <c:v>2023</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sustainabilityprimary!$X$123</c:f>
              <c:numCache>
                <c:formatCode>General</c:formatCode>
                <c:ptCount val="1"/>
                <c:pt idx="0">
                  <c:v>0</c:v>
                </c:pt>
              </c:numCache>
            </c:numRef>
          </c:xVal>
          <c:yVal>
            <c:numRef>
              <c:f>sustainabilityprimary!$Y$123</c:f>
              <c:numCache>
                <c:formatCode>General</c:formatCode>
                <c:ptCount val="1"/>
                <c:pt idx="0">
                  <c:v>0</c:v>
                </c:pt>
              </c:numCache>
            </c:numRef>
          </c:yVal>
          <c:bubbleSize>
            <c:numRef>
              <c:f>sustainabilityprimary!$AA$123</c:f>
              <c:numCache>
                <c:formatCode>General</c:formatCode>
                <c:ptCount val="1"/>
                <c:pt idx="0">
                  <c:v>0</c:v>
                </c:pt>
              </c:numCache>
            </c:numRef>
          </c:bubbleSize>
          <c:bubble3D val="0"/>
        </c:ser>
        <c:ser>
          <c:idx val="9"/>
          <c:order val="9"/>
          <c:tx>
            <c:strRef>
              <c:f>sustainabilityprimary!$W$124</c:f>
              <c:strCache>
                <c:ptCount val="1"/>
                <c:pt idx="0">
                  <c:v>2024</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sustainabilityprimary!$X$124</c:f>
              <c:numCache>
                <c:formatCode>General</c:formatCode>
                <c:ptCount val="1"/>
                <c:pt idx="0">
                  <c:v>0</c:v>
                </c:pt>
              </c:numCache>
            </c:numRef>
          </c:xVal>
          <c:yVal>
            <c:numRef>
              <c:f>sustainabilityprimary!$Y$124</c:f>
              <c:numCache>
                <c:formatCode>General</c:formatCode>
                <c:ptCount val="1"/>
                <c:pt idx="0">
                  <c:v>0</c:v>
                </c:pt>
              </c:numCache>
            </c:numRef>
          </c:yVal>
          <c:bubbleSize>
            <c:numRef>
              <c:f>sustainabilityprimary!$AA$124</c:f>
              <c:numCache>
                <c:formatCode>General</c:formatCode>
                <c:ptCount val="1"/>
                <c:pt idx="0">
                  <c:v>0</c:v>
                </c:pt>
              </c:numCache>
            </c:numRef>
          </c:bubbleSize>
          <c:bubble3D val="0"/>
        </c:ser>
        <c:dLbls>
          <c:showLegendKey val="0"/>
          <c:showVal val="0"/>
          <c:showCatName val="0"/>
          <c:showSerName val="0"/>
          <c:showPercent val="0"/>
          <c:showBubbleSize val="0"/>
        </c:dLbls>
        <c:bubbleScale val="100"/>
        <c:showNegBubbles val="1"/>
        <c:axId val="-1796944816"/>
        <c:axId val="-1796956240"/>
      </c:bubbleChart>
      <c:valAx>
        <c:axId val="-179694481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Year</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
          </a:p>
        </c:txPr>
        <c:crossAx val="-1796956240"/>
        <c:crosses val="autoZero"/>
        <c:crossBetween val="midCat"/>
      </c:valAx>
      <c:valAx>
        <c:axId val="-17969562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
          </a:p>
        </c:txPr>
        <c:crossAx val="-1796944816"/>
        <c:crosses val="autoZero"/>
        <c:crossBetween val="midCat"/>
      </c:valAx>
    </c:plotArea>
    <c:legend>
      <c:legendPos val="r"/>
      <c:overlay val="0"/>
      <c:txPr>
        <a:bodyPr/>
        <a:lstStyle/>
        <a:p>
          <a:pPr lvl="0">
            <a:defRPr b="0" i="0">
              <a:solidFill>
                <a:srgbClr val="1A1A1A"/>
              </a:solidFill>
              <a:latin typeface="+mn-lt"/>
            </a:defRPr>
          </a:pPr>
          <a:endParaRPr lang=""/>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autoTitleDeleted val="1"/>
    <c:plotArea>
      <c:layout/>
      <c:bubbleChart>
        <c:varyColors val="1"/>
        <c:ser>
          <c:idx val="0"/>
          <c:order val="0"/>
          <c:tx>
            <c:strRef>
              <c:f>sustainabilityprimary!$Z$129</c:f>
              <c:strCache>
                <c:ptCount val="1"/>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sustainabilityprimary!$W$115</c:f>
              <c:numCache>
                <c:formatCode>General</c:formatCode>
                <c:ptCount val="1"/>
                <c:pt idx="0">
                  <c:v>2015</c:v>
                </c:pt>
              </c:numCache>
            </c:numRef>
          </c:xVal>
          <c:yVal>
            <c:numRef>
              <c:f>sustainabilityprimary!$X$115</c:f>
              <c:numCache>
                <c:formatCode>General</c:formatCode>
                <c:ptCount val="1"/>
                <c:pt idx="0">
                  <c:v>0</c:v>
                </c:pt>
              </c:numCache>
            </c:numRef>
          </c:yVal>
          <c:bubbleSize>
            <c:numLit>
              <c:formatCode>General</c:formatCode>
              <c:ptCount val="1"/>
              <c:pt idx="0">
                <c:v>1</c:v>
              </c:pt>
            </c:numLit>
          </c:bubbleSize>
          <c:bubble3D val="0"/>
        </c:ser>
        <c:dLbls>
          <c:showLegendKey val="0"/>
          <c:showVal val="0"/>
          <c:showCatName val="0"/>
          <c:showSerName val="0"/>
          <c:showPercent val="0"/>
          <c:showBubbleSize val="0"/>
        </c:dLbls>
        <c:bubbleScale val="100"/>
        <c:showNegBubbles val="1"/>
        <c:axId val="-1796949168"/>
        <c:axId val="-1796958416"/>
      </c:bubbleChart>
      <c:valAx>
        <c:axId val="-179694916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
          </a:p>
        </c:txPr>
        <c:crossAx val="-1796958416"/>
        <c:crosses val="autoZero"/>
        <c:crossBetween val="midCat"/>
      </c:valAx>
      <c:valAx>
        <c:axId val="-1796958416"/>
        <c:scaling>
          <c:orientation val="minMax"/>
        </c:scaling>
        <c:delete val="0"/>
        <c:axPos val="l"/>
        <c:numFmt formatCode="General" sourceLinked="1"/>
        <c:majorTickMark val="cross"/>
        <c:minorTickMark val="cross"/>
        <c:tickLblPos val="nextTo"/>
        <c:spPr>
          <a:ln>
            <a:noFill/>
          </a:ln>
        </c:spPr>
        <c:crossAx val="-1796949168"/>
        <c:crosses val="autoZero"/>
        <c:crossBetween val="midCat"/>
      </c:valAx>
    </c:plotArea>
    <c:legend>
      <c:legendPos val="r"/>
      <c:overlay val="0"/>
      <c:txPr>
        <a:bodyPr/>
        <a:lstStyle/>
        <a:p>
          <a:pPr lvl="0">
            <a:defRPr b="0" i="0">
              <a:solidFill>
                <a:srgbClr val="1A1A1A"/>
              </a:solidFill>
              <a:latin typeface="+mn-lt"/>
            </a:defRPr>
          </a:pPr>
          <a:endParaRPr lang=""/>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lvl="0">
              <a:defRPr b="0" i="0">
                <a:solidFill>
                  <a:srgbClr val="757575"/>
                </a:solidFill>
                <a:latin typeface="+mn-lt"/>
              </a:defRPr>
            </a:pPr>
            <a:r>
              <a:rPr b="0" i="0">
                <a:solidFill>
                  <a:srgbClr val="757575"/>
                </a:solidFill>
                <a:latin typeface="+mn-lt"/>
              </a:rPr>
              <a:t>Social, Economic, Environmental and Technical</a:t>
            </a:r>
          </a:p>
        </c:rich>
      </c:tx>
      <c:overlay val="0"/>
    </c:title>
    <c:autoTitleDeleted val="0"/>
    <c:plotArea>
      <c:layout/>
      <c:bubbleChart>
        <c:varyColors val="1"/>
        <c:ser>
          <c:idx val="0"/>
          <c:order val="0"/>
          <c:tx>
            <c:strRef>
              <c:f>sustainabilityprimary!$W$115</c:f>
              <c:strCache>
                <c:ptCount val="1"/>
                <c:pt idx="0">
                  <c:v>2015</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sustainabilityprimary!$X$115</c:f>
              <c:numCache>
                <c:formatCode>General</c:formatCode>
                <c:ptCount val="1"/>
                <c:pt idx="0">
                  <c:v>0</c:v>
                </c:pt>
              </c:numCache>
            </c:numRef>
          </c:xVal>
          <c:yVal>
            <c:numRef>
              <c:f>sustainabilityprimary!$Y$115</c:f>
              <c:numCache>
                <c:formatCode>General</c:formatCode>
                <c:ptCount val="1"/>
                <c:pt idx="0">
                  <c:v>0</c:v>
                </c:pt>
              </c:numCache>
            </c:numRef>
          </c:yVal>
          <c:bubbleSize>
            <c:numRef>
              <c:f>sustainabilityprimary!$AA$115</c:f>
              <c:numCache>
                <c:formatCode>General</c:formatCode>
                <c:ptCount val="1"/>
                <c:pt idx="0">
                  <c:v>0</c:v>
                </c:pt>
              </c:numCache>
            </c:numRef>
          </c:bubbleSize>
          <c:bubble3D val="0"/>
        </c:ser>
        <c:ser>
          <c:idx val="1"/>
          <c:order val="1"/>
          <c:tx>
            <c:strRef>
              <c:f>sustainabilityprimary!$W$116</c:f>
              <c:strCache>
                <c:ptCount val="1"/>
                <c:pt idx="0">
                  <c:v>2016</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sustainabilityprimary!$X$116</c:f>
              <c:numCache>
                <c:formatCode>General</c:formatCode>
                <c:ptCount val="1"/>
                <c:pt idx="0">
                  <c:v>0</c:v>
                </c:pt>
              </c:numCache>
            </c:numRef>
          </c:xVal>
          <c:yVal>
            <c:numRef>
              <c:f>sustainabilityprimary!$Y$116</c:f>
              <c:numCache>
                <c:formatCode>General</c:formatCode>
                <c:ptCount val="1"/>
                <c:pt idx="0">
                  <c:v>0</c:v>
                </c:pt>
              </c:numCache>
            </c:numRef>
          </c:yVal>
          <c:bubbleSize>
            <c:numRef>
              <c:f>sustainabilityprimary!$AA$116</c:f>
              <c:numCache>
                <c:formatCode>General</c:formatCode>
                <c:ptCount val="1"/>
                <c:pt idx="0">
                  <c:v>0</c:v>
                </c:pt>
              </c:numCache>
            </c:numRef>
          </c:bubbleSize>
          <c:bubble3D val="0"/>
        </c:ser>
        <c:ser>
          <c:idx val="2"/>
          <c:order val="2"/>
          <c:tx>
            <c:strRef>
              <c:f>sustainabilityprimary!$W$117</c:f>
              <c:strCache>
                <c:ptCount val="1"/>
                <c:pt idx="0">
                  <c:v>2017</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sustainabilityprimary!$X$117</c:f>
              <c:numCache>
                <c:formatCode>General</c:formatCode>
                <c:ptCount val="1"/>
                <c:pt idx="0">
                  <c:v>0</c:v>
                </c:pt>
              </c:numCache>
            </c:numRef>
          </c:xVal>
          <c:yVal>
            <c:numRef>
              <c:f>sustainabilityprimary!$Y$117</c:f>
              <c:numCache>
                <c:formatCode>General</c:formatCode>
                <c:ptCount val="1"/>
                <c:pt idx="0">
                  <c:v>0</c:v>
                </c:pt>
              </c:numCache>
            </c:numRef>
          </c:yVal>
          <c:bubbleSize>
            <c:numRef>
              <c:f>sustainabilityprimary!$AA$117</c:f>
              <c:numCache>
                <c:formatCode>General</c:formatCode>
                <c:ptCount val="1"/>
                <c:pt idx="0">
                  <c:v>0</c:v>
                </c:pt>
              </c:numCache>
            </c:numRef>
          </c:bubbleSize>
          <c:bubble3D val="0"/>
        </c:ser>
        <c:ser>
          <c:idx val="3"/>
          <c:order val="3"/>
          <c:tx>
            <c:strRef>
              <c:f>sustainabilityprimary!$W$118</c:f>
              <c:strCache>
                <c:ptCount val="1"/>
                <c:pt idx="0">
                  <c:v>2018</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sustainabilityprimary!$X$118</c:f>
              <c:numCache>
                <c:formatCode>General</c:formatCode>
                <c:ptCount val="1"/>
                <c:pt idx="0">
                  <c:v>0</c:v>
                </c:pt>
              </c:numCache>
            </c:numRef>
          </c:xVal>
          <c:yVal>
            <c:numRef>
              <c:f>sustainabilityprimary!$Y$118</c:f>
              <c:numCache>
                <c:formatCode>General</c:formatCode>
                <c:ptCount val="1"/>
                <c:pt idx="0">
                  <c:v>0</c:v>
                </c:pt>
              </c:numCache>
            </c:numRef>
          </c:yVal>
          <c:bubbleSize>
            <c:numRef>
              <c:f>sustainabilityprimary!$AA$118</c:f>
              <c:numCache>
                <c:formatCode>General</c:formatCode>
                <c:ptCount val="1"/>
                <c:pt idx="0">
                  <c:v>0</c:v>
                </c:pt>
              </c:numCache>
            </c:numRef>
          </c:bubbleSize>
          <c:bubble3D val="0"/>
        </c:ser>
        <c:ser>
          <c:idx val="4"/>
          <c:order val="4"/>
          <c:tx>
            <c:strRef>
              <c:f>sustainabilityprimary!$W$119</c:f>
              <c:strCache>
                <c:ptCount val="1"/>
                <c:pt idx="0">
                  <c:v>2019</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sustainabilityprimary!$X$119</c:f>
              <c:numCache>
                <c:formatCode>General</c:formatCode>
                <c:ptCount val="1"/>
                <c:pt idx="0">
                  <c:v>0</c:v>
                </c:pt>
              </c:numCache>
            </c:numRef>
          </c:xVal>
          <c:yVal>
            <c:numRef>
              <c:f>sustainabilityprimary!$Y$119</c:f>
              <c:numCache>
                <c:formatCode>General</c:formatCode>
                <c:ptCount val="1"/>
                <c:pt idx="0">
                  <c:v>0</c:v>
                </c:pt>
              </c:numCache>
            </c:numRef>
          </c:yVal>
          <c:bubbleSize>
            <c:numRef>
              <c:f>sustainabilityprimary!$AA$119</c:f>
              <c:numCache>
                <c:formatCode>General</c:formatCode>
                <c:ptCount val="1"/>
                <c:pt idx="0">
                  <c:v>0</c:v>
                </c:pt>
              </c:numCache>
            </c:numRef>
          </c:bubbleSize>
          <c:bubble3D val="0"/>
        </c:ser>
        <c:ser>
          <c:idx val="5"/>
          <c:order val="5"/>
          <c:tx>
            <c:strRef>
              <c:f>sustainabilityprimary!$W$120</c:f>
              <c:strCache>
                <c:ptCount val="1"/>
                <c:pt idx="0">
                  <c:v>2020</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sustainabilityprimary!$X$120</c:f>
              <c:numCache>
                <c:formatCode>General</c:formatCode>
                <c:ptCount val="1"/>
                <c:pt idx="0">
                  <c:v>0</c:v>
                </c:pt>
              </c:numCache>
            </c:numRef>
          </c:xVal>
          <c:yVal>
            <c:numRef>
              <c:f>sustainabilityprimary!$Y$120</c:f>
              <c:numCache>
                <c:formatCode>General</c:formatCode>
                <c:ptCount val="1"/>
                <c:pt idx="0">
                  <c:v>0</c:v>
                </c:pt>
              </c:numCache>
            </c:numRef>
          </c:yVal>
          <c:bubbleSize>
            <c:numRef>
              <c:f>sustainabilityprimary!$AA$120</c:f>
              <c:numCache>
                <c:formatCode>General</c:formatCode>
                <c:ptCount val="1"/>
                <c:pt idx="0">
                  <c:v>0</c:v>
                </c:pt>
              </c:numCache>
            </c:numRef>
          </c:bubbleSize>
          <c:bubble3D val="0"/>
        </c:ser>
        <c:ser>
          <c:idx val="6"/>
          <c:order val="6"/>
          <c:tx>
            <c:strRef>
              <c:f>sustainabilityprimary!$W$121</c:f>
              <c:strCache>
                <c:ptCount val="1"/>
                <c:pt idx="0">
                  <c:v>2021</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sustainabilityprimary!$X$121</c:f>
              <c:numCache>
                <c:formatCode>General</c:formatCode>
                <c:ptCount val="1"/>
                <c:pt idx="0">
                  <c:v>0</c:v>
                </c:pt>
              </c:numCache>
            </c:numRef>
          </c:xVal>
          <c:yVal>
            <c:numRef>
              <c:f>sustainabilityprimary!$Y$121</c:f>
              <c:numCache>
                <c:formatCode>General</c:formatCode>
                <c:ptCount val="1"/>
                <c:pt idx="0">
                  <c:v>0</c:v>
                </c:pt>
              </c:numCache>
            </c:numRef>
          </c:yVal>
          <c:bubbleSize>
            <c:numRef>
              <c:f>sustainabilityprimary!$AA$121</c:f>
              <c:numCache>
                <c:formatCode>General</c:formatCode>
                <c:ptCount val="1"/>
                <c:pt idx="0">
                  <c:v>0</c:v>
                </c:pt>
              </c:numCache>
            </c:numRef>
          </c:bubbleSize>
          <c:bubble3D val="0"/>
        </c:ser>
        <c:ser>
          <c:idx val="7"/>
          <c:order val="7"/>
          <c:tx>
            <c:strRef>
              <c:f>sustainabilityprimary!$W$122</c:f>
              <c:strCache>
                <c:ptCount val="1"/>
                <c:pt idx="0">
                  <c:v>2022</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sustainabilityprimary!$X$122</c:f>
              <c:numCache>
                <c:formatCode>General</c:formatCode>
                <c:ptCount val="1"/>
                <c:pt idx="0">
                  <c:v>0</c:v>
                </c:pt>
              </c:numCache>
            </c:numRef>
          </c:xVal>
          <c:yVal>
            <c:numRef>
              <c:f>sustainabilityprimary!$Y$122</c:f>
              <c:numCache>
                <c:formatCode>General</c:formatCode>
                <c:ptCount val="1"/>
                <c:pt idx="0">
                  <c:v>0</c:v>
                </c:pt>
              </c:numCache>
            </c:numRef>
          </c:yVal>
          <c:bubbleSize>
            <c:numRef>
              <c:f>sustainabilityprimary!$AA$122</c:f>
              <c:numCache>
                <c:formatCode>General</c:formatCode>
                <c:ptCount val="1"/>
                <c:pt idx="0">
                  <c:v>0</c:v>
                </c:pt>
              </c:numCache>
            </c:numRef>
          </c:bubbleSize>
          <c:bubble3D val="0"/>
        </c:ser>
        <c:ser>
          <c:idx val="8"/>
          <c:order val="8"/>
          <c:tx>
            <c:strRef>
              <c:f>sustainabilityprimary!$W$123</c:f>
              <c:strCache>
                <c:ptCount val="1"/>
                <c:pt idx="0">
                  <c:v>2023</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sustainabilityprimary!$X$123</c:f>
              <c:numCache>
                <c:formatCode>General</c:formatCode>
                <c:ptCount val="1"/>
                <c:pt idx="0">
                  <c:v>0</c:v>
                </c:pt>
              </c:numCache>
            </c:numRef>
          </c:xVal>
          <c:yVal>
            <c:numRef>
              <c:f>sustainabilityprimary!$Y$123</c:f>
              <c:numCache>
                <c:formatCode>General</c:formatCode>
                <c:ptCount val="1"/>
                <c:pt idx="0">
                  <c:v>0</c:v>
                </c:pt>
              </c:numCache>
            </c:numRef>
          </c:yVal>
          <c:bubbleSize>
            <c:numRef>
              <c:f>sustainabilityprimary!$AA$123</c:f>
              <c:numCache>
                <c:formatCode>General</c:formatCode>
                <c:ptCount val="1"/>
                <c:pt idx="0">
                  <c:v>0</c:v>
                </c:pt>
              </c:numCache>
            </c:numRef>
          </c:bubbleSize>
          <c:bubble3D val="0"/>
        </c:ser>
        <c:ser>
          <c:idx val="9"/>
          <c:order val="9"/>
          <c:tx>
            <c:strRef>
              <c:f>sustainabilityprimary!$W$124</c:f>
              <c:strCache>
                <c:ptCount val="1"/>
                <c:pt idx="0">
                  <c:v>2024</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sustainabilityprimary!$X$124</c:f>
              <c:numCache>
                <c:formatCode>General</c:formatCode>
                <c:ptCount val="1"/>
                <c:pt idx="0">
                  <c:v>0</c:v>
                </c:pt>
              </c:numCache>
            </c:numRef>
          </c:xVal>
          <c:yVal>
            <c:numRef>
              <c:f>sustainabilityprimary!$Y$124</c:f>
              <c:numCache>
                <c:formatCode>General</c:formatCode>
                <c:ptCount val="1"/>
                <c:pt idx="0">
                  <c:v>0</c:v>
                </c:pt>
              </c:numCache>
            </c:numRef>
          </c:yVal>
          <c:bubbleSize>
            <c:numRef>
              <c:f>sustainabilityprimary!$AA$124</c:f>
              <c:numCache>
                <c:formatCode>General</c:formatCode>
                <c:ptCount val="1"/>
                <c:pt idx="0">
                  <c:v>0</c:v>
                </c:pt>
              </c:numCache>
            </c:numRef>
          </c:bubbleSize>
          <c:bubble3D val="0"/>
        </c:ser>
        <c:dLbls>
          <c:showLegendKey val="0"/>
          <c:showVal val="0"/>
          <c:showCatName val="0"/>
          <c:showSerName val="0"/>
          <c:showPercent val="0"/>
          <c:showBubbleSize val="0"/>
        </c:dLbls>
        <c:bubbleScale val="100"/>
        <c:showNegBubbles val="1"/>
        <c:axId val="-1796950256"/>
        <c:axId val="-1796952432"/>
      </c:bubbleChart>
      <c:valAx>
        <c:axId val="-179695025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Year</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
          </a:p>
        </c:txPr>
        <c:crossAx val="-1796952432"/>
        <c:crosses val="autoZero"/>
        <c:crossBetween val="midCat"/>
      </c:valAx>
      <c:valAx>
        <c:axId val="-17969524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
          </a:p>
        </c:txPr>
        <c:crossAx val="-1796950256"/>
        <c:crosses val="autoZero"/>
        <c:crossBetween val="midCat"/>
      </c:valAx>
    </c:plotArea>
    <c:legend>
      <c:legendPos val="r"/>
      <c:overlay val="0"/>
      <c:txPr>
        <a:bodyPr/>
        <a:lstStyle/>
        <a:p>
          <a:pPr lvl="0">
            <a:defRPr b="0" i="0">
              <a:solidFill>
                <a:srgbClr val="1A1A1A"/>
              </a:solidFill>
              <a:latin typeface="+mn-lt"/>
            </a:defRPr>
          </a:pPr>
          <a:endParaRPr lang=""/>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lvl="0">
              <a:defRPr b="0" i="0">
                <a:solidFill>
                  <a:srgbClr val="757575"/>
                </a:solidFill>
                <a:latin typeface="+mn-lt"/>
              </a:defRPr>
            </a:pPr>
            <a:r>
              <a:rPr b="0" i="0">
                <a:solidFill>
                  <a:srgbClr val="757575"/>
                </a:solidFill>
                <a:latin typeface="+mn-lt"/>
              </a:rPr>
              <a:t>Social, Economic, Environmental and Technical</a:t>
            </a:r>
          </a:p>
        </c:rich>
      </c:tx>
      <c:overlay val="0"/>
    </c:title>
    <c:autoTitleDeleted val="0"/>
    <c:plotArea>
      <c:layout/>
      <c:bubbleChart>
        <c:varyColors val="1"/>
        <c:ser>
          <c:idx val="0"/>
          <c:order val="0"/>
          <c:tx>
            <c:strRef>
              <c:f>sustainabilityprimary!$W$115</c:f>
              <c:strCache>
                <c:ptCount val="1"/>
                <c:pt idx="0">
                  <c:v>2015</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sustainabilityprimary!$X$115</c:f>
              <c:numCache>
                <c:formatCode>General</c:formatCode>
                <c:ptCount val="1"/>
                <c:pt idx="0">
                  <c:v>0</c:v>
                </c:pt>
              </c:numCache>
            </c:numRef>
          </c:xVal>
          <c:yVal>
            <c:numRef>
              <c:f>sustainabilityprimary!$X$114</c:f>
              <c:numCache>
                <c:formatCode>General</c:formatCode>
                <c:ptCount val="1"/>
                <c:pt idx="0">
                  <c:v>0</c:v>
                </c:pt>
              </c:numCache>
            </c:numRef>
          </c:yVal>
          <c:bubbleSize>
            <c:numRef>
              <c:f>sustainabilityprimary!$AA$115</c:f>
              <c:numCache>
                <c:formatCode>General</c:formatCode>
                <c:ptCount val="1"/>
                <c:pt idx="0">
                  <c:v>0</c:v>
                </c:pt>
              </c:numCache>
            </c:numRef>
          </c:bubbleSize>
          <c:bubble3D val="0"/>
        </c:ser>
        <c:dLbls>
          <c:showLegendKey val="0"/>
          <c:showVal val="0"/>
          <c:showCatName val="0"/>
          <c:showSerName val="0"/>
          <c:showPercent val="0"/>
          <c:showBubbleSize val="0"/>
        </c:dLbls>
        <c:bubbleScale val="100"/>
        <c:showNegBubbles val="1"/>
        <c:axId val="-1796957872"/>
        <c:axId val="-1796953520"/>
      </c:bubbleChart>
      <c:valAx>
        <c:axId val="-179695787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Year</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
          </a:p>
        </c:txPr>
        <c:crossAx val="-1796953520"/>
        <c:crosses val="autoZero"/>
        <c:crossBetween val="midCat"/>
      </c:valAx>
      <c:valAx>
        <c:axId val="-1796953520"/>
        <c:scaling>
          <c:orientation val="minMax"/>
        </c:scaling>
        <c:delete val="0"/>
        <c:axPos val="l"/>
        <c:numFmt formatCode="General" sourceLinked="1"/>
        <c:majorTickMark val="cross"/>
        <c:minorTickMark val="cross"/>
        <c:tickLblPos val="nextTo"/>
        <c:spPr>
          <a:ln>
            <a:noFill/>
          </a:ln>
        </c:spPr>
        <c:crossAx val="-1796957872"/>
        <c:crosses val="autoZero"/>
        <c:crossBetween val="midCat"/>
      </c:valAx>
    </c:plotArea>
    <c:legend>
      <c:legendPos val="r"/>
      <c:overlay val="0"/>
      <c:txPr>
        <a:bodyPr/>
        <a:lstStyle/>
        <a:p>
          <a:pPr lvl="0">
            <a:defRPr b="0" i="0">
              <a:solidFill>
                <a:srgbClr val="1A1A1A"/>
              </a:solidFill>
              <a:latin typeface="+mn-lt"/>
            </a:defRPr>
          </a:pPr>
          <a:endParaRPr lang=""/>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autoTitleDeleted val="1"/>
    <c:plotArea>
      <c:layout/>
      <c:barChart>
        <c:barDir val="col"/>
        <c:grouping val="clustered"/>
        <c:varyColors val="1"/>
        <c:ser>
          <c:idx val="0"/>
          <c:order val="0"/>
          <c:invertIfNegative val="1"/>
          <c:cat>
            <c:numRef>
              <c:f>sustainabilityprimary!$S$127:$S$128</c:f>
              <c:numCache>
                <c:formatCode>General</c:formatCode>
                <c:ptCount val="2"/>
              </c:numCache>
            </c:numRef>
          </c:cat>
          <c:val>
            <c:numRef>
              <c:f>sustainabilityprimary!$S$127:$S$128</c:f>
              <c:numCache>
                <c:formatCode>General</c:formatCode>
                <c:ptCount val="2"/>
              </c:numCache>
            </c:numRef>
          </c:val>
        </c:ser>
        <c:dLbls>
          <c:showLegendKey val="0"/>
          <c:showVal val="0"/>
          <c:showCatName val="0"/>
          <c:showSerName val="0"/>
          <c:showPercent val="0"/>
          <c:showBubbleSize val="0"/>
        </c:dLbls>
        <c:gapWidth val="150"/>
        <c:axId val="-1796946992"/>
        <c:axId val="-1796945904"/>
      </c:barChart>
      <c:catAx>
        <c:axId val="-179694699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
          </a:p>
        </c:txPr>
        <c:crossAx val="-1796945904"/>
        <c:crosses val="autoZero"/>
        <c:auto val="1"/>
        <c:lblAlgn val="ctr"/>
        <c:lblOffset val="100"/>
        <c:noMultiLvlLbl val="1"/>
      </c:catAx>
      <c:valAx>
        <c:axId val="-1796945904"/>
        <c:scaling>
          <c:orientation val="minMax"/>
        </c:scaling>
        <c:delete val="0"/>
        <c:axPos val="l"/>
        <c:numFmt formatCode="General" sourceLinked="1"/>
        <c:majorTickMark val="cross"/>
        <c:minorTickMark val="cross"/>
        <c:tickLblPos val="nextTo"/>
        <c:spPr>
          <a:ln>
            <a:noFill/>
          </a:ln>
        </c:spPr>
        <c:crossAx val="-1796946992"/>
        <c:crosses val="autoZero"/>
        <c:crossBetween val="between"/>
      </c:valAx>
    </c:plotArea>
    <c:legend>
      <c:legendPos val="r"/>
      <c:overlay val="0"/>
      <c:txPr>
        <a:bodyPr/>
        <a:lstStyle/>
        <a:p>
          <a:pPr lvl="0">
            <a:defRPr b="0" i="0">
              <a:solidFill>
                <a:srgbClr val="1A1A1A"/>
              </a:solidFill>
              <a:latin typeface="+mn-lt"/>
            </a:defRPr>
          </a:pPr>
          <a:endParaRPr lang=""/>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lvl="0">
              <a:defRPr b="0" i="0">
                <a:solidFill>
                  <a:srgbClr val="757575"/>
                </a:solidFill>
                <a:latin typeface="+mn-lt"/>
              </a:defRPr>
            </a:pPr>
            <a:r>
              <a:rPr b="0" i="0">
                <a:solidFill>
                  <a:srgbClr val="757575"/>
                </a:solidFill>
                <a:latin typeface="+mn-lt"/>
              </a:rPr>
              <a:t>Social, Economic, Environmental and Technical</a:t>
            </a:r>
          </a:p>
        </c:rich>
      </c:tx>
      <c:overlay val="0"/>
    </c:title>
    <c:autoTitleDeleted val="0"/>
    <c:plotArea>
      <c:layout/>
      <c:barChart>
        <c:barDir val="col"/>
        <c:grouping val="stacked"/>
        <c:varyColors val="1"/>
        <c:ser>
          <c:idx val="0"/>
          <c:order val="0"/>
          <c:tx>
            <c:strRef>
              <c:f>sustainabilityprimary!$X$115</c:f>
              <c:strCache>
                <c:ptCount val="1"/>
                <c:pt idx="0">
                  <c:v>#REF!</c:v>
                </c:pt>
              </c:strCache>
            </c:strRef>
          </c:tx>
          <c:spPr>
            <a:solidFill>
              <a:schemeClr val="accent1"/>
            </a:solidFill>
            <a:ln cmpd="sng">
              <a:solidFill>
                <a:srgbClr val="000000"/>
              </a:solidFill>
            </a:ln>
          </c:spPr>
          <c:invertIfNegative val="1"/>
          <c:cat>
            <c:numRef>
              <c:f>sustainabilityprimary!$W$116:$W$124</c:f>
              <c:numCache>
                <c:formatCode>General</c:formatCode>
                <c:ptCount val="9"/>
                <c:pt idx="0">
                  <c:v>2016</c:v>
                </c:pt>
                <c:pt idx="1">
                  <c:v>2017</c:v>
                </c:pt>
                <c:pt idx="2">
                  <c:v>2018</c:v>
                </c:pt>
                <c:pt idx="3">
                  <c:v>2019</c:v>
                </c:pt>
                <c:pt idx="4">
                  <c:v>2020</c:v>
                </c:pt>
                <c:pt idx="5">
                  <c:v>2021</c:v>
                </c:pt>
                <c:pt idx="6">
                  <c:v>2022</c:v>
                </c:pt>
                <c:pt idx="7">
                  <c:v>2023</c:v>
                </c:pt>
                <c:pt idx="8">
                  <c:v>2024</c:v>
                </c:pt>
              </c:numCache>
            </c:numRef>
          </c:cat>
          <c:val>
            <c:numRef>
              <c:f>sustainabilityprimary!$X$116:$X$124</c:f>
              <c:numCache>
                <c:formatCode>General</c:formatCode>
                <c:ptCount val="9"/>
                <c:pt idx="0">
                  <c:v>0</c:v>
                </c:pt>
                <c:pt idx="1">
                  <c:v>0</c:v>
                </c:pt>
                <c:pt idx="2">
                  <c:v>0</c:v>
                </c:pt>
                <c:pt idx="3">
                  <c:v>0</c:v>
                </c:pt>
                <c:pt idx="4">
                  <c:v>0</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strRef>
              <c:f>sustainabilityprimary!$Y$115</c:f>
              <c:strCache>
                <c:ptCount val="1"/>
                <c:pt idx="0">
                  <c:v>0</c:v>
                </c:pt>
              </c:strCache>
            </c:strRef>
          </c:tx>
          <c:spPr>
            <a:solidFill>
              <a:schemeClr val="accent2"/>
            </a:solidFill>
            <a:ln cmpd="sng">
              <a:solidFill>
                <a:srgbClr val="000000"/>
              </a:solidFill>
            </a:ln>
          </c:spPr>
          <c:invertIfNegative val="1"/>
          <c:cat>
            <c:numRef>
              <c:f>sustainabilityprimary!$W$116:$W$124</c:f>
              <c:numCache>
                <c:formatCode>General</c:formatCode>
                <c:ptCount val="9"/>
                <c:pt idx="0">
                  <c:v>2016</c:v>
                </c:pt>
                <c:pt idx="1">
                  <c:v>2017</c:v>
                </c:pt>
                <c:pt idx="2">
                  <c:v>2018</c:v>
                </c:pt>
                <c:pt idx="3">
                  <c:v>2019</c:v>
                </c:pt>
                <c:pt idx="4">
                  <c:v>2020</c:v>
                </c:pt>
                <c:pt idx="5">
                  <c:v>2021</c:v>
                </c:pt>
                <c:pt idx="6">
                  <c:v>2022</c:v>
                </c:pt>
                <c:pt idx="7">
                  <c:v>2023</c:v>
                </c:pt>
                <c:pt idx="8">
                  <c:v>2024</c:v>
                </c:pt>
              </c:numCache>
            </c:numRef>
          </c:cat>
          <c:val>
            <c:numRef>
              <c:f>sustainabilityprimary!$Y$116:$Y$124</c:f>
              <c:numCache>
                <c:formatCode>General</c:formatCode>
                <c:ptCount val="9"/>
                <c:pt idx="0">
                  <c:v>0</c:v>
                </c:pt>
                <c:pt idx="1">
                  <c:v>0</c:v>
                </c:pt>
                <c:pt idx="2">
                  <c:v>0</c:v>
                </c:pt>
                <c:pt idx="3">
                  <c:v>0</c:v>
                </c:pt>
                <c:pt idx="4">
                  <c:v>0</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strRef>
              <c:f>sustainabilityprimary!$Z$115</c:f>
              <c:strCache>
                <c:ptCount val="1"/>
                <c:pt idx="0">
                  <c:v>0</c:v>
                </c:pt>
              </c:strCache>
            </c:strRef>
          </c:tx>
          <c:spPr>
            <a:solidFill>
              <a:schemeClr val="accent3"/>
            </a:solidFill>
            <a:ln cmpd="sng">
              <a:solidFill>
                <a:srgbClr val="000000"/>
              </a:solidFill>
            </a:ln>
          </c:spPr>
          <c:invertIfNegative val="1"/>
          <c:cat>
            <c:numRef>
              <c:f>sustainabilityprimary!$W$116:$W$124</c:f>
              <c:numCache>
                <c:formatCode>General</c:formatCode>
                <c:ptCount val="9"/>
                <c:pt idx="0">
                  <c:v>2016</c:v>
                </c:pt>
                <c:pt idx="1">
                  <c:v>2017</c:v>
                </c:pt>
                <c:pt idx="2">
                  <c:v>2018</c:v>
                </c:pt>
                <c:pt idx="3">
                  <c:v>2019</c:v>
                </c:pt>
                <c:pt idx="4">
                  <c:v>2020</c:v>
                </c:pt>
                <c:pt idx="5">
                  <c:v>2021</c:v>
                </c:pt>
                <c:pt idx="6">
                  <c:v>2022</c:v>
                </c:pt>
                <c:pt idx="7">
                  <c:v>2023</c:v>
                </c:pt>
                <c:pt idx="8">
                  <c:v>2024</c:v>
                </c:pt>
              </c:numCache>
            </c:numRef>
          </c:cat>
          <c:val>
            <c:numRef>
              <c:f>sustainabilityprimary!$Z$116:$Z$124</c:f>
              <c:numCache>
                <c:formatCode>General</c:formatCode>
                <c:ptCount val="9"/>
                <c:pt idx="0">
                  <c:v>0</c:v>
                </c:pt>
                <c:pt idx="1">
                  <c:v>0</c:v>
                </c:pt>
                <c:pt idx="2">
                  <c:v>0</c:v>
                </c:pt>
                <c:pt idx="3">
                  <c:v>0</c:v>
                </c:pt>
                <c:pt idx="4">
                  <c:v>0</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3"/>
          <c:order val="3"/>
          <c:tx>
            <c:strRef>
              <c:f>sustainabilityprimary!$AA$115</c:f>
              <c:strCache>
                <c:ptCount val="1"/>
                <c:pt idx="0">
                  <c:v>#REF!</c:v>
                </c:pt>
              </c:strCache>
            </c:strRef>
          </c:tx>
          <c:invertIfNegative val="1"/>
          <c:cat>
            <c:numRef>
              <c:f>sustainabilityprimary!$W$116:$W$124</c:f>
              <c:numCache>
                <c:formatCode>General</c:formatCode>
                <c:ptCount val="9"/>
                <c:pt idx="0">
                  <c:v>2016</c:v>
                </c:pt>
                <c:pt idx="1">
                  <c:v>2017</c:v>
                </c:pt>
                <c:pt idx="2">
                  <c:v>2018</c:v>
                </c:pt>
                <c:pt idx="3">
                  <c:v>2019</c:v>
                </c:pt>
                <c:pt idx="4">
                  <c:v>2020</c:v>
                </c:pt>
                <c:pt idx="5">
                  <c:v>2021</c:v>
                </c:pt>
                <c:pt idx="6">
                  <c:v>2022</c:v>
                </c:pt>
                <c:pt idx="7">
                  <c:v>2023</c:v>
                </c:pt>
                <c:pt idx="8">
                  <c:v>2024</c:v>
                </c:pt>
              </c:numCache>
            </c:numRef>
          </c:cat>
          <c:val>
            <c:numRef>
              <c:f>sustainabilityprimary!$AA$116:$AA$124</c:f>
              <c:numCache>
                <c:formatCode>General</c:formatCode>
                <c:ptCount val="9"/>
                <c:pt idx="0">
                  <c:v>0</c:v>
                </c:pt>
                <c:pt idx="1">
                  <c:v>0</c:v>
                </c:pt>
                <c:pt idx="2">
                  <c:v>0</c:v>
                </c:pt>
                <c:pt idx="3">
                  <c:v>0</c:v>
                </c:pt>
                <c:pt idx="4">
                  <c:v>0</c:v>
                </c:pt>
                <c:pt idx="5">
                  <c:v>0</c:v>
                </c:pt>
                <c:pt idx="6">
                  <c:v>0</c:v>
                </c:pt>
                <c:pt idx="7">
                  <c:v>0</c:v>
                </c:pt>
                <c:pt idx="8">
                  <c:v>0</c:v>
                </c:pt>
              </c:numCache>
            </c:numRef>
          </c:val>
        </c:ser>
        <c:dLbls>
          <c:showLegendKey val="0"/>
          <c:showVal val="0"/>
          <c:showCatName val="0"/>
          <c:showSerName val="0"/>
          <c:showPercent val="0"/>
          <c:showBubbleSize val="0"/>
        </c:dLbls>
        <c:gapWidth val="150"/>
        <c:overlap val="100"/>
        <c:axId val="-1796952976"/>
        <c:axId val="-1796957328"/>
      </c:barChart>
      <c:catAx>
        <c:axId val="-1796952976"/>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Year</a:t>
                </a: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
          </a:p>
        </c:txPr>
        <c:crossAx val="-1796957328"/>
        <c:crosses val="autoZero"/>
        <c:auto val="1"/>
        <c:lblAlgn val="ctr"/>
        <c:lblOffset val="100"/>
        <c:noMultiLvlLbl val="1"/>
      </c:catAx>
      <c:valAx>
        <c:axId val="-17969573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
          </a:p>
        </c:txPr>
        <c:crossAx val="-1796952976"/>
        <c:crosses val="autoZero"/>
        <c:crossBetween val="between"/>
      </c:valAx>
    </c:plotArea>
    <c:legend>
      <c:legendPos val="r"/>
      <c:overlay val="0"/>
      <c:txPr>
        <a:bodyPr/>
        <a:lstStyle/>
        <a:p>
          <a:pPr lvl="0">
            <a:defRPr b="0" i="0">
              <a:solidFill>
                <a:srgbClr val="1A1A1A"/>
              </a:solidFill>
              <a:latin typeface="+mn-lt"/>
            </a:defRPr>
          </a:pPr>
          <a:endParaRPr lang=""/>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autoTitleDeleted val="1"/>
    <c:plotArea>
      <c:layout/>
      <c:bubbleChart>
        <c:varyColors val="1"/>
        <c:ser>
          <c:idx val="0"/>
          <c:order val="0"/>
          <c:tx>
            <c:strRef>
              <c:f>sustainabilityprimary!$Z$128</c:f>
              <c:strCache>
                <c:ptCount val="1"/>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sustainabilityprimary!$W$115</c:f>
              <c:numCache>
                <c:formatCode>General</c:formatCode>
                <c:ptCount val="1"/>
                <c:pt idx="0">
                  <c:v>2015</c:v>
                </c:pt>
              </c:numCache>
            </c:numRef>
          </c:xVal>
          <c:yVal>
            <c:numRef>
              <c:f>sustainabilityprimary!$W$115</c:f>
              <c:numCache>
                <c:formatCode>General</c:formatCode>
                <c:ptCount val="1"/>
                <c:pt idx="0">
                  <c:v>2015</c:v>
                </c:pt>
              </c:numCache>
            </c:numRef>
          </c:yVal>
          <c:bubbleSize>
            <c:numLit>
              <c:formatCode>General</c:formatCode>
              <c:ptCount val="1"/>
              <c:pt idx="0">
                <c:v>1</c:v>
              </c:pt>
            </c:numLit>
          </c:bubbleSize>
          <c:bubble3D val="0"/>
        </c:ser>
        <c:dLbls>
          <c:showLegendKey val="0"/>
          <c:showVal val="0"/>
          <c:showCatName val="0"/>
          <c:showSerName val="0"/>
          <c:showPercent val="0"/>
          <c:showBubbleSize val="0"/>
        </c:dLbls>
        <c:bubbleScale val="100"/>
        <c:showNegBubbles val="1"/>
        <c:axId val="-1796956784"/>
        <c:axId val="-1796950800"/>
      </c:bubbleChart>
      <c:valAx>
        <c:axId val="-179695678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
          </a:p>
        </c:txPr>
        <c:crossAx val="-1796950800"/>
        <c:crosses val="autoZero"/>
        <c:crossBetween val="midCat"/>
      </c:valAx>
      <c:valAx>
        <c:axId val="-1796950800"/>
        <c:scaling>
          <c:orientation val="minMax"/>
        </c:scaling>
        <c:delete val="0"/>
        <c:axPos val="l"/>
        <c:numFmt formatCode="General" sourceLinked="1"/>
        <c:majorTickMark val="cross"/>
        <c:minorTickMark val="cross"/>
        <c:tickLblPos val="nextTo"/>
        <c:spPr>
          <a:ln>
            <a:noFill/>
          </a:ln>
        </c:spPr>
        <c:crossAx val="-1796956784"/>
        <c:crosses val="autoZero"/>
        <c:crossBetween val="midCat"/>
      </c:valAx>
    </c:plotArea>
    <c:legend>
      <c:legendPos val="r"/>
      <c:overlay val="0"/>
      <c:txPr>
        <a:bodyPr/>
        <a:lstStyle/>
        <a:p>
          <a:pPr lvl="0">
            <a:defRPr b="0" i="0">
              <a:solidFill>
                <a:srgbClr val="1A1A1A"/>
              </a:solidFill>
              <a:latin typeface="+mn-lt"/>
            </a:defRPr>
          </a:pPr>
          <a:endParaRPr lang=""/>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lvl="0">
              <a:defRPr b="0" i="0">
                <a:solidFill>
                  <a:srgbClr val="757575"/>
                </a:solidFill>
                <a:latin typeface="+mn-lt"/>
              </a:defRPr>
            </a:pPr>
            <a:r>
              <a:rPr b="0" i="0">
                <a:solidFill>
                  <a:srgbClr val="757575"/>
                </a:solidFill>
                <a:latin typeface="+mn-lt"/>
              </a:rPr>
              <a:t>Social, Economic, Environmental and Technical</a:t>
            </a:r>
          </a:p>
        </c:rich>
      </c:tx>
      <c:overlay val="0"/>
    </c:title>
    <c:autoTitleDeleted val="0"/>
    <c:plotArea>
      <c:layout/>
      <c:bubbleChart>
        <c:varyColors val="1"/>
        <c:ser>
          <c:idx val="0"/>
          <c:order val="0"/>
          <c:tx>
            <c:strRef>
              <c:f>sustainabilityprimary!$W$115</c:f>
              <c:strCache>
                <c:ptCount val="1"/>
                <c:pt idx="0">
                  <c:v>2015</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sustainabilityprimary!$X$115</c:f>
              <c:numCache>
                <c:formatCode>General</c:formatCode>
                <c:ptCount val="1"/>
                <c:pt idx="0">
                  <c:v>0</c:v>
                </c:pt>
              </c:numCache>
            </c:numRef>
          </c:xVal>
          <c:yVal>
            <c:numRef>
              <c:f>sustainabilityprimary!$X$116</c:f>
              <c:numCache>
                <c:formatCode>General</c:formatCode>
                <c:ptCount val="1"/>
                <c:pt idx="0">
                  <c:v>0</c:v>
                </c:pt>
              </c:numCache>
            </c:numRef>
          </c:yVal>
          <c:bubbleSize>
            <c:numRef>
              <c:f>sustainabilityprimary!$AA$115</c:f>
              <c:numCache>
                <c:formatCode>General</c:formatCode>
                <c:ptCount val="1"/>
                <c:pt idx="0">
                  <c:v>0</c:v>
                </c:pt>
              </c:numCache>
            </c:numRef>
          </c:bubbleSize>
          <c:bubble3D val="0"/>
        </c:ser>
        <c:ser>
          <c:idx val="1"/>
          <c:order val="1"/>
          <c:tx>
            <c:strRef>
              <c:f>sustainabilityprimary!$W$116</c:f>
              <c:strCache>
                <c:ptCount val="1"/>
                <c:pt idx="0">
                  <c:v>2016</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sustainabilityprimary!$X$116</c:f>
              <c:numCache>
                <c:formatCode>General</c:formatCode>
                <c:ptCount val="1"/>
                <c:pt idx="0">
                  <c:v>0</c:v>
                </c:pt>
              </c:numCache>
            </c:numRef>
          </c:xVal>
          <c:yVal>
            <c:numRef>
              <c:f>sustainabilityprimary!$X$117</c:f>
              <c:numCache>
                <c:formatCode>General</c:formatCode>
                <c:ptCount val="1"/>
                <c:pt idx="0">
                  <c:v>0</c:v>
                </c:pt>
              </c:numCache>
            </c:numRef>
          </c:yVal>
          <c:bubbleSize>
            <c:numRef>
              <c:f>sustainabilityprimary!$AA$116</c:f>
              <c:numCache>
                <c:formatCode>General</c:formatCode>
                <c:ptCount val="1"/>
                <c:pt idx="0">
                  <c:v>0</c:v>
                </c:pt>
              </c:numCache>
            </c:numRef>
          </c:bubbleSize>
          <c:bubble3D val="0"/>
        </c:ser>
        <c:ser>
          <c:idx val="2"/>
          <c:order val="2"/>
          <c:tx>
            <c:strRef>
              <c:f>sustainabilityprimary!$W$117</c:f>
              <c:strCache>
                <c:ptCount val="1"/>
                <c:pt idx="0">
                  <c:v>2017</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sustainabilityprimary!$X$117</c:f>
              <c:numCache>
                <c:formatCode>General</c:formatCode>
                <c:ptCount val="1"/>
                <c:pt idx="0">
                  <c:v>0</c:v>
                </c:pt>
              </c:numCache>
            </c:numRef>
          </c:xVal>
          <c:yVal>
            <c:numRef>
              <c:f>sustainabilityprimary!$X$118</c:f>
              <c:numCache>
                <c:formatCode>General</c:formatCode>
                <c:ptCount val="1"/>
                <c:pt idx="0">
                  <c:v>0</c:v>
                </c:pt>
              </c:numCache>
            </c:numRef>
          </c:yVal>
          <c:bubbleSize>
            <c:numRef>
              <c:f>sustainabilityprimary!$AA$117</c:f>
              <c:numCache>
                <c:formatCode>General</c:formatCode>
                <c:ptCount val="1"/>
                <c:pt idx="0">
                  <c:v>0</c:v>
                </c:pt>
              </c:numCache>
            </c:numRef>
          </c:bubbleSize>
          <c:bubble3D val="0"/>
        </c:ser>
        <c:ser>
          <c:idx val="3"/>
          <c:order val="3"/>
          <c:tx>
            <c:strRef>
              <c:f>sustainabilityprimary!$W$118</c:f>
              <c:strCache>
                <c:ptCount val="1"/>
                <c:pt idx="0">
                  <c:v>2018</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sustainabilityprimary!$X$118</c:f>
              <c:numCache>
                <c:formatCode>General</c:formatCode>
                <c:ptCount val="1"/>
                <c:pt idx="0">
                  <c:v>0</c:v>
                </c:pt>
              </c:numCache>
            </c:numRef>
          </c:xVal>
          <c:yVal>
            <c:numRef>
              <c:f>sustainabilityprimary!$X$119</c:f>
              <c:numCache>
                <c:formatCode>General</c:formatCode>
                <c:ptCount val="1"/>
                <c:pt idx="0">
                  <c:v>0</c:v>
                </c:pt>
              </c:numCache>
            </c:numRef>
          </c:yVal>
          <c:bubbleSize>
            <c:numRef>
              <c:f>sustainabilityprimary!$AA$118</c:f>
              <c:numCache>
                <c:formatCode>General</c:formatCode>
                <c:ptCount val="1"/>
                <c:pt idx="0">
                  <c:v>0</c:v>
                </c:pt>
              </c:numCache>
            </c:numRef>
          </c:bubbleSize>
          <c:bubble3D val="0"/>
        </c:ser>
        <c:ser>
          <c:idx val="4"/>
          <c:order val="4"/>
          <c:tx>
            <c:strRef>
              <c:f>sustainabilityprimary!$W$119</c:f>
              <c:strCache>
                <c:ptCount val="1"/>
                <c:pt idx="0">
                  <c:v>2019</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sustainabilityprimary!$X$119</c:f>
              <c:numCache>
                <c:formatCode>General</c:formatCode>
                <c:ptCount val="1"/>
                <c:pt idx="0">
                  <c:v>0</c:v>
                </c:pt>
              </c:numCache>
            </c:numRef>
          </c:xVal>
          <c:yVal>
            <c:numRef>
              <c:f>sustainabilityprimary!$X$120</c:f>
              <c:numCache>
                <c:formatCode>General</c:formatCode>
                <c:ptCount val="1"/>
                <c:pt idx="0">
                  <c:v>0</c:v>
                </c:pt>
              </c:numCache>
            </c:numRef>
          </c:yVal>
          <c:bubbleSize>
            <c:numRef>
              <c:f>sustainabilityprimary!$AA$119</c:f>
              <c:numCache>
                <c:formatCode>General</c:formatCode>
                <c:ptCount val="1"/>
                <c:pt idx="0">
                  <c:v>0</c:v>
                </c:pt>
              </c:numCache>
            </c:numRef>
          </c:bubbleSize>
          <c:bubble3D val="0"/>
        </c:ser>
        <c:ser>
          <c:idx val="5"/>
          <c:order val="5"/>
          <c:tx>
            <c:strRef>
              <c:f>sustainabilityprimary!$W$120</c:f>
              <c:strCache>
                <c:ptCount val="1"/>
                <c:pt idx="0">
                  <c:v>2020</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sustainabilityprimary!$X$120</c:f>
              <c:numCache>
                <c:formatCode>General</c:formatCode>
                <c:ptCount val="1"/>
                <c:pt idx="0">
                  <c:v>0</c:v>
                </c:pt>
              </c:numCache>
            </c:numRef>
          </c:xVal>
          <c:yVal>
            <c:numRef>
              <c:f>sustainabilityprimary!$X$121</c:f>
              <c:numCache>
                <c:formatCode>General</c:formatCode>
                <c:ptCount val="1"/>
                <c:pt idx="0">
                  <c:v>0</c:v>
                </c:pt>
              </c:numCache>
            </c:numRef>
          </c:yVal>
          <c:bubbleSize>
            <c:numRef>
              <c:f>sustainabilityprimary!$AA$120</c:f>
              <c:numCache>
                <c:formatCode>General</c:formatCode>
                <c:ptCount val="1"/>
                <c:pt idx="0">
                  <c:v>0</c:v>
                </c:pt>
              </c:numCache>
            </c:numRef>
          </c:bubbleSize>
          <c:bubble3D val="0"/>
        </c:ser>
        <c:ser>
          <c:idx val="6"/>
          <c:order val="6"/>
          <c:tx>
            <c:strRef>
              <c:f>sustainabilityprimary!$W$121</c:f>
              <c:strCache>
                <c:ptCount val="1"/>
                <c:pt idx="0">
                  <c:v>2021</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sustainabilityprimary!$X$121</c:f>
              <c:numCache>
                <c:formatCode>General</c:formatCode>
                <c:ptCount val="1"/>
                <c:pt idx="0">
                  <c:v>0</c:v>
                </c:pt>
              </c:numCache>
            </c:numRef>
          </c:xVal>
          <c:yVal>
            <c:numRef>
              <c:f>sustainabilityprimary!$X$122</c:f>
              <c:numCache>
                <c:formatCode>General</c:formatCode>
                <c:ptCount val="1"/>
                <c:pt idx="0">
                  <c:v>0</c:v>
                </c:pt>
              </c:numCache>
            </c:numRef>
          </c:yVal>
          <c:bubbleSize>
            <c:numRef>
              <c:f>sustainabilityprimary!$AA$121</c:f>
              <c:numCache>
                <c:formatCode>General</c:formatCode>
                <c:ptCount val="1"/>
                <c:pt idx="0">
                  <c:v>0</c:v>
                </c:pt>
              </c:numCache>
            </c:numRef>
          </c:bubbleSize>
          <c:bubble3D val="0"/>
        </c:ser>
        <c:ser>
          <c:idx val="7"/>
          <c:order val="7"/>
          <c:tx>
            <c:strRef>
              <c:f>sustainabilityprimary!$W$122</c:f>
              <c:strCache>
                <c:ptCount val="1"/>
                <c:pt idx="0">
                  <c:v>2022</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sustainabilityprimary!$X$122</c:f>
              <c:numCache>
                <c:formatCode>General</c:formatCode>
                <c:ptCount val="1"/>
                <c:pt idx="0">
                  <c:v>0</c:v>
                </c:pt>
              </c:numCache>
            </c:numRef>
          </c:xVal>
          <c:yVal>
            <c:numRef>
              <c:f>sustainabilityprimary!$X$123</c:f>
              <c:numCache>
                <c:formatCode>General</c:formatCode>
                <c:ptCount val="1"/>
                <c:pt idx="0">
                  <c:v>0</c:v>
                </c:pt>
              </c:numCache>
            </c:numRef>
          </c:yVal>
          <c:bubbleSize>
            <c:numRef>
              <c:f>sustainabilityprimary!$AA$122</c:f>
              <c:numCache>
                <c:formatCode>General</c:formatCode>
                <c:ptCount val="1"/>
                <c:pt idx="0">
                  <c:v>0</c:v>
                </c:pt>
              </c:numCache>
            </c:numRef>
          </c:bubbleSize>
          <c:bubble3D val="0"/>
        </c:ser>
        <c:ser>
          <c:idx val="8"/>
          <c:order val="8"/>
          <c:tx>
            <c:strRef>
              <c:f>sustainabilityprimary!$W$123</c:f>
              <c:strCache>
                <c:ptCount val="1"/>
                <c:pt idx="0">
                  <c:v>2023</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sustainabilityprimary!$X$123</c:f>
              <c:numCache>
                <c:formatCode>General</c:formatCode>
                <c:ptCount val="1"/>
                <c:pt idx="0">
                  <c:v>0</c:v>
                </c:pt>
              </c:numCache>
            </c:numRef>
          </c:xVal>
          <c:yVal>
            <c:numRef>
              <c:f>sustainabilityprimary!$X$124</c:f>
              <c:numCache>
                <c:formatCode>General</c:formatCode>
                <c:ptCount val="1"/>
                <c:pt idx="0">
                  <c:v>0</c:v>
                </c:pt>
              </c:numCache>
            </c:numRef>
          </c:yVal>
          <c:bubbleSize>
            <c:numRef>
              <c:f>sustainabilityprimary!$AA$123</c:f>
              <c:numCache>
                <c:formatCode>General</c:formatCode>
                <c:ptCount val="1"/>
                <c:pt idx="0">
                  <c:v>0</c:v>
                </c:pt>
              </c:numCache>
            </c:numRef>
          </c:bubbleSize>
          <c:bubble3D val="0"/>
        </c:ser>
        <c:dLbls>
          <c:showLegendKey val="0"/>
          <c:showVal val="0"/>
          <c:showCatName val="0"/>
          <c:showSerName val="0"/>
          <c:showPercent val="0"/>
          <c:showBubbleSize val="0"/>
        </c:dLbls>
        <c:bubbleScale val="100"/>
        <c:showNegBubbles val="1"/>
        <c:axId val="-1796948080"/>
        <c:axId val="-1796951888"/>
      </c:bubbleChart>
      <c:valAx>
        <c:axId val="-179694808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Year</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
          </a:p>
        </c:txPr>
        <c:crossAx val="-1796951888"/>
        <c:crosses val="autoZero"/>
        <c:crossBetween val="midCat"/>
      </c:valAx>
      <c:valAx>
        <c:axId val="-17969518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
          </a:p>
        </c:txPr>
        <c:crossAx val="-1796948080"/>
        <c:crosses val="autoZero"/>
        <c:crossBetween val="midCat"/>
      </c:valAx>
    </c:plotArea>
    <c:legend>
      <c:legendPos val="r"/>
      <c:overlay val="0"/>
      <c:txPr>
        <a:bodyPr/>
        <a:lstStyle/>
        <a:p>
          <a:pPr lvl="0">
            <a:defRPr b="0" i="0">
              <a:solidFill>
                <a:srgbClr val="1A1A1A"/>
              </a:solidFill>
              <a:latin typeface="+mn-lt"/>
            </a:defRPr>
          </a:pPr>
          <a:endParaRPr lang=""/>
        </a:p>
      </c:txPr>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autoTitleDeleted val="1"/>
    <c:plotArea>
      <c:layout>
        <c:manualLayout>
          <c:xMode val="edge"/>
          <c:yMode val="edge"/>
          <c:x val="0.1332752613240418"/>
          <c:y val="6.6172506738544509E-2"/>
          <c:w val="0.79676205210879392"/>
          <c:h val="0.75997304582210223"/>
        </c:manualLayout>
      </c:layout>
      <c:barChart>
        <c:barDir val="col"/>
        <c:grouping val="clustered"/>
        <c:varyColors val="1"/>
        <c:ser>
          <c:idx val="0"/>
          <c:order val="0"/>
          <c:tx>
            <c:strRef>
              <c:f>sustainability_enabled!$P$114</c:f>
              <c:strCache>
                <c:ptCount val="1"/>
                <c:pt idx="0">
                  <c:v>Total</c:v>
                </c:pt>
              </c:strCache>
            </c:strRef>
          </c:tx>
          <c:spPr>
            <a:solidFill>
              <a:srgbClr val="F3F3F3"/>
            </a:solidFill>
            <a:ln cmpd="sng">
              <a:solidFill>
                <a:srgbClr val="000000"/>
              </a:solidFill>
            </a:ln>
          </c:spPr>
          <c:invertIfNegative val="1"/>
          <c:cat>
            <c:numRef>
              <c:f>sustainability_enabled!$O$115:$O$124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sustainability_enabled!$P$115:$P$124</c:f>
              <c:numCache>
                <c:formatCode>General</c:formatCode>
                <c:ptCount val="10"/>
                <c:pt idx="0">
                  <c:v>11</c:v>
                </c:pt>
                <c:pt idx="1">
                  <c:v>7</c:v>
                </c:pt>
                <c:pt idx="2">
                  <c:v>9</c:v>
                </c:pt>
                <c:pt idx="3">
                  <c:v>12</c:v>
                </c:pt>
                <c:pt idx="4">
                  <c:v>6</c:v>
                </c:pt>
                <c:pt idx="5">
                  <c:v>12</c:v>
                </c:pt>
                <c:pt idx="6">
                  <c:v>11</c:v>
                </c:pt>
                <c:pt idx="7">
                  <c:v>17</c:v>
                </c:pt>
                <c:pt idx="8">
                  <c:v>20</c:v>
                </c:pt>
                <c:pt idx="9">
                  <c:v>18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1796949712"/>
        <c:axId val="-1796955696"/>
      </c:barChart>
      <c:lineChart>
        <c:grouping val="standard"/>
        <c:varyColors val="1"/>
        <c:ser>
          <c:idx val="1"/>
          <c:order val="1"/>
          <c:tx>
            <c:strRef>
              <c:f>sustainability_enabled!$Q$114</c:f>
              <c:strCache>
                <c:ptCount val="1"/>
                <c:pt idx="0">
                  <c:v>Social</c:v>
                </c:pt>
              </c:strCache>
            </c:strRef>
          </c:tx>
          <c:spPr>
            <a:ln cmpd="sng">
              <a:solidFill>
                <a:srgbClr val="C0504D"/>
              </a:solidFill>
            </a:ln>
          </c:spPr>
          <c:marker>
            <c:symbol val="circle"/>
            <c:size val="4"/>
            <c:spPr>
              <a:solidFill>
                <a:srgbClr val="C0504D"/>
              </a:solidFill>
              <a:ln cmpd="sng">
                <a:solidFill>
                  <a:srgbClr val="C0504D"/>
                </a:solidFill>
              </a:ln>
            </c:spPr>
          </c:marker>
          <c:trendline>
            <c:spPr>
              <a:ln w="19050">
                <a:solidFill>
                  <a:srgbClr val="000000">
                    <a:alpha val="0"/>
                  </a:srgbClr>
                </a:solidFill>
              </a:ln>
            </c:spPr>
            <c:trendlineType val="linear"/>
            <c:dispRSqr val="0"/>
            <c:dispEq val="0"/>
          </c:trendline>
          <c:cat>
            <c:numRef>
              <c:f>sustainability_enabled!$O$115:$O$124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sustainability_enabled!$Q$115:$Q$124</c:f>
              <c:numCache>
                <c:formatCode>General</c:formatCode>
                <c:ptCount val="10"/>
                <c:pt idx="0">
                  <c:v>10</c:v>
                </c:pt>
                <c:pt idx="1">
                  <c:v>4</c:v>
                </c:pt>
                <c:pt idx="2">
                  <c:v>8</c:v>
                </c:pt>
                <c:pt idx="3">
                  <c:v>11</c:v>
                </c:pt>
                <c:pt idx="4">
                  <c:v>6</c:v>
                </c:pt>
                <c:pt idx="5">
                  <c:v>9</c:v>
                </c:pt>
                <c:pt idx="6">
                  <c:v>11</c:v>
                </c:pt>
                <c:pt idx="7">
                  <c:v>16</c:v>
                </c:pt>
                <c:pt idx="8">
                  <c:v>20</c:v>
                </c:pt>
                <c:pt idx="9">
                  <c:v>14</c:v>
                </c:pt>
              </c:numCache>
            </c:numRef>
          </c:val>
          <c:smooth val="1"/>
        </c:ser>
        <c:ser>
          <c:idx val="2"/>
          <c:order val="2"/>
          <c:tx>
            <c:strRef>
              <c:f>sustainability_enabled!$R$114</c:f>
              <c:strCache>
                <c:ptCount val="1"/>
                <c:pt idx="0">
                  <c:v>Economic</c:v>
                </c:pt>
              </c:strCache>
            </c:strRef>
          </c:tx>
          <c:spPr>
            <a:ln cmpd="sng">
              <a:solidFill>
                <a:srgbClr val="9BBB59"/>
              </a:solidFill>
            </a:ln>
          </c:spPr>
          <c:marker>
            <c:symbol val="circle"/>
            <c:size val="4"/>
            <c:spPr>
              <a:solidFill>
                <a:srgbClr val="9BBB59"/>
              </a:solidFill>
              <a:ln cmpd="sng">
                <a:solidFill>
                  <a:srgbClr val="9BBB59"/>
                </a:solidFill>
              </a:ln>
            </c:spPr>
          </c:marker>
          <c:trendline>
            <c:spPr>
              <a:ln w="19050">
                <a:solidFill>
                  <a:srgbClr val="000000">
                    <a:alpha val="0"/>
                  </a:srgbClr>
                </a:solidFill>
              </a:ln>
            </c:spPr>
            <c:trendlineType val="linear"/>
            <c:dispRSqr val="0"/>
            <c:dispEq val="0"/>
          </c:trendline>
          <c:cat>
            <c:numRef>
              <c:f>sustainability_enabled!$O$115:$O$124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sustainability_enabled!$R$115:$R$124</c:f>
              <c:numCache>
                <c:formatCode>General</c:formatCode>
                <c:ptCount val="10"/>
                <c:pt idx="0">
                  <c:v>9</c:v>
                </c:pt>
                <c:pt idx="1">
                  <c:v>7</c:v>
                </c:pt>
                <c:pt idx="2">
                  <c:v>4</c:v>
                </c:pt>
                <c:pt idx="3">
                  <c:v>9</c:v>
                </c:pt>
                <c:pt idx="4">
                  <c:v>2</c:v>
                </c:pt>
                <c:pt idx="5">
                  <c:v>2</c:v>
                </c:pt>
                <c:pt idx="6">
                  <c:v>1</c:v>
                </c:pt>
                <c:pt idx="7">
                  <c:v>0</c:v>
                </c:pt>
                <c:pt idx="8">
                  <c:v>3</c:v>
                </c:pt>
                <c:pt idx="9">
                  <c:v>1</c:v>
                </c:pt>
              </c:numCache>
            </c:numRef>
          </c:val>
          <c:smooth val="1"/>
        </c:ser>
        <c:ser>
          <c:idx val="3"/>
          <c:order val="3"/>
          <c:tx>
            <c:strRef>
              <c:f>sustainability_enabled!$S$114</c:f>
              <c:strCache>
                <c:ptCount val="1"/>
                <c:pt idx="0">
                  <c:v>Environmental</c:v>
                </c:pt>
              </c:strCache>
            </c:strRef>
          </c:tx>
          <c:spPr>
            <a:ln cmpd="sng">
              <a:solidFill>
                <a:srgbClr val="3C78D8"/>
              </a:solidFill>
            </a:ln>
          </c:spPr>
          <c:marker>
            <c:symbol val="circle"/>
            <c:size val="4"/>
            <c:spPr>
              <a:solidFill>
                <a:srgbClr val="3C78D8"/>
              </a:solidFill>
              <a:ln cmpd="sng">
                <a:solidFill>
                  <a:srgbClr val="3C78D8"/>
                </a:solidFill>
              </a:ln>
            </c:spPr>
          </c:marker>
          <c:trendline>
            <c:spPr>
              <a:ln w="19050">
                <a:solidFill>
                  <a:srgbClr val="000000">
                    <a:alpha val="0"/>
                  </a:srgbClr>
                </a:solidFill>
              </a:ln>
            </c:spPr>
            <c:trendlineType val="linear"/>
            <c:dispRSqr val="0"/>
            <c:dispEq val="0"/>
          </c:trendline>
          <c:cat>
            <c:numRef>
              <c:f>sustainability_enabled!$O$115:$O$124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sustainability_enabled!$S$115:$S$124</c:f>
              <c:numCache>
                <c:formatCode>General</c:formatCode>
                <c:ptCount val="10"/>
                <c:pt idx="0">
                  <c:v>4</c:v>
                </c:pt>
                <c:pt idx="1">
                  <c:v>4</c:v>
                </c:pt>
                <c:pt idx="2">
                  <c:v>2</c:v>
                </c:pt>
                <c:pt idx="3">
                  <c:v>1</c:v>
                </c:pt>
                <c:pt idx="4">
                  <c:v>2</c:v>
                </c:pt>
                <c:pt idx="5">
                  <c:v>0</c:v>
                </c:pt>
                <c:pt idx="6">
                  <c:v>1</c:v>
                </c:pt>
                <c:pt idx="7">
                  <c:v>0</c:v>
                </c:pt>
                <c:pt idx="8">
                  <c:v>0</c:v>
                </c:pt>
                <c:pt idx="9">
                  <c:v>6</c:v>
                </c:pt>
              </c:numCache>
            </c:numRef>
          </c:val>
          <c:smooth val="1"/>
        </c:ser>
        <c:ser>
          <c:idx val="4"/>
          <c:order val="4"/>
          <c:tx>
            <c:strRef>
              <c:f>sustainability_enabled!$T$114</c:f>
              <c:strCache>
                <c:ptCount val="1"/>
                <c:pt idx="0">
                  <c:v>Technical</c:v>
                </c:pt>
              </c:strCache>
            </c:strRef>
          </c:tx>
          <c:spPr>
            <a:ln cmpd="sng">
              <a:solidFill>
                <a:srgbClr val="4BACC6"/>
              </a:solidFill>
            </a:ln>
          </c:spPr>
          <c:marker>
            <c:symbol val="none"/>
          </c:marker>
          <c:cat>
            <c:numRef>
              <c:f>sustainability_enabled!$O$115:$O$124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sustainability_enabled!$T$115:$T$124</c:f>
              <c:numCache>
                <c:formatCode>General</c:formatCode>
                <c:ptCount val="10"/>
                <c:pt idx="0">
                  <c:v>8</c:v>
                </c:pt>
                <c:pt idx="1">
                  <c:v>3</c:v>
                </c:pt>
                <c:pt idx="2">
                  <c:v>7</c:v>
                </c:pt>
                <c:pt idx="3">
                  <c:v>11</c:v>
                </c:pt>
                <c:pt idx="4">
                  <c:v>2</c:v>
                </c:pt>
                <c:pt idx="5">
                  <c:v>5</c:v>
                </c:pt>
                <c:pt idx="6">
                  <c:v>4</c:v>
                </c:pt>
                <c:pt idx="7">
                  <c:v>3</c:v>
                </c:pt>
                <c:pt idx="8">
                  <c:v>9</c:v>
                </c:pt>
                <c:pt idx="9">
                  <c:v>10</c:v>
                </c:pt>
              </c:numCache>
            </c:numRef>
          </c:val>
          <c:smooth val="1"/>
        </c:ser>
        <c:dLbls>
          <c:showLegendKey val="0"/>
          <c:showVal val="0"/>
          <c:showCatName val="0"/>
          <c:showSerName val="0"/>
          <c:showPercent val="0"/>
          <c:showBubbleSize val="0"/>
        </c:dLbls>
        <c:marker val="1"/>
        <c:smooth val="0"/>
        <c:axId val="-1796949712"/>
        <c:axId val="-1796955696"/>
      </c:lineChart>
      <c:catAx>
        <c:axId val="-1796949712"/>
        <c:scaling>
          <c:orientation val="minMax"/>
        </c:scaling>
        <c:delete val="0"/>
        <c:axPos val="b"/>
        <c:title>
          <c:tx>
            <c:rich>
              <a:bodyPr/>
              <a:lstStyle/>
              <a:p>
                <a:pPr lvl="0">
                  <a:defRPr sz="1600" b="0" i="0">
                    <a:solidFill>
                      <a:srgbClr val="000000"/>
                    </a:solidFill>
                    <a:latin typeface="+mn-lt"/>
                  </a:defRPr>
                </a:pPr>
                <a:r>
                  <a:rPr sz="1600" b="0" i="0">
                    <a:solidFill>
                      <a:srgbClr val="000000"/>
                    </a:solidFill>
                    <a:latin typeface="+mn-lt"/>
                  </a:rPr>
                  <a:t>Year</a:t>
                </a:r>
              </a:p>
            </c:rich>
          </c:tx>
          <c:overlay val="0"/>
        </c:title>
        <c:numFmt formatCode="General" sourceLinked="1"/>
        <c:majorTickMark val="none"/>
        <c:minorTickMark val="none"/>
        <c:tickLblPos val="nextTo"/>
        <c:txPr>
          <a:bodyPr/>
          <a:lstStyle/>
          <a:p>
            <a:pPr lvl="0">
              <a:defRPr sz="1600" b="0" i="0">
                <a:solidFill>
                  <a:srgbClr val="000000"/>
                </a:solidFill>
                <a:latin typeface="+mn-lt"/>
              </a:defRPr>
            </a:pPr>
            <a:endParaRPr lang=""/>
          </a:p>
        </c:txPr>
        <c:crossAx val="-1796955696"/>
        <c:crosses val="autoZero"/>
        <c:auto val="1"/>
        <c:lblAlgn val="ctr"/>
        <c:lblOffset val="100"/>
        <c:noMultiLvlLbl val="1"/>
      </c:catAx>
      <c:valAx>
        <c:axId val="-1796955696"/>
        <c:scaling>
          <c:orientation val="minMax"/>
          <c:max val="21"/>
        </c:scaling>
        <c:delete val="0"/>
        <c:axPos val="l"/>
        <c:majorGridlines>
          <c:spPr>
            <a:ln>
              <a:solidFill>
                <a:srgbClr val="B7B7B7"/>
              </a:solidFill>
            </a:ln>
          </c:spPr>
        </c:majorGridlines>
        <c:title>
          <c:tx>
            <c:rich>
              <a:bodyPr/>
              <a:lstStyle/>
              <a:p>
                <a:pPr lvl="0">
                  <a:defRPr sz="1800" b="0" i="0">
                    <a:solidFill>
                      <a:srgbClr val="000000"/>
                    </a:solidFill>
                    <a:latin typeface="+mn-lt"/>
                  </a:defRPr>
                </a:pPr>
                <a:r>
                  <a:rPr sz="1800" b="0" i="0">
                    <a:solidFill>
                      <a:srgbClr val="000000"/>
                    </a:solidFill>
                    <a:latin typeface="+mn-lt"/>
                  </a:rPr>
                  <a:t>Number of Publications</a:t>
                </a:r>
              </a:p>
            </c:rich>
          </c:tx>
          <c:overlay val="0"/>
        </c:title>
        <c:numFmt formatCode="General" sourceLinked="1"/>
        <c:majorTickMark val="none"/>
        <c:minorTickMark val="none"/>
        <c:tickLblPos val="nextTo"/>
        <c:spPr>
          <a:ln/>
        </c:spPr>
        <c:txPr>
          <a:bodyPr/>
          <a:lstStyle/>
          <a:p>
            <a:pPr lvl="0">
              <a:defRPr sz="1600" b="0" i="0">
                <a:solidFill>
                  <a:srgbClr val="000000"/>
                </a:solidFill>
                <a:latin typeface="+mn-lt"/>
              </a:defRPr>
            </a:pPr>
            <a:endParaRPr lang=""/>
          </a:p>
        </c:txPr>
        <c:crossAx val="-1796949712"/>
        <c:crosses val="autoZero"/>
        <c:crossBetween val="between"/>
      </c:valAx>
    </c:plotArea>
    <c:legend>
      <c:legendPos val="t"/>
      <c:layout>
        <c:manualLayout>
          <c:xMode val="edge"/>
          <c:yMode val="edge"/>
          <c:x val="0.16324206317680021"/>
          <c:y val="2.0611671335619017E-2"/>
        </c:manualLayout>
      </c:layout>
      <c:overlay val="0"/>
      <c:txPr>
        <a:bodyPr/>
        <a:lstStyle/>
        <a:p>
          <a:pPr lvl="0">
            <a:defRPr sz="1400" b="0" i="0">
              <a:solidFill>
                <a:srgbClr val="1A1A1A"/>
              </a:solidFill>
              <a:latin typeface="Arial"/>
            </a:defRPr>
          </a:pPr>
          <a:endParaRPr lang=""/>
        </a:p>
      </c:txPr>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autoTitleDeleted val="1"/>
    <c:plotArea>
      <c:layout>
        <c:manualLayout>
          <c:xMode val="edge"/>
          <c:yMode val="edge"/>
          <c:x val="0.12091666666666669"/>
          <c:y val="0.1586433260393873"/>
          <c:w val="0.84816666666666707"/>
          <c:h val="0.66197662005225677"/>
        </c:manualLayout>
      </c:layout>
      <c:barChart>
        <c:barDir val="col"/>
        <c:grouping val="clustered"/>
        <c:varyColors val="1"/>
        <c:ser>
          <c:idx val="0"/>
          <c:order val="0"/>
          <c:tx>
            <c:strRef>
              <c:f>sustainability_enabled!$P$114</c:f>
              <c:strCache>
                <c:ptCount val="1"/>
                <c:pt idx="0">
                  <c:v>Total</c:v>
                </c:pt>
              </c:strCache>
            </c:strRef>
          </c:tx>
          <c:spPr>
            <a:solidFill>
              <a:srgbClr val="D9D9D9"/>
            </a:solidFill>
            <a:ln cmpd="sng">
              <a:solidFill>
                <a:srgbClr val="000000"/>
              </a:solidFill>
            </a:ln>
          </c:spPr>
          <c:invertIfNegative val="1"/>
          <c:dLbls>
            <c:spPr>
              <a:noFill/>
              <a:ln>
                <a:noFill/>
              </a:ln>
              <a:effectLst/>
            </c:spPr>
            <c:txPr>
              <a:bodyPr/>
              <a:lstStyle/>
              <a:p>
                <a:pPr lvl="0">
                  <a:defRPr b="1" i="0">
                    <a:solidFill>
                      <a:srgbClr val="000000"/>
                    </a:solidFill>
                  </a:defRPr>
                </a:pPr>
                <a:endParaRPr lang=""/>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sustainability_enabled!$O$115:$O$124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sustainability_enabled!$P$115:$P$124</c:f>
              <c:numCache>
                <c:formatCode>General</c:formatCode>
                <c:ptCount val="10"/>
                <c:pt idx="0">
                  <c:v>11</c:v>
                </c:pt>
                <c:pt idx="1">
                  <c:v>7</c:v>
                </c:pt>
                <c:pt idx="2">
                  <c:v>9</c:v>
                </c:pt>
                <c:pt idx="3">
                  <c:v>12</c:v>
                </c:pt>
                <c:pt idx="4">
                  <c:v>6</c:v>
                </c:pt>
                <c:pt idx="5">
                  <c:v>12</c:v>
                </c:pt>
                <c:pt idx="6">
                  <c:v>11</c:v>
                </c:pt>
                <c:pt idx="7">
                  <c:v>17</c:v>
                </c:pt>
                <c:pt idx="8">
                  <c:v>20</c:v>
                </c:pt>
                <c:pt idx="9">
                  <c:v>18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1796944272"/>
        <c:axId val="-1796951344"/>
      </c:barChart>
      <c:lineChart>
        <c:grouping val="standard"/>
        <c:varyColors val="1"/>
        <c:ser>
          <c:idx val="1"/>
          <c:order val="1"/>
          <c:tx>
            <c:strRef>
              <c:f>sustainability_enabled!$Q$114</c:f>
              <c:strCache>
                <c:ptCount val="1"/>
                <c:pt idx="0">
                  <c:v>Social</c:v>
                </c:pt>
              </c:strCache>
            </c:strRef>
          </c:tx>
          <c:spPr>
            <a:ln cmpd="sng">
              <a:solidFill>
                <a:srgbClr val="E69138"/>
              </a:solidFill>
            </a:ln>
          </c:spPr>
          <c:marker>
            <c:symbol val="circle"/>
            <c:size val="2"/>
            <c:spPr>
              <a:solidFill>
                <a:srgbClr val="E69138"/>
              </a:solidFill>
              <a:ln cmpd="sng">
                <a:solidFill>
                  <a:srgbClr val="E69138"/>
                </a:solidFill>
              </a:ln>
            </c:spPr>
          </c:marker>
          <c:cat>
            <c:numRef>
              <c:f>sustainability_enabled!$O$115:$O$124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sustainability_enabled!$Q$115:$Q$124</c:f>
              <c:numCache>
                <c:formatCode>General</c:formatCode>
                <c:ptCount val="10"/>
                <c:pt idx="0">
                  <c:v>10</c:v>
                </c:pt>
                <c:pt idx="1">
                  <c:v>4</c:v>
                </c:pt>
                <c:pt idx="2">
                  <c:v>8</c:v>
                </c:pt>
                <c:pt idx="3">
                  <c:v>11</c:v>
                </c:pt>
                <c:pt idx="4">
                  <c:v>6</c:v>
                </c:pt>
                <c:pt idx="5">
                  <c:v>9</c:v>
                </c:pt>
                <c:pt idx="6">
                  <c:v>11</c:v>
                </c:pt>
                <c:pt idx="7">
                  <c:v>16</c:v>
                </c:pt>
                <c:pt idx="8">
                  <c:v>20</c:v>
                </c:pt>
                <c:pt idx="9">
                  <c:v>14</c:v>
                </c:pt>
              </c:numCache>
            </c:numRef>
          </c:val>
          <c:smooth val="1"/>
        </c:ser>
        <c:ser>
          <c:idx val="2"/>
          <c:order val="2"/>
          <c:tx>
            <c:strRef>
              <c:f>sustainability_enabled!$R$114</c:f>
              <c:strCache>
                <c:ptCount val="1"/>
                <c:pt idx="0">
                  <c:v>Economic</c:v>
                </c:pt>
              </c:strCache>
            </c:strRef>
          </c:tx>
          <c:spPr>
            <a:ln cmpd="sng">
              <a:solidFill>
                <a:srgbClr val="990000"/>
              </a:solidFill>
            </a:ln>
          </c:spPr>
          <c:marker>
            <c:symbol val="circle"/>
            <c:size val="2"/>
            <c:spPr>
              <a:solidFill>
                <a:srgbClr val="990000"/>
              </a:solidFill>
              <a:ln cmpd="sng">
                <a:solidFill>
                  <a:srgbClr val="990000"/>
                </a:solidFill>
              </a:ln>
            </c:spPr>
          </c:marker>
          <c:cat>
            <c:numRef>
              <c:f>sustainability_enabled!$O$115:$O$124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sustainability_enabled!$R$115:$R$124</c:f>
              <c:numCache>
                <c:formatCode>General</c:formatCode>
                <c:ptCount val="10"/>
                <c:pt idx="0">
                  <c:v>9</c:v>
                </c:pt>
                <c:pt idx="1">
                  <c:v>7</c:v>
                </c:pt>
                <c:pt idx="2">
                  <c:v>4</c:v>
                </c:pt>
                <c:pt idx="3">
                  <c:v>9</c:v>
                </c:pt>
                <c:pt idx="4">
                  <c:v>2</c:v>
                </c:pt>
                <c:pt idx="5">
                  <c:v>2</c:v>
                </c:pt>
                <c:pt idx="6">
                  <c:v>1</c:v>
                </c:pt>
                <c:pt idx="7">
                  <c:v>0</c:v>
                </c:pt>
                <c:pt idx="8">
                  <c:v>3</c:v>
                </c:pt>
                <c:pt idx="9">
                  <c:v>1</c:v>
                </c:pt>
              </c:numCache>
            </c:numRef>
          </c:val>
          <c:smooth val="1"/>
        </c:ser>
        <c:ser>
          <c:idx val="3"/>
          <c:order val="3"/>
          <c:tx>
            <c:strRef>
              <c:f>sustainability_enabled!$S$114</c:f>
              <c:strCache>
                <c:ptCount val="1"/>
                <c:pt idx="0">
                  <c:v>Environmental</c:v>
                </c:pt>
              </c:strCache>
            </c:strRef>
          </c:tx>
          <c:spPr>
            <a:ln cmpd="sng">
              <a:solidFill>
                <a:srgbClr val="6AA84F"/>
              </a:solidFill>
            </a:ln>
          </c:spPr>
          <c:marker>
            <c:symbol val="circle"/>
            <c:size val="2"/>
            <c:spPr>
              <a:solidFill>
                <a:srgbClr val="6AA84F"/>
              </a:solidFill>
              <a:ln cmpd="sng">
                <a:solidFill>
                  <a:srgbClr val="6AA84F"/>
                </a:solidFill>
              </a:ln>
            </c:spPr>
          </c:marker>
          <c:cat>
            <c:numRef>
              <c:f>sustainability_enabled!$O$115:$O$124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sustainability_enabled!$S$115:$S$124</c:f>
              <c:numCache>
                <c:formatCode>General</c:formatCode>
                <c:ptCount val="10"/>
                <c:pt idx="0">
                  <c:v>4</c:v>
                </c:pt>
                <c:pt idx="1">
                  <c:v>4</c:v>
                </c:pt>
                <c:pt idx="2">
                  <c:v>2</c:v>
                </c:pt>
                <c:pt idx="3">
                  <c:v>1</c:v>
                </c:pt>
                <c:pt idx="4">
                  <c:v>2</c:v>
                </c:pt>
                <c:pt idx="5">
                  <c:v>0</c:v>
                </c:pt>
                <c:pt idx="6">
                  <c:v>1</c:v>
                </c:pt>
                <c:pt idx="7">
                  <c:v>0</c:v>
                </c:pt>
                <c:pt idx="8">
                  <c:v>0</c:v>
                </c:pt>
                <c:pt idx="9">
                  <c:v>6</c:v>
                </c:pt>
              </c:numCache>
            </c:numRef>
          </c:val>
          <c:smooth val="1"/>
        </c:ser>
        <c:ser>
          <c:idx val="4"/>
          <c:order val="4"/>
          <c:tx>
            <c:strRef>
              <c:f>sustainability_enabled!$T$114</c:f>
              <c:strCache>
                <c:ptCount val="1"/>
                <c:pt idx="0">
                  <c:v>Technical</c:v>
                </c:pt>
              </c:strCache>
            </c:strRef>
          </c:tx>
          <c:spPr>
            <a:ln cmpd="sng">
              <a:solidFill>
                <a:srgbClr val="4BACC6"/>
              </a:solidFill>
            </a:ln>
          </c:spPr>
          <c:marker>
            <c:symbol val="circle"/>
            <c:size val="2"/>
            <c:spPr>
              <a:solidFill>
                <a:srgbClr val="4BACC6"/>
              </a:solidFill>
              <a:ln cmpd="sng">
                <a:solidFill>
                  <a:srgbClr val="4BACC6"/>
                </a:solidFill>
              </a:ln>
            </c:spPr>
          </c:marker>
          <c:cat>
            <c:numRef>
              <c:f>sustainability_enabled!$O$115:$O$124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sustainability_enabled!$T$115:$T$124</c:f>
              <c:numCache>
                <c:formatCode>General</c:formatCode>
                <c:ptCount val="10"/>
                <c:pt idx="0">
                  <c:v>8</c:v>
                </c:pt>
                <c:pt idx="1">
                  <c:v>3</c:v>
                </c:pt>
                <c:pt idx="2">
                  <c:v>7</c:v>
                </c:pt>
                <c:pt idx="3">
                  <c:v>11</c:v>
                </c:pt>
                <c:pt idx="4">
                  <c:v>2</c:v>
                </c:pt>
                <c:pt idx="5">
                  <c:v>5</c:v>
                </c:pt>
                <c:pt idx="6">
                  <c:v>4</c:v>
                </c:pt>
                <c:pt idx="7">
                  <c:v>3</c:v>
                </c:pt>
                <c:pt idx="8">
                  <c:v>9</c:v>
                </c:pt>
                <c:pt idx="9">
                  <c:v>10</c:v>
                </c:pt>
              </c:numCache>
            </c:numRef>
          </c:val>
          <c:smooth val="1"/>
        </c:ser>
        <c:dLbls>
          <c:showLegendKey val="0"/>
          <c:showVal val="0"/>
          <c:showCatName val="0"/>
          <c:showSerName val="0"/>
          <c:showPercent val="0"/>
          <c:showBubbleSize val="0"/>
        </c:dLbls>
        <c:marker val="1"/>
        <c:smooth val="0"/>
        <c:axId val="-1796944272"/>
        <c:axId val="-1796951344"/>
      </c:lineChart>
      <c:catAx>
        <c:axId val="-1796944272"/>
        <c:scaling>
          <c:orientation val="minMax"/>
        </c:scaling>
        <c:delete val="0"/>
        <c:axPos val="b"/>
        <c:title>
          <c:tx>
            <c:rich>
              <a:bodyPr/>
              <a:lstStyle/>
              <a:p>
                <a:pPr lvl="0">
                  <a:defRPr sz="1800" b="0" i="0">
                    <a:solidFill>
                      <a:srgbClr val="000000"/>
                    </a:solidFill>
                    <a:latin typeface="Roboto"/>
                  </a:defRPr>
                </a:pPr>
                <a:r>
                  <a:rPr sz="1800" b="0" i="0">
                    <a:solidFill>
                      <a:srgbClr val="000000"/>
                    </a:solidFill>
                    <a:latin typeface="Roboto"/>
                  </a:rPr>
                  <a:t>Year</a:t>
                </a:r>
              </a:p>
            </c:rich>
          </c:tx>
          <c:overlay val="0"/>
        </c:title>
        <c:numFmt formatCode="General" sourceLinked="1"/>
        <c:majorTickMark val="none"/>
        <c:minorTickMark val="none"/>
        <c:tickLblPos val="nextTo"/>
        <c:txPr>
          <a:bodyPr/>
          <a:lstStyle/>
          <a:p>
            <a:pPr lvl="0">
              <a:defRPr sz="1400" b="0" i="0">
                <a:solidFill>
                  <a:srgbClr val="000000"/>
                </a:solidFill>
                <a:latin typeface="Roboto"/>
              </a:defRPr>
            </a:pPr>
            <a:endParaRPr lang=""/>
          </a:p>
        </c:txPr>
        <c:crossAx val="-1796951344"/>
        <c:crosses val="autoZero"/>
        <c:auto val="1"/>
        <c:lblAlgn val="ctr"/>
        <c:lblOffset val="100"/>
        <c:noMultiLvlLbl val="1"/>
      </c:catAx>
      <c:valAx>
        <c:axId val="-1796951344"/>
        <c:scaling>
          <c:orientation val="minMax"/>
          <c:max val="22"/>
        </c:scaling>
        <c:delete val="0"/>
        <c:axPos val="l"/>
        <c:minorGridlines>
          <c:spPr>
            <a:ln>
              <a:solidFill>
                <a:srgbClr val="CCCCCC">
                  <a:alpha val="0"/>
                </a:srgbClr>
              </a:solidFill>
            </a:ln>
          </c:spPr>
        </c:minorGridlines>
        <c:title>
          <c:tx>
            <c:rich>
              <a:bodyPr/>
              <a:lstStyle/>
              <a:p>
                <a:pPr lvl="0">
                  <a:defRPr sz="1800" b="0" i="0">
                    <a:solidFill>
                      <a:srgbClr val="000000"/>
                    </a:solidFill>
                    <a:latin typeface="Roboto"/>
                  </a:defRPr>
                </a:pPr>
                <a:r>
                  <a:rPr sz="1800" b="0" i="0">
                    <a:solidFill>
                      <a:srgbClr val="000000"/>
                    </a:solidFill>
                    <a:latin typeface="Roboto"/>
                  </a:rPr>
                  <a:t>Number of Publications</a:t>
                </a:r>
              </a:p>
            </c:rich>
          </c:tx>
          <c:overlay val="0"/>
        </c:title>
        <c:numFmt formatCode="General" sourceLinked="1"/>
        <c:majorTickMark val="none"/>
        <c:minorTickMark val="none"/>
        <c:tickLblPos val="nextTo"/>
        <c:spPr>
          <a:ln/>
        </c:spPr>
        <c:txPr>
          <a:bodyPr/>
          <a:lstStyle/>
          <a:p>
            <a:pPr lvl="0">
              <a:defRPr sz="1400" b="0" i="0">
                <a:solidFill>
                  <a:srgbClr val="000000"/>
                </a:solidFill>
                <a:latin typeface="Roboto"/>
              </a:defRPr>
            </a:pPr>
            <a:endParaRPr lang=""/>
          </a:p>
        </c:txPr>
        <c:crossAx val="-1796944272"/>
        <c:crosses val="autoZero"/>
        <c:crossBetween val="between"/>
      </c:valAx>
    </c:plotArea>
    <c:legend>
      <c:legendPos val="r"/>
      <c:overlay val="0"/>
      <c:txPr>
        <a:bodyPr/>
        <a:lstStyle/>
        <a:p>
          <a:pPr lvl="0">
            <a:defRPr sz="1400" b="0" i="0">
              <a:solidFill>
                <a:srgbClr val="1A1A1A"/>
              </a:solidFill>
              <a:latin typeface="Roboto"/>
            </a:defRPr>
          </a:pPr>
          <a:endParaRPr lang=""/>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0" Type="http://schemas.openxmlformats.org/officeDocument/2006/relationships/chart" Target="../charts/chart14.xml"/><Relationship Id="rId4" Type="http://schemas.openxmlformats.org/officeDocument/2006/relationships/chart" Target="../charts/chart8.xml"/><Relationship Id="rId9"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oneCellAnchor>
    <xdr:from>
      <xdr:col>4</xdr:col>
      <xdr:colOff>895350</xdr:colOff>
      <xdr:row>4</xdr:row>
      <xdr:rowOff>47625</xdr:rowOff>
    </xdr:from>
    <xdr:ext cx="4572000" cy="2809875"/>
    <xdr:graphicFrame macro="">
      <xdr:nvGraphicFramePr>
        <xdr:cNvPr id="2054166355" name="Chart 1"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7</xdr:col>
      <xdr:colOff>0</xdr:colOff>
      <xdr:row>18</xdr:row>
      <xdr:rowOff>228600</xdr:rowOff>
    </xdr:from>
    <xdr:ext cx="6877050" cy="5534025"/>
    <xdr:graphicFrame macro="">
      <xdr:nvGraphicFramePr>
        <xdr:cNvPr id="2100244398" name="Chart 2"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0</xdr:colOff>
      <xdr:row>43</xdr:row>
      <xdr:rowOff>123825</xdr:rowOff>
    </xdr:from>
    <xdr:ext cx="6877050" cy="5534025"/>
    <xdr:graphicFrame macro="">
      <xdr:nvGraphicFramePr>
        <xdr:cNvPr id="310578369" name="Chart 3"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2743200</xdr:colOff>
      <xdr:row>12</xdr:row>
      <xdr:rowOff>0</xdr:rowOff>
    </xdr:from>
    <xdr:ext cx="9096375" cy="4953000"/>
    <xdr:graphicFrame macro="">
      <xdr:nvGraphicFramePr>
        <xdr:cNvPr id="1938807629" name="Chart 4"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15</xdr:col>
      <xdr:colOff>600075</xdr:colOff>
      <xdr:row>135</xdr:row>
      <xdr:rowOff>0</xdr:rowOff>
    </xdr:from>
    <xdr:ext cx="5886450" cy="4095750"/>
    <xdr:graphicFrame macro="">
      <xdr:nvGraphicFramePr>
        <xdr:cNvPr id="2008955627" name="Chart 5"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20</xdr:col>
      <xdr:colOff>647700</xdr:colOff>
      <xdr:row>61</xdr:row>
      <xdr:rowOff>47625</xdr:rowOff>
    </xdr:from>
    <xdr:ext cx="5715000" cy="4352925"/>
    <xdr:graphicFrame macro="">
      <xdr:nvGraphicFramePr>
        <xdr:cNvPr id="1312561584" name="Chart 6"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3905250</xdr:colOff>
      <xdr:row>107</xdr:row>
      <xdr:rowOff>171450</xdr:rowOff>
    </xdr:from>
    <xdr:ext cx="5715000" cy="3533775"/>
    <xdr:graphicFrame macro="">
      <xdr:nvGraphicFramePr>
        <xdr:cNvPr id="1890148742" name="Chart 7"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2</xdr:col>
      <xdr:colOff>3905250</xdr:colOff>
      <xdr:row>107</xdr:row>
      <xdr:rowOff>171450</xdr:rowOff>
    </xdr:from>
    <xdr:ext cx="5715000" cy="3533775"/>
    <xdr:graphicFrame macro="">
      <xdr:nvGraphicFramePr>
        <xdr:cNvPr id="1697133334" name="Chart 8"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2</xdr:col>
      <xdr:colOff>3905250</xdr:colOff>
      <xdr:row>119</xdr:row>
      <xdr:rowOff>123825</xdr:rowOff>
    </xdr:from>
    <xdr:ext cx="5715000" cy="3533775"/>
    <xdr:graphicFrame macro="">
      <xdr:nvGraphicFramePr>
        <xdr:cNvPr id="193384125" name="Chart 9"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2</xdr:col>
      <xdr:colOff>3905250</xdr:colOff>
      <xdr:row>113</xdr:row>
      <xdr:rowOff>114300</xdr:rowOff>
    </xdr:from>
    <xdr:ext cx="5715000" cy="3533775"/>
    <xdr:graphicFrame macro="">
      <xdr:nvGraphicFramePr>
        <xdr:cNvPr id="1448503331" name="Chart 10"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2</xdr:col>
      <xdr:colOff>3905250</xdr:colOff>
      <xdr:row>115</xdr:row>
      <xdr:rowOff>238125</xdr:rowOff>
    </xdr:from>
    <xdr:ext cx="5715000" cy="3533775"/>
    <xdr:graphicFrame macro="">
      <xdr:nvGraphicFramePr>
        <xdr:cNvPr id="710205433" name="Chart 11"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2</xdr:col>
      <xdr:colOff>3905250</xdr:colOff>
      <xdr:row>110</xdr:row>
      <xdr:rowOff>19050</xdr:rowOff>
    </xdr:from>
    <xdr:ext cx="5715000" cy="3533775"/>
    <xdr:graphicFrame macro="">
      <xdr:nvGraphicFramePr>
        <xdr:cNvPr id="678084628" name="Chart 12"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2</xdr:col>
      <xdr:colOff>3905250</xdr:colOff>
      <xdr:row>110</xdr:row>
      <xdr:rowOff>19050</xdr:rowOff>
    </xdr:from>
    <xdr:ext cx="5715000" cy="3533775"/>
    <xdr:graphicFrame macro="">
      <xdr:nvGraphicFramePr>
        <xdr:cNvPr id="2013868934" name="Chart 13"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2</xdr:col>
      <xdr:colOff>3905250</xdr:colOff>
      <xdr:row>110</xdr:row>
      <xdr:rowOff>19050</xdr:rowOff>
    </xdr:from>
    <xdr:ext cx="5715000" cy="3533775"/>
    <xdr:graphicFrame macro="">
      <xdr:nvGraphicFramePr>
        <xdr:cNvPr id="539446131" name="Chart 14"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2</xdr:col>
      <xdr:colOff>3905250</xdr:colOff>
      <xdr:row>110</xdr:row>
      <xdr:rowOff>19050</xdr:rowOff>
    </xdr:from>
    <xdr:ext cx="5715000" cy="3533775"/>
    <xdr:graphicFrame macro="">
      <xdr:nvGraphicFramePr>
        <xdr:cNvPr id="1187006497" name="Chart 15"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13</xdr:col>
      <xdr:colOff>733425</xdr:colOff>
      <xdr:row>76</xdr:row>
      <xdr:rowOff>76200</xdr:rowOff>
    </xdr:from>
    <xdr:ext cx="5467350" cy="4181475"/>
    <xdr:graphicFrame macro="">
      <xdr:nvGraphicFramePr>
        <xdr:cNvPr id="1651504053" name="Chart 16"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13</xdr:col>
      <xdr:colOff>733425</xdr:colOff>
      <xdr:row>58</xdr:row>
      <xdr:rowOff>47625</xdr:rowOff>
    </xdr:from>
    <xdr:ext cx="5715000" cy="4352925"/>
    <xdr:graphicFrame macro="">
      <xdr:nvGraphicFramePr>
        <xdr:cNvPr id="723492037" name="Chart 17"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OnLoad="1" refreshedBy="Iffat Fatima" refreshedDate="45784.69581099537" refreshedVersion="5" recordCount="1004">
  <cacheSource type="worksheet">
    <worksheetSource ref="C1:E1005" sheet="citation_data"/>
  </cacheSource>
  <cacheFields count="3">
    <cacheField name="YEAR" numFmtId="0">
      <sharedItems containsString="0" containsBlank="1" containsNumber="1" containsInteger="1" minValue="2015" maxValue="2024" count="11">
        <n v="2015"/>
        <n v="2019"/>
        <n v="2016"/>
        <n v="2018"/>
        <n v="2020"/>
        <n v="2017"/>
        <n v="2021"/>
        <n v="2022"/>
        <n v="2023"/>
        <n v="2024"/>
        <m/>
      </sharedItems>
    </cacheField>
    <cacheField name="DOI" numFmtId="0">
      <sharedItems containsBlank="1"/>
    </cacheField>
    <cacheField name="CITATIONS (SORTED)" numFmtId="0">
      <sharedItems containsString="0" containsBlank="1" containsNumber="1" containsInteger="1" minValue="0" maxValue="13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04">
  <r>
    <x v="0"/>
    <s v="10.1109/icse.2015.179"/>
    <n v="130"/>
  </r>
  <r>
    <x v="1"/>
    <s v="10.1109/icse-seis.2019.00010"/>
    <n v="87"/>
  </r>
  <r>
    <x v="2"/>
    <s v="10.1145/2889160.2889219"/>
    <n v="38"/>
  </r>
  <r>
    <x v="3"/>
    <s v="10.1145/3183428.3183437"/>
    <n v="33"/>
  </r>
  <r>
    <x v="1"/>
    <s v="10.1109/icse-seis.2019.00015"/>
    <n v="29"/>
  </r>
  <r>
    <x v="3"/>
    <s v="10.1145/3183428.3183436"/>
    <n v="28"/>
  </r>
  <r>
    <x v="4"/>
    <s v="10.1145/3377815.3381382"/>
    <n v="28"/>
  </r>
  <r>
    <x v="1"/>
    <s v="10.1109/icse-seis.2019.00014"/>
    <n v="26"/>
  </r>
  <r>
    <x v="0"/>
    <s v="10.1109/icse.2015.181"/>
    <n v="21"/>
  </r>
  <r>
    <x v="5"/>
    <s v="10.1109/icse-seis.2017.2"/>
    <n v="21"/>
  </r>
  <r>
    <x v="5"/>
    <s v="10.1109/icse-seis.2017.3"/>
    <n v="21"/>
  </r>
  <r>
    <x v="4"/>
    <s v="10.1145/3377815.3381377"/>
    <n v="21"/>
  </r>
  <r>
    <x v="6"/>
    <s v="10.1109/icse-seis52602.2021.00012"/>
    <n v="21"/>
  </r>
  <r>
    <x v="1"/>
    <s v="10.1109/icse-seis.2019.00012"/>
    <n v="19"/>
  </r>
  <r>
    <x v="2"/>
    <s v="10.1145/2889160.2889216"/>
    <n v="18"/>
  </r>
  <r>
    <x v="1"/>
    <s v="10.1109/icse-seis.2019.00011"/>
    <n v="17"/>
  </r>
  <r>
    <x v="5"/>
    <s v="10.1109/icse-seis.2017.8"/>
    <n v="16"/>
  </r>
  <r>
    <x v="3"/>
    <s v="10.1145/3183428.3183434"/>
    <n v="16"/>
  </r>
  <r>
    <x v="2"/>
    <s v="10.1145/2889160.2889221"/>
    <n v="14"/>
  </r>
  <r>
    <x v="4"/>
    <s v="10.1145/3377815.3381380"/>
    <n v="14"/>
  </r>
  <r>
    <x v="5"/>
    <s v="10.1109/icse-seis.2017.10"/>
    <n v="13"/>
  </r>
  <r>
    <x v="3"/>
    <s v="10.1145/3183428.3183438"/>
    <n v="13"/>
  </r>
  <r>
    <x v="6"/>
    <s v="10.1109/icse-seis52602.2021.00009"/>
    <n v="12"/>
  </r>
  <r>
    <x v="6"/>
    <s v="10.1109/icse-seis52602.2021.00014"/>
    <n v="12"/>
  </r>
  <r>
    <x v="2"/>
    <s v="10.1145/2889160.2889218"/>
    <n v="11"/>
  </r>
  <r>
    <x v="7"/>
    <s v="10.1109/icse-seis55304.2022.9793931"/>
    <n v="11"/>
  </r>
  <r>
    <x v="0"/>
    <s v="10.1109/icse.2015.182"/>
    <n v="10"/>
  </r>
  <r>
    <x v="3"/>
    <s v="10.1145/3183428.3183435"/>
    <n v="10"/>
  </r>
  <r>
    <x v="6"/>
    <s v="10.1109/icse-seis52602.2021.00016"/>
    <n v="10"/>
  </r>
  <r>
    <x v="6"/>
    <s v="10.1109/icse-seis52602.2021.00018"/>
    <n v="10"/>
  </r>
  <r>
    <x v="5"/>
    <s v="10.1109/icse-seis.2017.4"/>
    <n v="9"/>
  </r>
  <r>
    <x v="4"/>
    <s v="10.1145/3377815.3381375"/>
    <n v="9"/>
  </r>
  <r>
    <x v="0"/>
    <s v="10.1109/icse.2015.187"/>
    <n v="8"/>
  </r>
  <r>
    <x v="3"/>
    <s v="10.1145/3183428.3183431"/>
    <n v="8"/>
  </r>
  <r>
    <x v="3"/>
    <s v="10.1145/3183428.3183430"/>
    <n v="8"/>
  </r>
  <r>
    <x v="0"/>
    <s v="10.1109/icse.2015.180"/>
    <n v="7"/>
  </r>
  <r>
    <x v="4"/>
    <s v="10.1145/3377815.3381378"/>
    <n v="7"/>
  </r>
  <r>
    <x v="7"/>
    <s v="10.1109/icse-seis55304.2022.9794009"/>
    <n v="7"/>
  </r>
  <r>
    <x v="0"/>
    <s v="10.1109/icse.2015.188"/>
    <n v="6"/>
  </r>
  <r>
    <x v="2"/>
    <s v="10.1145/2889160.2889220"/>
    <n v="6"/>
  </r>
  <r>
    <x v="3"/>
    <s v="10.1145/3183428.3183439"/>
    <n v="6"/>
  </r>
  <r>
    <x v="3"/>
    <s v="10.1145/3183428.3183433"/>
    <n v="6"/>
  </r>
  <r>
    <x v="6"/>
    <s v="10.1109/icse-seis52602.2021.00019"/>
    <n v="6"/>
  </r>
  <r>
    <x v="7"/>
    <s v="10.1109/icse-seis55304.2022.9793992"/>
    <n v="6"/>
  </r>
  <r>
    <x v="7"/>
    <s v="10.1109/icse-seis55304.2022.9794118"/>
    <n v="6"/>
  </r>
  <r>
    <x v="4"/>
    <s v="10.1145/3377815.3381372"/>
    <n v="5"/>
  </r>
  <r>
    <x v="4"/>
    <s v="10.1145/3377815.3381379"/>
    <n v="5"/>
  </r>
  <r>
    <x v="4"/>
    <s v="10.1145/3377815.3381381"/>
    <n v="5"/>
  </r>
  <r>
    <x v="0"/>
    <s v="10.1109/icse.2015.184"/>
    <n v="4"/>
  </r>
  <r>
    <x v="0"/>
    <s v="10.1109/icse.2015.185"/>
    <n v="4"/>
  </r>
  <r>
    <x v="0"/>
    <s v="10.1109/icse.2015.189"/>
    <n v="4"/>
  </r>
  <r>
    <x v="5"/>
    <s v="10.1109/icse-seis.2017.5"/>
    <n v="4"/>
  </r>
  <r>
    <x v="5"/>
    <s v="10.1109/icse-seis.2017.9"/>
    <n v="4"/>
  </r>
  <r>
    <x v="4"/>
    <s v="10.1145/3377815.3381376"/>
    <n v="4"/>
  </r>
  <r>
    <x v="6"/>
    <s v="10.1109/icse-seis52602.2021.00011"/>
    <n v="4"/>
  </r>
  <r>
    <x v="8"/>
    <s v="10.1109/icse-seis58686.2023.00024"/>
    <n v="4"/>
  </r>
  <r>
    <x v="9"/>
    <s v="10.1145/3639475.3640111"/>
    <n v="4"/>
  </r>
  <r>
    <x v="0"/>
    <s v="10.1109/icse.2015.183"/>
    <n v="3"/>
  </r>
  <r>
    <x v="1"/>
    <s v="10.1109/icse-seis.2019.00013"/>
    <n v="3"/>
  </r>
  <r>
    <x v="6"/>
    <s v="10.1109/icse-seis52602.2021.00013"/>
    <n v="3"/>
  </r>
  <r>
    <x v="6"/>
    <s v="10.1109/icse-seis52602.2021.00015"/>
    <n v="3"/>
  </r>
  <r>
    <x v="7"/>
    <s v="10.1109/icse-seis55304.2022.9793879"/>
    <n v="3"/>
  </r>
  <r>
    <x v="7"/>
    <s v="10.1109/icse-seis55304.2022.9794121"/>
    <n v="3"/>
  </r>
  <r>
    <x v="7"/>
    <s v="10.1109/icse-seis55304.2022.9794013"/>
    <n v="3"/>
  </r>
  <r>
    <x v="7"/>
    <s v="10.1109/icse-seis55304.2022.9794012"/>
    <n v="3"/>
  </r>
  <r>
    <x v="8"/>
    <s v="10.1109/icse-seis58686.2023.00011"/>
    <n v="3"/>
  </r>
  <r>
    <x v="8"/>
    <s v="10.1109/icse-seis58686.2023.00013"/>
    <n v="3"/>
  </r>
  <r>
    <x v="8"/>
    <s v="10.1109/icse-seis58686.2023.00017"/>
    <n v="3"/>
  </r>
  <r>
    <x v="8"/>
    <s v="10.1109/icse-seis58686.2023.00019"/>
    <n v="3"/>
  </r>
  <r>
    <x v="8"/>
    <s v="10.1109/icse-seis58686.2023.00025"/>
    <n v="3"/>
  </r>
  <r>
    <x v="5"/>
    <s v="10.1109/icse-seis.2017.7"/>
    <n v="2"/>
  </r>
  <r>
    <x v="4"/>
    <s v="10.1145/3377815.3381374"/>
    <n v="2"/>
  </r>
  <r>
    <x v="6"/>
    <s v="10.1109/icse-seis52602.2021.00010"/>
    <n v="2"/>
  </r>
  <r>
    <x v="7"/>
    <s v="10.1109/icse-seis55304.2022.9793933"/>
    <n v="2"/>
  </r>
  <r>
    <x v="7"/>
    <s v="10.1109/icse-seis55304.2022.9794018"/>
    <n v="2"/>
  </r>
  <r>
    <x v="8"/>
    <s v="10.1109/icse-seis58686.2023.00007"/>
    <n v="2"/>
  </r>
  <r>
    <x v="8"/>
    <s v="10.1109/icse-seis58686.2023.00008"/>
    <n v="2"/>
  </r>
  <r>
    <x v="8"/>
    <s v="10.1109/icse-seis58686.2023.00012"/>
    <n v="2"/>
  </r>
  <r>
    <x v="8"/>
    <s v="10.1109/icse-seis58686.2023.00018"/>
    <n v="2"/>
  </r>
  <r>
    <x v="0"/>
    <s v="10.1109/icse.2015.186"/>
    <n v="1"/>
  </r>
  <r>
    <x v="2"/>
    <s v="10.1145/2889160.2889215"/>
    <n v="1"/>
  </r>
  <r>
    <x v="5"/>
    <s v="10.1109/icse-seis.2017.6"/>
    <n v="1"/>
  </r>
  <r>
    <x v="3"/>
    <s v="10.1145/3238147.3241985"/>
    <n v="1"/>
  </r>
  <r>
    <x v="3"/>
    <s v="10.1145/3183428.3183432"/>
    <n v="1"/>
  </r>
  <r>
    <x v="7"/>
    <s v="10.1109/icse-seis55304.2022.9793895"/>
    <n v="1"/>
  </r>
  <r>
    <x v="7"/>
    <s v="10.1109/icse-seis55304.2022.9794024"/>
    <n v="1"/>
  </r>
  <r>
    <x v="8"/>
    <s v="10.1109/icse-seis58686.2023.00009"/>
    <n v="1"/>
  </r>
  <r>
    <x v="8"/>
    <s v="10.1109/icse-seis58686.2023.00014"/>
    <n v="1"/>
  </r>
  <r>
    <x v="8"/>
    <s v="10.1109/icse-seis58686.2023.00015"/>
    <n v="1"/>
  </r>
  <r>
    <x v="8"/>
    <s v="10.1109/icse-seis58686.2023.00020"/>
    <n v="1"/>
  </r>
  <r>
    <x v="8"/>
    <s v="10.1109/icse-seis58686.2023.00023"/>
    <n v="1"/>
  </r>
  <r>
    <x v="8"/>
    <s v="10.1109/icse-seis58686.2023.00026"/>
    <n v="1"/>
  </r>
  <r>
    <x v="9"/>
    <s v="10.1145/3639475.3640112"/>
    <n v="1"/>
  </r>
  <r>
    <x v="9"/>
    <s v="10.1145/3639475.3640105"/>
    <n v="1"/>
  </r>
  <r>
    <x v="9"/>
    <s v="10.1145/3639475.3640114"/>
    <n v="1"/>
  </r>
  <r>
    <x v="9"/>
    <s v="10.5220/0011991200003488"/>
    <n v="1"/>
  </r>
  <r>
    <x v="2"/>
    <s v="10.1201/9781315368665-2"/>
    <n v="0"/>
  </r>
  <r>
    <x v="3"/>
    <s v="10.1145/3183428.3183429"/>
    <n v="0"/>
  </r>
  <r>
    <x v="4"/>
    <s v="10.1007/978-3-030-50506-6_17"/>
    <n v="0"/>
  </r>
  <r>
    <x v="4"/>
    <s v="10.1109/re.2018.00057"/>
    <n v="0"/>
  </r>
  <r>
    <x v="6"/>
    <s v="10.1109/icse-companion52605.2021.00086"/>
    <n v="0"/>
  </r>
  <r>
    <x v="7"/>
    <s v="10.1109/icse-seis55304.2022.9793874"/>
    <n v="0"/>
  </r>
  <r>
    <x v="7"/>
    <s v="10.1109/icse-seis55304.2022.9793939"/>
    <n v="0"/>
  </r>
  <r>
    <x v="7"/>
    <s v="10.1109/icse-seis55304.2022.9793869"/>
    <n v="0"/>
  </r>
  <r>
    <x v="7"/>
    <s v="10.1109/icse-seis55304.2022.9793995"/>
    <n v="0"/>
  </r>
  <r>
    <x v="7"/>
    <s v="10.1109/icse-seis55304.2022.9793554"/>
    <n v="0"/>
  </r>
  <r>
    <x v="8"/>
    <s v="10.1109/icse-seis58686.2023.00010"/>
    <n v="0"/>
  </r>
  <r>
    <x v="8"/>
    <s v="10.1109/icse-seis58686.2023.00016"/>
    <n v="0"/>
  </r>
  <r>
    <x v="8"/>
    <s v="10.1109/icse-seis58686.2023.00021"/>
    <n v="0"/>
  </r>
  <r>
    <x v="8"/>
    <s v="10.1109/icse-seis58686.2023.00022"/>
    <n v="0"/>
  </r>
  <r>
    <x v="9"/>
    <s v="10.1145/3639475.3640099"/>
    <n v="0"/>
  </r>
  <r>
    <x v="9"/>
    <s v="10.1145/3639475.3640110"/>
    <n v="0"/>
  </r>
  <r>
    <x v="9"/>
    <s v="10.1145/3639475.3640101"/>
    <n v="0"/>
  </r>
  <r>
    <x v="9"/>
    <s v="10.1145/3639475.3640102"/>
    <n v="0"/>
  </r>
  <r>
    <x v="9"/>
    <s v="10.1145/3639475.3640107"/>
    <n v="0"/>
  </r>
  <r>
    <x v="9"/>
    <s v="10.1145/3639475.3640098"/>
    <n v="0"/>
  </r>
  <r>
    <x v="9"/>
    <s v="10.1145/3639475.3640113"/>
    <n v="0"/>
  </r>
  <r>
    <x v="9"/>
    <s v="10.1145/3639475.3640109"/>
    <n v="0"/>
  </r>
  <r>
    <x v="9"/>
    <s v="10.1145/3639475.3640104"/>
    <n v="0"/>
  </r>
  <r>
    <x v="9"/>
    <s v="10.1145/3639475.3640100"/>
    <n v="0"/>
  </r>
  <r>
    <x v="9"/>
    <s v="10.1145/3639475.3640106"/>
    <n v="0"/>
  </r>
  <r>
    <x v="9"/>
    <s v="10.1145/3639475.3640103"/>
    <n v="0"/>
  </r>
  <r>
    <x v="9"/>
    <s v="10.1145/3639475.3640108"/>
    <n v="0"/>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r>
    <x v="1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itation_pivot_table" cacheId="3" applyNumberFormats="0" applyBorderFormats="0" applyFontFormats="0" applyPatternFormats="0" applyAlignmentFormats="0" applyWidthHeightFormats="0" dataCaption="" updatedVersion="5" compact="0" compactData="0">
  <location ref="A1:B13" firstHeaderRow="1" firstDataRow="1" firstDataCol="1"/>
  <pivotFields count="3">
    <pivotField name="Year" axis="axisRow" compact="0" outline="0" multipleItemSelectionAllowed="1" showAll="0" sortType="ascending">
      <items count="12">
        <item x="0"/>
        <item x="2"/>
        <item x="5"/>
        <item x="3"/>
        <item x="1"/>
        <item x="4"/>
        <item x="6"/>
        <item x="7"/>
        <item x="8"/>
        <item x="9"/>
        <item x="10"/>
        <item t="default"/>
      </items>
    </pivotField>
    <pivotField name="DOI" compact="0" outline="0" multipleItemSelectionAllowed="1" showAll="0"/>
    <pivotField name="CITATIONS (SORTED)" dataField="1" compact="0" outline="0" multipleItemSelectionAllowed="1" showAll="0"/>
  </pivotFields>
  <rowFields count="1">
    <field x="0"/>
  </rowFields>
  <rowItems count="12">
    <i>
      <x/>
    </i>
    <i>
      <x v="1"/>
    </i>
    <i>
      <x v="2"/>
    </i>
    <i>
      <x v="3"/>
    </i>
    <i>
      <x v="4"/>
    </i>
    <i>
      <x v="5"/>
    </i>
    <i>
      <x v="6"/>
    </i>
    <i>
      <x v="7"/>
    </i>
    <i>
      <x v="8"/>
    </i>
    <i>
      <x v="9"/>
    </i>
    <i>
      <x v="10"/>
    </i>
    <i t="grand">
      <x/>
    </i>
  </rowItems>
  <colItems count="1">
    <i/>
  </colItems>
  <dataFields count="1">
    <dataField name="Citations" fld="2" baseField="0"/>
  </dataFields>
  <pivotTableStyleInfo showRowHeaders="1" showColHeaders="1" showRowStripes="0" showColStripes="0" showLastColumn="1"/>
</pivotTableDefinition>
</file>

<file path=xl/tables/table1.xml><?xml version="1.0" encoding="utf-8"?>
<table xmlns="http://schemas.openxmlformats.org/spreadsheetml/2006/main" id="1" name="Table_1" displayName="Table_1" ref="F3:F107" headerRowCount="0">
  <tableColumns count="1">
    <tableColumn id="1" name="Column1"/>
  </tableColumns>
  <tableStyleInfo name="keywords_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1005"/>
  <sheetViews>
    <sheetView tabSelected="1" topLeftCell="B1" workbookViewId="0"/>
  </sheetViews>
  <sheetFormatPr defaultColWidth="11.20703125" defaultRowHeight="15" customHeight="1"/>
  <cols>
    <col min="1" max="1" width="4.20703125" customWidth="1"/>
    <col min="2" max="2" width="85.125" customWidth="1"/>
    <col min="3" max="3" width="115.5390625" hidden="1" customWidth="1"/>
    <col min="4" max="4" width="8.20703125" customWidth="1"/>
    <col min="5" max="5" width="29.6640625" hidden="1" customWidth="1"/>
    <col min="7" max="7" width="10.6640625" customWidth="1"/>
  </cols>
  <sheetData>
    <row r="1" spans="1:6" ht="20.25" customHeight="1">
      <c r="A1" s="1" t="s">
        <v>0</v>
      </c>
      <c r="B1" s="1" t="s">
        <v>1</v>
      </c>
      <c r="C1" s="1" t="s">
        <v>2</v>
      </c>
      <c r="D1" s="1" t="s">
        <v>3</v>
      </c>
      <c r="E1" s="2" t="s">
        <v>4</v>
      </c>
      <c r="F1" s="3"/>
    </row>
    <row r="2" spans="1:6" ht="20.25" customHeight="1">
      <c r="A2" s="4" t="s">
        <v>5</v>
      </c>
      <c r="B2" s="5" t="s">
        <v>6</v>
      </c>
      <c r="C2" s="6" t="s">
        <v>7</v>
      </c>
      <c r="D2" s="7">
        <v>2015</v>
      </c>
      <c r="E2" s="8" t="s">
        <v>8</v>
      </c>
      <c r="F2" s="9"/>
    </row>
    <row r="3" spans="1:6" ht="20.25" customHeight="1">
      <c r="A3" s="4" t="s">
        <v>9</v>
      </c>
      <c r="B3" s="10" t="s">
        <v>10</v>
      </c>
      <c r="C3" s="6" t="s">
        <v>11</v>
      </c>
      <c r="D3" s="7">
        <v>2015</v>
      </c>
      <c r="E3" s="8" t="s">
        <v>12</v>
      </c>
      <c r="F3" s="9"/>
    </row>
    <row r="4" spans="1:6" ht="20.25" customHeight="1">
      <c r="A4" s="4" t="s">
        <v>13</v>
      </c>
      <c r="B4" s="5" t="s">
        <v>14</v>
      </c>
      <c r="C4" s="6" t="s">
        <v>15</v>
      </c>
      <c r="D4" s="7">
        <v>2015</v>
      </c>
      <c r="E4" s="8" t="s">
        <v>16</v>
      </c>
      <c r="F4" s="9"/>
    </row>
    <row r="5" spans="1:6" ht="20.25" customHeight="1">
      <c r="A5" s="4" t="s">
        <v>17</v>
      </c>
      <c r="B5" s="10" t="s">
        <v>18</v>
      </c>
      <c r="C5" s="6" t="s">
        <v>19</v>
      </c>
      <c r="D5" s="7">
        <v>2015</v>
      </c>
      <c r="E5" s="8" t="s">
        <v>20</v>
      </c>
      <c r="F5" s="9"/>
    </row>
    <row r="6" spans="1:6" ht="20.25" customHeight="1">
      <c r="A6" s="4" t="s">
        <v>21</v>
      </c>
      <c r="B6" s="5" t="s">
        <v>22</v>
      </c>
      <c r="C6" s="6" t="s">
        <v>23</v>
      </c>
      <c r="D6" s="7">
        <v>2015</v>
      </c>
      <c r="E6" s="8" t="s">
        <v>24</v>
      </c>
      <c r="F6" s="9"/>
    </row>
    <row r="7" spans="1:6" ht="20.25" customHeight="1">
      <c r="A7" s="4" t="s">
        <v>25</v>
      </c>
      <c r="B7" s="10" t="s">
        <v>26</v>
      </c>
      <c r="C7" s="6" t="s">
        <v>27</v>
      </c>
      <c r="D7" s="7">
        <v>2015</v>
      </c>
      <c r="E7" s="8" t="s">
        <v>28</v>
      </c>
      <c r="F7" s="9"/>
    </row>
    <row r="8" spans="1:6" ht="15.5">
      <c r="A8" s="4" t="s">
        <v>29</v>
      </c>
      <c r="B8" s="5" t="s">
        <v>30</v>
      </c>
      <c r="C8" s="6" t="s">
        <v>31</v>
      </c>
      <c r="D8" s="7">
        <v>2015</v>
      </c>
      <c r="E8" s="8"/>
      <c r="F8" s="9"/>
    </row>
    <row r="9" spans="1:6" ht="20.25" customHeight="1">
      <c r="A9" s="4" t="s">
        <v>32</v>
      </c>
      <c r="B9" s="10" t="s">
        <v>33</v>
      </c>
      <c r="C9" s="6" t="s">
        <v>34</v>
      </c>
      <c r="D9" s="7">
        <v>2015</v>
      </c>
      <c r="E9" s="8" t="s">
        <v>35</v>
      </c>
      <c r="F9" s="9"/>
    </row>
    <row r="10" spans="1:6" ht="20.25" customHeight="1">
      <c r="A10" s="4" t="s">
        <v>36</v>
      </c>
      <c r="B10" s="5" t="s">
        <v>37</v>
      </c>
      <c r="C10" s="6" t="s">
        <v>38</v>
      </c>
      <c r="D10" s="7">
        <v>2015</v>
      </c>
      <c r="E10" s="8" t="s">
        <v>39</v>
      </c>
      <c r="F10" s="9"/>
    </row>
    <row r="11" spans="1:6" ht="20.25" customHeight="1">
      <c r="A11" s="4" t="s">
        <v>40</v>
      </c>
      <c r="B11" s="10" t="s">
        <v>41</v>
      </c>
      <c r="C11" s="6" t="s">
        <v>42</v>
      </c>
      <c r="D11" s="7">
        <v>2015</v>
      </c>
      <c r="E11" s="8" t="s">
        <v>43</v>
      </c>
      <c r="F11" s="9"/>
    </row>
    <row r="12" spans="1:6" ht="20.25" customHeight="1">
      <c r="A12" s="4" t="s">
        <v>44</v>
      </c>
      <c r="B12" s="5" t="s">
        <v>45</v>
      </c>
      <c r="C12" s="6" t="s">
        <v>46</v>
      </c>
      <c r="D12" s="7">
        <v>2015</v>
      </c>
      <c r="E12" s="8" t="s">
        <v>47</v>
      </c>
      <c r="F12" s="9"/>
    </row>
    <row r="13" spans="1:6" ht="20.25" customHeight="1">
      <c r="A13" s="4" t="s">
        <v>48</v>
      </c>
      <c r="B13" s="11" t="s">
        <v>49</v>
      </c>
      <c r="C13" s="11" t="s">
        <v>50</v>
      </c>
      <c r="D13" s="12">
        <v>2016</v>
      </c>
      <c r="E13" s="8" t="s">
        <v>51</v>
      </c>
      <c r="F13" s="9"/>
    </row>
    <row r="14" spans="1:6" ht="20.25" customHeight="1">
      <c r="A14" s="4" t="s">
        <v>52</v>
      </c>
      <c r="B14" s="11" t="s">
        <v>53</v>
      </c>
      <c r="C14" s="11" t="s">
        <v>54</v>
      </c>
      <c r="D14" s="12">
        <v>2016</v>
      </c>
      <c r="E14" s="8" t="s">
        <v>55</v>
      </c>
      <c r="F14" s="9"/>
    </row>
    <row r="15" spans="1:6" ht="20.25" customHeight="1">
      <c r="A15" s="4" t="s">
        <v>56</v>
      </c>
      <c r="B15" s="11" t="s">
        <v>57</v>
      </c>
      <c r="C15" s="11" t="s">
        <v>58</v>
      </c>
      <c r="D15" s="12">
        <v>2016</v>
      </c>
      <c r="E15" s="8" t="s">
        <v>59</v>
      </c>
      <c r="F15" s="9"/>
    </row>
    <row r="16" spans="1:6" ht="20.25" customHeight="1">
      <c r="A16" s="4" t="s">
        <v>60</v>
      </c>
      <c r="B16" s="11" t="s">
        <v>61</v>
      </c>
      <c r="C16" s="11" t="s">
        <v>62</v>
      </c>
      <c r="D16" s="12">
        <v>2016</v>
      </c>
      <c r="E16" s="8" t="s">
        <v>63</v>
      </c>
      <c r="F16" s="9"/>
    </row>
    <row r="17" spans="1:7" ht="20.25" customHeight="1">
      <c r="A17" s="4" t="s">
        <v>64</v>
      </c>
      <c r="B17" s="11" t="s">
        <v>65</v>
      </c>
      <c r="C17" s="11" t="s">
        <v>66</v>
      </c>
      <c r="D17" s="12">
        <v>2016</v>
      </c>
      <c r="E17" s="8" t="s">
        <v>67</v>
      </c>
      <c r="F17" s="9"/>
    </row>
    <row r="18" spans="1:7" ht="20.25" customHeight="1">
      <c r="A18" s="4" t="s">
        <v>68</v>
      </c>
      <c r="B18" s="11" t="s">
        <v>69</v>
      </c>
      <c r="C18" s="11" t="s">
        <v>70</v>
      </c>
      <c r="D18" s="12">
        <v>2016</v>
      </c>
      <c r="E18" s="8" t="s">
        <v>71</v>
      </c>
      <c r="F18" s="9"/>
    </row>
    <row r="19" spans="1:7" ht="20.25" customHeight="1">
      <c r="A19" s="4" t="s">
        <v>72</v>
      </c>
      <c r="B19" s="11" t="s">
        <v>73</v>
      </c>
      <c r="C19" s="11" t="s">
        <v>74</v>
      </c>
      <c r="D19" s="12">
        <v>2016</v>
      </c>
      <c r="E19" s="8" t="s">
        <v>75</v>
      </c>
      <c r="F19" s="9"/>
    </row>
    <row r="20" spans="1:7" ht="20.25" customHeight="1">
      <c r="A20" s="4" t="s">
        <v>76</v>
      </c>
      <c r="B20" s="5" t="s">
        <v>77</v>
      </c>
      <c r="C20" s="6" t="s">
        <v>78</v>
      </c>
      <c r="D20" s="7">
        <v>2017</v>
      </c>
      <c r="E20" s="8" t="s">
        <v>79</v>
      </c>
      <c r="F20" s="9"/>
    </row>
    <row r="21" spans="1:7" ht="20.25" customHeight="1">
      <c r="A21" s="4" t="s">
        <v>80</v>
      </c>
      <c r="B21" s="10" t="s">
        <v>81</v>
      </c>
      <c r="C21" s="6" t="s">
        <v>82</v>
      </c>
      <c r="D21" s="7">
        <v>2017</v>
      </c>
      <c r="E21" s="8" t="s">
        <v>83</v>
      </c>
      <c r="F21" s="9"/>
    </row>
    <row r="22" spans="1:7" ht="20.25" customHeight="1">
      <c r="A22" s="4" t="s">
        <v>84</v>
      </c>
      <c r="B22" s="5" t="s">
        <v>85</v>
      </c>
      <c r="C22" s="6" t="s">
        <v>86</v>
      </c>
      <c r="D22" s="7">
        <v>2017</v>
      </c>
      <c r="E22" s="8" t="s">
        <v>87</v>
      </c>
      <c r="F22" s="9"/>
    </row>
    <row r="23" spans="1:7" ht="20.25" customHeight="1">
      <c r="A23" s="4" t="s">
        <v>88</v>
      </c>
      <c r="B23" s="10" t="s">
        <v>89</v>
      </c>
      <c r="C23" s="6" t="s">
        <v>90</v>
      </c>
      <c r="D23" s="7">
        <v>2017</v>
      </c>
      <c r="E23" s="8" t="s">
        <v>91</v>
      </c>
      <c r="F23" s="9"/>
    </row>
    <row r="24" spans="1:7" ht="20.25" customHeight="1">
      <c r="A24" s="4" t="s">
        <v>92</v>
      </c>
      <c r="B24" s="5" t="s">
        <v>93</v>
      </c>
      <c r="C24" s="6" t="s">
        <v>94</v>
      </c>
      <c r="D24" s="7">
        <v>2017</v>
      </c>
      <c r="E24" s="8" t="s">
        <v>95</v>
      </c>
      <c r="F24" s="9"/>
    </row>
    <row r="25" spans="1:7" ht="20.25" customHeight="1">
      <c r="A25" s="4" t="s">
        <v>96</v>
      </c>
      <c r="B25" s="10" t="s">
        <v>97</v>
      </c>
      <c r="C25" s="6" t="s">
        <v>98</v>
      </c>
      <c r="D25" s="7">
        <v>2017</v>
      </c>
      <c r="E25" s="8" t="s">
        <v>99</v>
      </c>
      <c r="F25" s="9"/>
    </row>
    <row r="26" spans="1:7" ht="20.25" customHeight="1">
      <c r="A26" s="4" t="s">
        <v>100</v>
      </c>
      <c r="B26" s="5" t="s">
        <v>101</v>
      </c>
      <c r="C26" s="6" t="s">
        <v>102</v>
      </c>
      <c r="D26" s="7">
        <v>2017</v>
      </c>
      <c r="E26" s="8" t="s">
        <v>103</v>
      </c>
      <c r="F26" s="9"/>
    </row>
    <row r="27" spans="1:7" ht="20.25" customHeight="1">
      <c r="A27" s="4" t="s">
        <v>104</v>
      </c>
      <c r="B27" s="10" t="s">
        <v>105</v>
      </c>
      <c r="C27" s="6" t="s">
        <v>106</v>
      </c>
      <c r="D27" s="7">
        <v>2017</v>
      </c>
      <c r="E27" s="8" t="s">
        <v>107</v>
      </c>
      <c r="F27" s="9"/>
    </row>
    <row r="28" spans="1:7" ht="20.25" customHeight="1">
      <c r="A28" s="4" t="s">
        <v>108</v>
      </c>
      <c r="B28" s="5" t="s">
        <v>109</v>
      </c>
      <c r="C28" s="6" t="s">
        <v>110</v>
      </c>
      <c r="D28" s="7">
        <v>2017</v>
      </c>
      <c r="E28" s="8" t="s">
        <v>111</v>
      </c>
      <c r="F28" s="9"/>
    </row>
    <row r="29" spans="1:7" ht="20.25" customHeight="1">
      <c r="A29" s="4" t="s">
        <v>112</v>
      </c>
      <c r="B29" s="11" t="s">
        <v>113</v>
      </c>
      <c r="C29" s="11" t="s">
        <v>114</v>
      </c>
      <c r="D29" s="12">
        <v>2018</v>
      </c>
      <c r="E29" s="8" t="s">
        <v>115</v>
      </c>
      <c r="F29" s="9"/>
    </row>
    <row r="30" spans="1:7" ht="20.25" customHeight="1">
      <c r="A30" s="4" t="s">
        <v>116</v>
      </c>
      <c r="B30" s="11" t="s">
        <v>117</v>
      </c>
      <c r="C30" s="11" t="s">
        <v>27</v>
      </c>
      <c r="D30" s="12">
        <v>2018</v>
      </c>
      <c r="E30" s="8" t="s">
        <v>118</v>
      </c>
      <c r="F30" s="9"/>
    </row>
    <row r="31" spans="1:7" ht="20.25" customHeight="1">
      <c r="A31" s="4" t="s">
        <v>119</v>
      </c>
      <c r="B31" s="11" t="s">
        <v>120</v>
      </c>
      <c r="C31" s="11" t="s">
        <v>121</v>
      </c>
      <c r="D31" s="12">
        <v>2018</v>
      </c>
      <c r="E31" s="8" t="s">
        <v>122</v>
      </c>
      <c r="F31" s="9"/>
    </row>
    <row r="32" spans="1:7" ht="20.25" customHeight="1">
      <c r="A32" s="4" t="s">
        <v>123</v>
      </c>
      <c r="B32" s="11" t="s">
        <v>124</v>
      </c>
      <c r="C32" s="11" t="s">
        <v>125</v>
      </c>
      <c r="D32" s="12">
        <v>2018</v>
      </c>
      <c r="E32" s="8" t="s">
        <v>126</v>
      </c>
      <c r="F32" s="9"/>
      <c r="G32" s="13"/>
    </row>
    <row r="33" spans="1:6" ht="20.25" customHeight="1">
      <c r="A33" s="4" t="s">
        <v>127</v>
      </c>
      <c r="B33" s="11" t="s">
        <v>128</v>
      </c>
      <c r="C33" s="11" t="s">
        <v>129</v>
      </c>
      <c r="D33" s="12">
        <v>2018</v>
      </c>
      <c r="E33" s="8" t="s">
        <v>130</v>
      </c>
      <c r="F33" s="9"/>
    </row>
    <row r="34" spans="1:6" ht="20.25" customHeight="1">
      <c r="A34" s="4" t="s">
        <v>131</v>
      </c>
      <c r="B34" s="11" t="s">
        <v>132</v>
      </c>
      <c r="C34" s="11" t="s">
        <v>133</v>
      </c>
      <c r="D34" s="12">
        <v>2018</v>
      </c>
      <c r="E34" s="8" t="s">
        <v>134</v>
      </c>
      <c r="F34" s="9"/>
    </row>
    <row r="35" spans="1:6" ht="20.25" customHeight="1">
      <c r="A35" s="4" t="s">
        <v>135</v>
      </c>
      <c r="B35" s="11" t="s">
        <v>136</v>
      </c>
      <c r="C35" s="11" t="s">
        <v>137</v>
      </c>
      <c r="D35" s="12">
        <v>2018</v>
      </c>
      <c r="E35" s="8" t="s">
        <v>138</v>
      </c>
      <c r="F35" s="9"/>
    </row>
    <row r="36" spans="1:6" ht="20.25" customHeight="1">
      <c r="A36" s="4" t="s">
        <v>139</v>
      </c>
      <c r="B36" s="11" t="s">
        <v>140</v>
      </c>
      <c r="C36" s="11" t="s">
        <v>141</v>
      </c>
      <c r="D36" s="12">
        <v>2018</v>
      </c>
      <c r="E36" s="8" t="s">
        <v>142</v>
      </c>
      <c r="F36" s="9"/>
    </row>
    <row r="37" spans="1:6" ht="20.25" customHeight="1">
      <c r="A37" s="4" t="s">
        <v>143</v>
      </c>
      <c r="B37" s="11" t="s">
        <v>144</v>
      </c>
      <c r="C37" s="11" t="s">
        <v>145</v>
      </c>
      <c r="D37" s="12">
        <v>2018</v>
      </c>
      <c r="E37" s="8" t="s">
        <v>146</v>
      </c>
      <c r="F37" s="9"/>
    </row>
    <row r="38" spans="1:6" ht="20.25" customHeight="1">
      <c r="A38" s="4" t="s">
        <v>147</v>
      </c>
      <c r="B38" s="11" t="s">
        <v>148</v>
      </c>
      <c r="C38" s="11" t="s">
        <v>149</v>
      </c>
      <c r="D38" s="12">
        <v>2018</v>
      </c>
      <c r="E38" s="8" t="s">
        <v>150</v>
      </c>
      <c r="F38" s="9"/>
    </row>
    <row r="39" spans="1:6" ht="20.25" customHeight="1">
      <c r="A39" s="4" t="s">
        <v>151</v>
      </c>
      <c r="B39" s="11" t="s">
        <v>152</v>
      </c>
      <c r="C39" s="11" t="s">
        <v>153</v>
      </c>
      <c r="D39" s="12">
        <v>2018</v>
      </c>
      <c r="E39" s="8" t="s">
        <v>154</v>
      </c>
      <c r="F39" s="9"/>
    </row>
    <row r="40" spans="1:6" ht="20.25" customHeight="1">
      <c r="A40" s="4" t="s">
        <v>155</v>
      </c>
      <c r="B40" s="11" t="s">
        <v>156</v>
      </c>
      <c r="C40" s="11" t="s">
        <v>157</v>
      </c>
      <c r="D40" s="12">
        <v>2018</v>
      </c>
      <c r="E40" s="8" t="s">
        <v>158</v>
      </c>
      <c r="F40" s="9"/>
    </row>
    <row r="41" spans="1:6" ht="20.25" customHeight="1">
      <c r="A41" s="4" t="s">
        <v>159</v>
      </c>
      <c r="B41" s="5" t="s">
        <v>160</v>
      </c>
      <c r="C41" s="6" t="s">
        <v>161</v>
      </c>
      <c r="D41" s="7">
        <v>2019</v>
      </c>
      <c r="E41" s="8" t="s">
        <v>162</v>
      </c>
      <c r="F41" s="9"/>
    </row>
    <row r="42" spans="1:6" ht="20.25" customHeight="1">
      <c r="A42" s="4" t="s">
        <v>163</v>
      </c>
      <c r="B42" s="10" t="s">
        <v>164</v>
      </c>
      <c r="C42" s="6" t="s">
        <v>165</v>
      </c>
      <c r="D42" s="7">
        <v>2019</v>
      </c>
      <c r="E42" s="8" t="s">
        <v>166</v>
      </c>
      <c r="F42" s="9"/>
    </row>
    <row r="43" spans="1:6" ht="20.25" customHeight="1">
      <c r="A43" s="4" t="s">
        <v>167</v>
      </c>
      <c r="B43" s="5" t="s">
        <v>168</v>
      </c>
      <c r="C43" s="6" t="s">
        <v>169</v>
      </c>
      <c r="D43" s="7">
        <v>2019</v>
      </c>
      <c r="E43" s="8" t="s">
        <v>170</v>
      </c>
      <c r="F43" s="9"/>
    </row>
    <row r="44" spans="1:6" ht="20.25" customHeight="1">
      <c r="A44" s="4" t="s">
        <v>171</v>
      </c>
      <c r="B44" s="10" t="s">
        <v>172</v>
      </c>
      <c r="C44" s="6" t="s">
        <v>173</v>
      </c>
      <c r="D44" s="7">
        <v>2019</v>
      </c>
      <c r="E44" s="8" t="s">
        <v>174</v>
      </c>
      <c r="F44" s="9"/>
    </row>
    <row r="45" spans="1:6" ht="20.25" customHeight="1">
      <c r="A45" s="4" t="s">
        <v>175</v>
      </c>
      <c r="B45" s="5" t="s">
        <v>176</v>
      </c>
      <c r="C45" s="6" t="s">
        <v>177</v>
      </c>
      <c r="D45" s="7">
        <v>2019</v>
      </c>
      <c r="E45" s="8" t="s">
        <v>178</v>
      </c>
      <c r="F45" s="9"/>
    </row>
    <row r="46" spans="1:6" ht="20.25" customHeight="1">
      <c r="A46" s="4" t="s">
        <v>179</v>
      </c>
      <c r="B46" s="10" t="s">
        <v>180</v>
      </c>
      <c r="C46" s="6" t="s">
        <v>181</v>
      </c>
      <c r="D46" s="7">
        <v>2019</v>
      </c>
      <c r="E46" s="8" t="s">
        <v>182</v>
      </c>
      <c r="F46" s="9"/>
    </row>
    <row r="47" spans="1:6" ht="20.25" customHeight="1">
      <c r="A47" s="4" t="s">
        <v>183</v>
      </c>
      <c r="B47" s="11" t="s">
        <v>184</v>
      </c>
      <c r="C47" s="11" t="s">
        <v>185</v>
      </c>
      <c r="D47" s="12">
        <v>2020</v>
      </c>
      <c r="E47" s="8" t="s">
        <v>186</v>
      </c>
      <c r="F47" s="9"/>
    </row>
    <row r="48" spans="1:6" ht="20.25" customHeight="1">
      <c r="A48" s="4" t="s">
        <v>187</v>
      </c>
      <c r="B48" s="11" t="s">
        <v>188</v>
      </c>
      <c r="C48" s="11" t="s">
        <v>189</v>
      </c>
      <c r="D48" s="12">
        <v>2020</v>
      </c>
      <c r="E48" s="8" t="s">
        <v>190</v>
      </c>
      <c r="F48" s="9"/>
    </row>
    <row r="49" spans="1:6" ht="20.25" customHeight="1">
      <c r="A49" s="4" t="s">
        <v>191</v>
      </c>
      <c r="B49" s="11" t="s">
        <v>192</v>
      </c>
      <c r="C49" s="11" t="s">
        <v>193</v>
      </c>
      <c r="D49" s="12">
        <v>2020</v>
      </c>
      <c r="E49" s="8" t="s">
        <v>194</v>
      </c>
      <c r="F49" s="9"/>
    </row>
    <row r="50" spans="1:6" ht="20.25" customHeight="1">
      <c r="A50" s="4" t="s">
        <v>195</v>
      </c>
      <c r="B50" s="11" t="s">
        <v>196</v>
      </c>
      <c r="C50" s="11" t="s">
        <v>197</v>
      </c>
      <c r="D50" s="12">
        <v>2020</v>
      </c>
      <c r="E50" s="8" t="s">
        <v>198</v>
      </c>
      <c r="F50" s="9"/>
    </row>
    <row r="51" spans="1:6" ht="20.25" customHeight="1">
      <c r="A51" s="4" t="s">
        <v>199</v>
      </c>
      <c r="B51" s="11" t="s">
        <v>200</v>
      </c>
      <c r="C51" s="11" t="s">
        <v>201</v>
      </c>
      <c r="D51" s="12">
        <v>2020</v>
      </c>
      <c r="E51" s="8" t="s">
        <v>202</v>
      </c>
      <c r="F51" s="9"/>
    </row>
    <row r="52" spans="1:6" ht="20.25" customHeight="1">
      <c r="A52" s="4" t="s">
        <v>203</v>
      </c>
      <c r="B52" s="11" t="s">
        <v>204</v>
      </c>
      <c r="C52" s="11" t="s">
        <v>205</v>
      </c>
      <c r="D52" s="12">
        <v>2020</v>
      </c>
      <c r="E52" s="8" t="s">
        <v>206</v>
      </c>
      <c r="F52" s="9"/>
    </row>
    <row r="53" spans="1:6" ht="20.25" customHeight="1">
      <c r="A53" s="4" t="s">
        <v>207</v>
      </c>
      <c r="B53" s="11" t="s">
        <v>208</v>
      </c>
      <c r="C53" s="11" t="s">
        <v>209</v>
      </c>
      <c r="D53" s="12">
        <v>2020</v>
      </c>
      <c r="E53" s="8" t="s">
        <v>210</v>
      </c>
      <c r="F53" s="9"/>
    </row>
    <row r="54" spans="1:6" ht="20.25" customHeight="1">
      <c r="A54" s="4" t="s">
        <v>211</v>
      </c>
      <c r="B54" s="11" t="s">
        <v>212</v>
      </c>
      <c r="C54" s="11" t="s">
        <v>213</v>
      </c>
      <c r="D54" s="12">
        <v>2020</v>
      </c>
      <c r="E54" s="8" t="s">
        <v>214</v>
      </c>
      <c r="F54" s="9"/>
    </row>
    <row r="55" spans="1:6" ht="20.25" customHeight="1">
      <c r="A55" s="4" t="s">
        <v>215</v>
      </c>
      <c r="B55" s="11" t="s">
        <v>216</v>
      </c>
      <c r="C55" s="11" t="s">
        <v>217</v>
      </c>
      <c r="D55" s="12">
        <v>2020</v>
      </c>
      <c r="E55" s="8" t="s">
        <v>218</v>
      </c>
      <c r="F55" s="9"/>
    </row>
    <row r="56" spans="1:6" ht="20.25" customHeight="1">
      <c r="A56" s="4" t="s">
        <v>219</v>
      </c>
      <c r="B56" s="11" t="s">
        <v>220</v>
      </c>
      <c r="C56" s="11" t="s">
        <v>221</v>
      </c>
      <c r="D56" s="12">
        <v>2020</v>
      </c>
      <c r="E56" s="8" t="s">
        <v>222</v>
      </c>
      <c r="F56" s="9"/>
    </row>
    <row r="57" spans="1:6" ht="20.25" customHeight="1">
      <c r="A57" s="4" t="s">
        <v>223</v>
      </c>
      <c r="B57" s="11" t="s">
        <v>224</v>
      </c>
      <c r="C57" s="11" t="s">
        <v>225</v>
      </c>
      <c r="D57" s="12">
        <v>2020</v>
      </c>
      <c r="E57" s="8" t="s">
        <v>226</v>
      </c>
      <c r="F57" s="9"/>
    </row>
    <row r="58" spans="1:6" ht="20.25" customHeight="1">
      <c r="A58" s="4" t="s">
        <v>227</v>
      </c>
      <c r="B58" s="11" t="s">
        <v>228</v>
      </c>
      <c r="C58" s="11" t="s">
        <v>229</v>
      </c>
      <c r="D58" s="12">
        <v>2020</v>
      </c>
      <c r="E58" s="8" t="s">
        <v>230</v>
      </c>
      <c r="F58" s="9"/>
    </row>
    <row r="59" spans="1:6" ht="20.25" customHeight="1">
      <c r="A59" s="4" t="s">
        <v>231</v>
      </c>
      <c r="B59" s="14" t="s">
        <v>232</v>
      </c>
      <c r="C59" s="15" t="s">
        <v>233</v>
      </c>
      <c r="D59" s="7">
        <v>2021</v>
      </c>
      <c r="E59" s="8" t="s">
        <v>234</v>
      </c>
      <c r="F59" s="9"/>
    </row>
    <row r="60" spans="1:6" ht="20.25" customHeight="1">
      <c r="A60" s="4" t="s">
        <v>235</v>
      </c>
      <c r="B60" s="16" t="s">
        <v>236</v>
      </c>
      <c r="C60" s="15" t="s">
        <v>237</v>
      </c>
      <c r="D60" s="7">
        <v>2021</v>
      </c>
      <c r="E60" s="8" t="s">
        <v>238</v>
      </c>
      <c r="F60" s="9"/>
    </row>
    <row r="61" spans="1:6" ht="20.25" customHeight="1">
      <c r="A61" s="4" t="s">
        <v>239</v>
      </c>
      <c r="B61" s="14" t="s">
        <v>240</v>
      </c>
      <c r="C61" s="15" t="s">
        <v>241</v>
      </c>
      <c r="D61" s="7">
        <v>2021</v>
      </c>
      <c r="E61" s="8" t="s">
        <v>242</v>
      </c>
      <c r="F61" s="9"/>
    </row>
    <row r="62" spans="1:6" ht="20.25" customHeight="1">
      <c r="A62" s="4" t="s">
        <v>243</v>
      </c>
      <c r="B62" s="16" t="s">
        <v>244</v>
      </c>
      <c r="C62" s="15" t="s">
        <v>245</v>
      </c>
      <c r="D62" s="7">
        <v>2021</v>
      </c>
      <c r="E62" s="8" t="s">
        <v>246</v>
      </c>
      <c r="F62" s="9"/>
    </row>
    <row r="63" spans="1:6" ht="20.25" customHeight="1">
      <c r="A63" s="4" t="s">
        <v>247</v>
      </c>
      <c r="B63" s="14" t="s">
        <v>248</v>
      </c>
      <c r="C63" s="15" t="s">
        <v>249</v>
      </c>
      <c r="D63" s="7">
        <v>2021</v>
      </c>
      <c r="E63" s="8" t="s">
        <v>250</v>
      </c>
      <c r="F63" s="9"/>
    </row>
    <row r="64" spans="1:6" ht="20.25" customHeight="1">
      <c r="A64" s="4" t="s">
        <v>251</v>
      </c>
      <c r="B64" s="16" t="s">
        <v>252</v>
      </c>
      <c r="C64" s="15" t="s">
        <v>253</v>
      </c>
      <c r="D64" s="7">
        <v>2021</v>
      </c>
      <c r="E64" s="8" t="s">
        <v>254</v>
      </c>
      <c r="F64" s="9"/>
    </row>
    <row r="65" spans="1:6" ht="20.25" customHeight="1">
      <c r="A65" s="4" t="s">
        <v>255</v>
      </c>
      <c r="B65" s="14" t="s">
        <v>256</v>
      </c>
      <c r="C65" s="15" t="s">
        <v>257</v>
      </c>
      <c r="D65" s="7">
        <v>2021</v>
      </c>
      <c r="E65" s="8" t="s">
        <v>258</v>
      </c>
      <c r="F65" s="9"/>
    </row>
    <row r="66" spans="1:6" ht="20.25" customHeight="1">
      <c r="A66" s="4" t="s">
        <v>259</v>
      </c>
      <c r="B66" s="16" t="s">
        <v>260</v>
      </c>
      <c r="C66" s="17" t="s">
        <v>261</v>
      </c>
      <c r="D66" s="7">
        <v>2021</v>
      </c>
      <c r="E66" s="8" t="s">
        <v>262</v>
      </c>
      <c r="F66" s="9"/>
    </row>
    <row r="67" spans="1:6" ht="20.25" customHeight="1">
      <c r="A67" s="4" t="s">
        <v>263</v>
      </c>
      <c r="B67" s="14" t="s">
        <v>264</v>
      </c>
      <c r="C67" s="17" t="s">
        <v>265</v>
      </c>
      <c r="D67" s="7">
        <v>2021</v>
      </c>
      <c r="E67" s="8" t="s">
        <v>266</v>
      </c>
      <c r="F67" s="9"/>
    </row>
    <row r="68" spans="1:6" ht="20.25" customHeight="1">
      <c r="A68" s="4" t="s">
        <v>267</v>
      </c>
      <c r="B68" s="16" t="s">
        <v>268</v>
      </c>
      <c r="C68" s="15" t="s">
        <v>269</v>
      </c>
      <c r="D68" s="7">
        <v>2021</v>
      </c>
      <c r="E68" s="8" t="s">
        <v>270</v>
      </c>
      <c r="F68" s="9"/>
    </row>
    <row r="69" spans="1:6" ht="20.25" customHeight="1">
      <c r="A69" s="4" t="s">
        <v>271</v>
      </c>
      <c r="B69" s="14" t="s">
        <v>272</v>
      </c>
      <c r="C69" s="15" t="s">
        <v>273</v>
      </c>
      <c r="D69" s="7">
        <v>2021</v>
      </c>
      <c r="E69" s="8" t="s">
        <v>274</v>
      </c>
      <c r="F69" s="9"/>
    </row>
    <row r="70" spans="1:6" ht="20.25" customHeight="1">
      <c r="A70" s="4" t="s">
        <v>275</v>
      </c>
      <c r="B70" s="11" t="s">
        <v>276</v>
      </c>
      <c r="C70" s="11" t="s">
        <v>277</v>
      </c>
      <c r="D70" s="12">
        <v>2022</v>
      </c>
      <c r="E70" s="8" t="s">
        <v>278</v>
      </c>
      <c r="F70" s="9"/>
    </row>
    <row r="71" spans="1:6" ht="20.25" customHeight="1">
      <c r="A71" s="4" t="s">
        <v>279</v>
      </c>
      <c r="B71" s="11" t="s">
        <v>280</v>
      </c>
      <c r="C71" s="11" t="s">
        <v>281</v>
      </c>
      <c r="D71" s="12">
        <v>2022</v>
      </c>
      <c r="E71" s="8" t="s">
        <v>282</v>
      </c>
      <c r="F71" s="9"/>
    </row>
    <row r="72" spans="1:6" ht="20.25" customHeight="1">
      <c r="A72" s="4" t="s">
        <v>283</v>
      </c>
      <c r="B72" s="11" t="s">
        <v>284</v>
      </c>
      <c r="C72" s="11" t="s">
        <v>285</v>
      </c>
      <c r="D72" s="12">
        <v>2022</v>
      </c>
      <c r="E72" s="8" t="s">
        <v>286</v>
      </c>
      <c r="F72" s="9"/>
    </row>
    <row r="73" spans="1:6" ht="20.25" customHeight="1">
      <c r="A73" s="4" t="s">
        <v>287</v>
      </c>
      <c r="B73" s="11" t="s">
        <v>288</v>
      </c>
      <c r="C73" s="11" t="s">
        <v>289</v>
      </c>
      <c r="D73" s="12">
        <v>2022</v>
      </c>
      <c r="E73" s="8" t="s">
        <v>290</v>
      </c>
      <c r="F73" s="9"/>
    </row>
    <row r="74" spans="1:6" ht="20.25" customHeight="1">
      <c r="A74" s="4" t="s">
        <v>291</v>
      </c>
      <c r="B74" s="11" t="s">
        <v>292</v>
      </c>
      <c r="C74" s="11" t="s">
        <v>293</v>
      </c>
      <c r="D74" s="12">
        <v>2022</v>
      </c>
      <c r="E74" s="8" t="s">
        <v>294</v>
      </c>
      <c r="F74" s="9"/>
    </row>
    <row r="75" spans="1:6" ht="20.25" customHeight="1">
      <c r="A75" s="4" t="s">
        <v>295</v>
      </c>
      <c r="B75" s="11" t="s">
        <v>296</v>
      </c>
      <c r="C75" s="11" t="s">
        <v>297</v>
      </c>
      <c r="D75" s="12">
        <v>2022</v>
      </c>
      <c r="E75" s="8" t="s">
        <v>298</v>
      </c>
      <c r="F75" s="9"/>
    </row>
    <row r="76" spans="1:6" ht="20.25" customHeight="1">
      <c r="A76" s="4" t="s">
        <v>299</v>
      </c>
      <c r="B76" s="11" t="s">
        <v>300</v>
      </c>
      <c r="C76" s="11" t="s">
        <v>301</v>
      </c>
      <c r="D76" s="12">
        <v>2022</v>
      </c>
      <c r="E76" s="8" t="s">
        <v>302</v>
      </c>
      <c r="F76" s="9"/>
    </row>
    <row r="77" spans="1:6" ht="20.25" customHeight="1">
      <c r="A77" s="4" t="s">
        <v>303</v>
      </c>
      <c r="B77" s="11" t="s">
        <v>304</v>
      </c>
      <c r="C77" s="11" t="s">
        <v>305</v>
      </c>
      <c r="D77" s="12">
        <v>2022</v>
      </c>
      <c r="E77" s="8" t="s">
        <v>306</v>
      </c>
      <c r="F77" s="9"/>
    </row>
    <row r="78" spans="1:6" ht="20.25" customHeight="1">
      <c r="A78" s="4" t="s">
        <v>307</v>
      </c>
      <c r="B78" s="11" t="s">
        <v>308</v>
      </c>
      <c r="C78" s="11" t="s">
        <v>309</v>
      </c>
      <c r="D78" s="12">
        <v>2022</v>
      </c>
      <c r="E78" s="8" t="s">
        <v>310</v>
      </c>
      <c r="F78" s="9"/>
    </row>
    <row r="79" spans="1:6" ht="20.25" customHeight="1">
      <c r="A79" s="4" t="s">
        <v>311</v>
      </c>
      <c r="B79" s="11" t="s">
        <v>312</v>
      </c>
      <c r="C79" s="11" t="s">
        <v>313</v>
      </c>
      <c r="D79" s="12">
        <v>2022</v>
      </c>
      <c r="E79" s="8" t="s">
        <v>314</v>
      </c>
      <c r="F79" s="9"/>
    </row>
    <row r="80" spans="1:6" ht="20.25" customHeight="1">
      <c r="A80" s="4" t="s">
        <v>315</v>
      </c>
      <c r="B80" s="11" t="s">
        <v>316</v>
      </c>
      <c r="C80" s="11" t="s">
        <v>317</v>
      </c>
      <c r="D80" s="12">
        <v>2022</v>
      </c>
      <c r="E80" s="8" t="s">
        <v>318</v>
      </c>
      <c r="F80" s="9"/>
    </row>
    <row r="81" spans="1:6" ht="20.25" customHeight="1">
      <c r="A81" s="4" t="s">
        <v>319</v>
      </c>
      <c r="B81" s="11" t="s">
        <v>320</v>
      </c>
      <c r="C81" s="11" t="s">
        <v>321</v>
      </c>
      <c r="D81" s="12">
        <v>2022</v>
      </c>
      <c r="E81" s="8" t="s">
        <v>322</v>
      </c>
      <c r="F81" s="9"/>
    </row>
    <row r="82" spans="1:6" ht="20.25" customHeight="1">
      <c r="A82" s="4" t="s">
        <v>323</v>
      </c>
      <c r="B82" s="11" t="s">
        <v>324</v>
      </c>
      <c r="C82" s="11" t="s">
        <v>325</v>
      </c>
      <c r="D82" s="12">
        <v>2022</v>
      </c>
      <c r="E82" s="8" t="s">
        <v>326</v>
      </c>
      <c r="F82" s="9"/>
    </row>
    <row r="83" spans="1:6" ht="20.25" customHeight="1">
      <c r="A83" s="4" t="s">
        <v>327</v>
      </c>
      <c r="B83" s="11" t="s">
        <v>328</v>
      </c>
      <c r="C83" s="11" t="s">
        <v>329</v>
      </c>
      <c r="D83" s="12">
        <v>2022</v>
      </c>
      <c r="E83" s="8" t="s">
        <v>330</v>
      </c>
      <c r="F83" s="9"/>
    </row>
    <row r="84" spans="1:6" ht="20.25" customHeight="1">
      <c r="A84" s="4" t="s">
        <v>331</v>
      </c>
      <c r="B84" s="11" t="s">
        <v>332</v>
      </c>
      <c r="C84" s="11" t="s">
        <v>333</v>
      </c>
      <c r="D84" s="12">
        <v>2022</v>
      </c>
      <c r="E84" s="8" t="s">
        <v>334</v>
      </c>
      <c r="F84" s="9"/>
    </row>
    <row r="85" spans="1:6" ht="20.25" customHeight="1">
      <c r="A85" s="4" t="s">
        <v>335</v>
      </c>
      <c r="B85" s="11" t="s">
        <v>336</v>
      </c>
      <c r="C85" s="11" t="s">
        <v>313</v>
      </c>
      <c r="D85" s="12">
        <v>2022</v>
      </c>
      <c r="E85" s="8" t="s">
        <v>337</v>
      </c>
      <c r="F85" s="9"/>
    </row>
    <row r="86" spans="1:6" ht="20.25" customHeight="1">
      <c r="A86" s="4" t="s">
        <v>338</v>
      </c>
      <c r="B86" s="11" t="s">
        <v>339</v>
      </c>
      <c r="C86" s="11" t="s">
        <v>340</v>
      </c>
      <c r="D86" s="12">
        <v>2022</v>
      </c>
      <c r="E86" s="8" t="s">
        <v>341</v>
      </c>
      <c r="F86" s="9"/>
    </row>
    <row r="87" spans="1:6" ht="20.25" customHeight="1">
      <c r="A87" s="4" t="s">
        <v>342</v>
      </c>
      <c r="B87" s="5" t="s">
        <v>343</v>
      </c>
      <c r="C87" s="6" t="s">
        <v>344</v>
      </c>
      <c r="D87" s="7">
        <v>2023</v>
      </c>
      <c r="E87" s="8" t="s">
        <v>345</v>
      </c>
      <c r="F87" s="9"/>
    </row>
    <row r="88" spans="1:6" ht="20.25" customHeight="1">
      <c r="A88" s="4" t="s">
        <v>346</v>
      </c>
      <c r="B88" s="10" t="s">
        <v>347</v>
      </c>
      <c r="C88" s="6" t="s">
        <v>348</v>
      </c>
      <c r="D88" s="7">
        <v>2023</v>
      </c>
      <c r="E88" s="8" t="s">
        <v>349</v>
      </c>
      <c r="F88" s="9"/>
    </row>
    <row r="89" spans="1:6" ht="20.25" customHeight="1">
      <c r="A89" s="4" t="s">
        <v>350</v>
      </c>
      <c r="B89" s="5" t="s">
        <v>351</v>
      </c>
      <c r="C89" s="6" t="s">
        <v>352</v>
      </c>
      <c r="D89" s="7">
        <v>2023</v>
      </c>
      <c r="E89" s="8" t="s">
        <v>353</v>
      </c>
      <c r="F89" s="9"/>
    </row>
    <row r="90" spans="1:6" ht="20.25" customHeight="1">
      <c r="A90" s="4" t="s">
        <v>354</v>
      </c>
      <c r="B90" s="6" t="s">
        <v>355</v>
      </c>
      <c r="C90" s="6" t="s">
        <v>356</v>
      </c>
      <c r="D90" s="7">
        <v>2023</v>
      </c>
      <c r="E90" s="8" t="s">
        <v>357</v>
      </c>
      <c r="F90" s="9"/>
    </row>
    <row r="91" spans="1:6" ht="20.25" customHeight="1">
      <c r="A91" s="4" t="s">
        <v>358</v>
      </c>
      <c r="B91" s="5" t="s">
        <v>359</v>
      </c>
      <c r="C91" s="6" t="s">
        <v>360</v>
      </c>
      <c r="D91" s="7">
        <v>2023</v>
      </c>
      <c r="E91" s="8" t="s">
        <v>361</v>
      </c>
      <c r="F91" s="9"/>
    </row>
    <row r="92" spans="1:6" ht="20.25" customHeight="1">
      <c r="A92" s="4" t="s">
        <v>362</v>
      </c>
      <c r="B92" s="10" t="s">
        <v>363</v>
      </c>
      <c r="C92" s="6" t="s">
        <v>364</v>
      </c>
      <c r="D92" s="7">
        <v>2023</v>
      </c>
      <c r="E92" s="8" t="s">
        <v>365</v>
      </c>
      <c r="F92" s="9"/>
    </row>
    <row r="93" spans="1:6" ht="20.25" customHeight="1">
      <c r="A93" s="4" t="s">
        <v>366</v>
      </c>
      <c r="B93" s="5" t="s">
        <v>367</v>
      </c>
      <c r="C93" s="6" t="s">
        <v>368</v>
      </c>
      <c r="D93" s="7">
        <v>2023</v>
      </c>
      <c r="E93" s="8" t="s">
        <v>369</v>
      </c>
      <c r="F93" s="9"/>
    </row>
    <row r="94" spans="1:6" ht="20.25" customHeight="1">
      <c r="A94" s="4" t="s">
        <v>370</v>
      </c>
      <c r="B94" s="10" t="s">
        <v>371</v>
      </c>
      <c r="C94" s="6" t="s">
        <v>372</v>
      </c>
      <c r="D94" s="7">
        <v>2023</v>
      </c>
      <c r="E94" s="8" t="s">
        <v>373</v>
      </c>
      <c r="F94" s="9"/>
    </row>
    <row r="95" spans="1:6" ht="20.25" customHeight="1">
      <c r="A95" s="4" t="s">
        <v>374</v>
      </c>
      <c r="B95" s="5" t="s">
        <v>375</v>
      </c>
      <c r="C95" s="6" t="s">
        <v>376</v>
      </c>
      <c r="D95" s="7">
        <v>2023</v>
      </c>
      <c r="E95" s="8" t="s">
        <v>377</v>
      </c>
      <c r="F95" s="9"/>
    </row>
    <row r="96" spans="1:6" ht="20.25" customHeight="1">
      <c r="A96" s="4" t="s">
        <v>378</v>
      </c>
      <c r="B96" s="10" t="s">
        <v>379</v>
      </c>
      <c r="C96" s="6" t="s">
        <v>380</v>
      </c>
      <c r="D96" s="7">
        <v>2023</v>
      </c>
      <c r="E96" s="8" t="s">
        <v>381</v>
      </c>
      <c r="F96" s="9"/>
    </row>
    <row r="97" spans="1:6" ht="20.25" customHeight="1">
      <c r="A97" s="4" t="s">
        <v>382</v>
      </c>
      <c r="B97" s="5" t="s">
        <v>383</v>
      </c>
      <c r="C97" s="6" t="s">
        <v>384</v>
      </c>
      <c r="D97" s="7">
        <v>2023</v>
      </c>
      <c r="E97" s="8" t="s">
        <v>385</v>
      </c>
      <c r="F97" s="9"/>
    </row>
    <row r="98" spans="1:6" ht="20.25" customHeight="1">
      <c r="A98" s="4" t="s">
        <v>386</v>
      </c>
      <c r="B98" s="10" t="s">
        <v>387</v>
      </c>
      <c r="C98" s="6" t="s">
        <v>388</v>
      </c>
      <c r="D98" s="7">
        <v>2023</v>
      </c>
      <c r="E98" s="8" t="s">
        <v>389</v>
      </c>
      <c r="F98" s="9"/>
    </row>
    <row r="99" spans="1:6" ht="20.25" customHeight="1">
      <c r="A99" s="4" t="s">
        <v>390</v>
      </c>
      <c r="B99" s="5" t="s">
        <v>391</v>
      </c>
      <c r="C99" s="6" t="s">
        <v>392</v>
      </c>
      <c r="D99" s="7">
        <v>2023</v>
      </c>
      <c r="E99" s="8" t="s">
        <v>393</v>
      </c>
      <c r="F99" s="9"/>
    </row>
    <row r="100" spans="1:6" ht="20.25" customHeight="1">
      <c r="A100" s="4" t="s">
        <v>394</v>
      </c>
      <c r="B100" s="10" t="s">
        <v>395</v>
      </c>
      <c r="C100" s="6" t="s">
        <v>396</v>
      </c>
      <c r="D100" s="7">
        <v>2023</v>
      </c>
      <c r="E100" s="8" t="s">
        <v>397</v>
      </c>
      <c r="F100" s="9"/>
    </row>
    <row r="101" spans="1:6" ht="20.25" customHeight="1">
      <c r="A101" s="4" t="s">
        <v>398</v>
      </c>
      <c r="B101" s="5" t="s">
        <v>399</v>
      </c>
      <c r="C101" s="6" t="s">
        <v>400</v>
      </c>
      <c r="D101" s="7">
        <v>2023</v>
      </c>
      <c r="E101" s="8" t="s">
        <v>401</v>
      </c>
      <c r="F101" s="9"/>
    </row>
    <row r="102" spans="1:6" ht="20.25" customHeight="1">
      <c r="A102" s="4" t="s">
        <v>402</v>
      </c>
      <c r="B102" s="10" t="s">
        <v>403</v>
      </c>
      <c r="C102" s="6" t="s">
        <v>404</v>
      </c>
      <c r="D102" s="7">
        <v>2023</v>
      </c>
      <c r="E102" s="8" t="s">
        <v>405</v>
      </c>
      <c r="F102" s="9"/>
    </row>
    <row r="103" spans="1:6" ht="20.25" customHeight="1">
      <c r="A103" s="4" t="s">
        <v>406</v>
      </c>
      <c r="B103" s="5" t="s">
        <v>407</v>
      </c>
      <c r="C103" s="6" t="s">
        <v>408</v>
      </c>
      <c r="D103" s="7">
        <v>2023</v>
      </c>
      <c r="E103" s="8" t="s">
        <v>409</v>
      </c>
      <c r="F103" s="9"/>
    </row>
    <row r="104" spans="1:6" ht="20.25" customHeight="1">
      <c r="A104" s="4" t="s">
        <v>410</v>
      </c>
      <c r="B104" s="10" t="s">
        <v>411</v>
      </c>
      <c r="C104" s="6" t="s">
        <v>412</v>
      </c>
      <c r="D104" s="7">
        <v>2023</v>
      </c>
      <c r="E104" s="8" t="s">
        <v>413</v>
      </c>
      <c r="F104" s="9"/>
    </row>
    <row r="105" spans="1:6" ht="20.25" customHeight="1">
      <c r="A105" s="4" t="s">
        <v>414</v>
      </c>
      <c r="B105" s="5" t="s">
        <v>415</v>
      </c>
      <c r="C105" s="6" t="s">
        <v>416</v>
      </c>
      <c r="D105" s="7">
        <v>2023</v>
      </c>
      <c r="E105" s="8" t="s">
        <v>417</v>
      </c>
      <c r="F105" s="9"/>
    </row>
    <row r="106" spans="1:6" ht="20.25" customHeight="1">
      <c r="A106" s="4" t="s">
        <v>418</v>
      </c>
      <c r="B106" s="10" t="s">
        <v>419</v>
      </c>
      <c r="C106" s="6" t="s">
        <v>420</v>
      </c>
      <c r="D106" s="7">
        <v>2023</v>
      </c>
      <c r="E106" s="8" t="s">
        <v>421</v>
      </c>
      <c r="F106" s="9"/>
    </row>
    <row r="107" spans="1:6" ht="20.25" customHeight="1">
      <c r="A107" s="4" t="s">
        <v>422</v>
      </c>
      <c r="B107" s="18" t="s">
        <v>423</v>
      </c>
      <c r="C107" s="18" t="s">
        <v>424</v>
      </c>
      <c r="D107" s="19">
        <v>2024</v>
      </c>
      <c r="E107" s="8" t="s">
        <v>425</v>
      </c>
      <c r="F107" s="9"/>
    </row>
    <row r="108" spans="1:6" ht="20.25" customHeight="1">
      <c r="A108" s="4" t="s">
        <v>426</v>
      </c>
      <c r="B108" s="18" t="s">
        <v>427</v>
      </c>
      <c r="C108" s="18" t="s">
        <v>428</v>
      </c>
      <c r="D108" s="19">
        <v>2024</v>
      </c>
      <c r="E108" s="8" t="s">
        <v>429</v>
      </c>
      <c r="F108" s="9"/>
    </row>
    <row r="109" spans="1:6" ht="20.25" customHeight="1">
      <c r="A109" s="4" t="s">
        <v>430</v>
      </c>
      <c r="B109" s="18" t="s">
        <v>431</v>
      </c>
      <c r="C109" s="18" t="s">
        <v>432</v>
      </c>
      <c r="D109" s="19">
        <v>2024</v>
      </c>
      <c r="E109" s="8" t="s">
        <v>433</v>
      </c>
      <c r="F109" s="9"/>
    </row>
    <row r="110" spans="1:6" ht="20.25" customHeight="1">
      <c r="A110" s="4" t="s">
        <v>434</v>
      </c>
      <c r="B110" s="18" t="s">
        <v>435</v>
      </c>
      <c r="C110" s="18" t="s">
        <v>436</v>
      </c>
      <c r="D110" s="19">
        <v>2024</v>
      </c>
      <c r="E110" s="8" t="s">
        <v>437</v>
      </c>
      <c r="F110" s="9"/>
    </row>
    <row r="111" spans="1:6" ht="20.25" customHeight="1">
      <c r="A111" s="4" t="s">
        <v>438</v>
      </c>
      <c r="B111" s="18" t="s">
        <v>439</v>
      </c>
      <c r="C111" s="18" t="s">
        <v>440</v>
      </c>
      <c r="D111" s="19">
        <v>2024</v>
      </c>
      <c r="E111" s="8" t="s">
        <v>441</v>
      </c>
      <c r="F111" s="9"/>
    </row>
    <row r="112" spans="1:6" ht="20.25" customHeight="1">
      <c r="A112" s="4" t="s">
        <v>442</v>
      </c>
      <c r="B112" s="18" t="s">
        <v>443</v>
      </c>
      <c r="C112" s="18" t="s">
        <v>444</v>
      </c>
      <c r="D112" s="19">
        <v>2024</v>
      </c>
      <c r="E112" s="8" t="s">
        <v>445</v>
      </c>
      <c r="F112" s="9"/>
    </row>
    <row r="113" spans="1:6" ht="20.25" customHeight="1">
      <c r="A113" s="4" t="s">
        <v>446</v>
      </c>
      <c r="B113" s="18" t="s">
        <v>447</v>
      </c>
      <c r="C113" s="18" t="s">
        <v>448</v>
      </c>
      <c r="D113" s="19">
        <v>2024</v>
      </c>
      <c r="E113" s="8" t="s">
        <v>449</v>
      </c>
      <c r="F113" s="9"/>
    </row>
    <row r="114" spans="1:6" ht="20.25" customHeight="1">
      <c r="A114" s="4" t="s">
        <v>450</v>
      </c>
      <c r="B114" s="18" t="s">
        <v>451</v>
      </c>
      <c r="C114" s="18" t="s">
        <v>452</v>
      </c>
      <c r="D114" s="19">
        <v>2024</v>
      </c>
      <c r="E114" s="8" t="s">
        <v>453</v>
      </c>
      <c r="F114" s="9"/>
    </row>
    <row r="115" spans="1:6" ht="20.25" customHeight="1">
      <c r="A115" s="4" t="s">
        <v>454</v>
      </c>
      <c r="B115" s="18" t="s">
        <v>455</v>
      </c>
      <c r="C115" s="18" t="s">
        <v>456</v>
      </c>
      <c r="D115" s="19">
        <v>2024</v>
      </c>
      <c r="E115" s="8" t="s">
        <v>457</v>
      </c>
      <c r="F115" s="9"/>
    </row>
    <row r="116" spans="1:6" ht="20.25" customHeight="1">
      <c r="A116" s="4" t="s">
        <v>458</v>
      </c>
      <c r="B116" s="18" t="s">
        <v>459</v>
      </c>
      <c r="C116" s="18" t="s">
        <v>460</v>
      </c>
      <c r="D116" s="19">
        <v>2024</v>
      </c>
      <c r="E116" s="8" t="s">
        <v>461</v>
      </c>
      <c r="F116" s="9"/>
    </row>
    <row r="117" spans="1:6" ht="20.25" customHeight="1">
      <c r="A117" s="4" t="s">
        <v>462</v>
      </c>
      <c r="B117" s="18" t="s">
        <v>463</v>
      </c>
      <c r="C117" s="18" t="s">
        <v>464</v>
      </c>
      <c r="D117" s="19">
        <v>2024</v>
      </c>
      <c r="E117" s="8" t="s">
        <v>465</v>
      </c>
      <c r="F117" s="9"/>
    </row>
    <row r="118" spans="1:6" ht="20.25" customHeight="1">
      <c r="A118" s="4" t="s">
        <v>466</v>
      </c>
      <c r="B118" s="18" t="s">
        <v>467</v>
      </c>
      <c r="C118" s="18" t="s">
        <v>468</v>
      </c>
      <c r="D118" s="19">
        <v>2024</v>
      </c>
      <c r="E118" s="8" t="s">
        <v>469</v>
      </c>
      <c r="F118" s="9"/>
    </row>
    <row r="119" spans="1:6" ht="20.25" customHeight="1">
      <c r="A119" s="4" t="s">
        <v>470</v>
      </c>
      <c r="B119" s="18" t="s">
        <v>471</v>
      </c>
      <c r="C119" s="18" t="s">
        <v>472</v>
      </c>
      <c r="D119" s="19">
        <v>2024</v>
      </c>
      <c r="E119" s="8" t="s">
        <v>473</v>
      </c>
      <c r="F119" s="9"/>
    </row>
    <row r="120" spans="1:6" ht="20.25" customHeight="1">
      <c r="A120" s="4" t="s">
        <v>474</v>
      </c>
      <c r="B120" s="18" t="s">
        <v>475</v>
      </c>
      <c r="C120" s="18" t="s">
        <v>476</v>
      </c>
      <c r="D120" s="19">
        <v>2024</v>
      </c>
      <c r="E120" s="8" t="s">
        <v>477</v>
      </c>
      <c r="F120" s="9"/>
    </row>
    <row r="121" spans="1:6" ht="20.25" customHeight="1">
      <c r="A121" s="4" t="s">
        <v>478</v>
      </c>
      <c r="B121" s="18" t="s">
        <v>479</v>
      </c>
      <c r="C121" s="18" t="s">
        <v>480</v>
      </c>
      <c r="D121" s="19">
        <v>2024</v>
      </c>
      <c r="E121" s="8" t="s">
        <v>481</v>
      </c>
      <c r="F121" s="9"/>
    </row>
    <row r="122" spans="1:6" ht="20.25" customHeight="1">
      <c r="A122" s="4" t="s">
        <v>482</v>
      </c>
      <c r="B122" s="18" t="s">
        <v>483</v>
      </c>
      <c r="C122" s="18" t="s">
        <v>484</v>
      </c>
      <c r="D122" s="19">
        <v>2024</v>
      </c>
      <c r="E122" s="8" t="s">
        <v>485</v>
      </c>
      <c r="F122" s="9"/>
    </row>
    <row r="123" spans="1:6" ht="20.25" customHeight="1">
      <c r="A123" s="4" t="s">
        <v>486</v>
      </c>
      <c r="B123" s="18" t="s">
        <v>487</v>
      </c>
      <c r="C123" s="18" t="s">
        <v>488</v>
      </c>
      <c r="D123" s="19">
        <v>2024</v>
      </c>
      <c r="E123" s="8" t="s">
        <v>489</v>
      </c>
      <c r="F123" s="9"/>
    </row>
    <row r="124" spans="1:6" ht="20.25" customHeight="1">
      <c r="A124" s="4" t="s">
        <v>490</v>
      </c>
      <c r="B124" s="18" t="s">
        <v>491</v>
      </c>
      <c r="C124" s="18" t="s">
        <v>492</v>
      </c>
      <c r="D124" s="19">
        <v>2024</v>
      </c>
      <c r="E124" s="8" t="s">
        <v>493</v>
      </c>
      <c r="F124" s="9"/>
    </row>
    <row r="125" spans="1:6" ht="20.25" customHeight="1">
      <c r="A125" s="20"/>
      <c r="B125" s="21"/>
      <c r="C125" s="22"/>
      <c r="E125" s="8"/>
      <c r="F125" s="8"/>
    </row>
    <row r="126" spans="1:6" ht="20.25" customHeight="1">
      <c r="A126" s="20"/>
      <c r="B126" s="21"/>
      <c r="C126" s="22"/>
      <c r="E126" s="8"/>
      <c r="F126" s="8"/>
    </row>
    <row r="127" spans="1:6" ht="20.25" customHeight="1">
      <c r="A127" s="20"/>
      <c r="B127" s="21"/>
      <c r="C127" s="22"/>
      <c r="E127" s="8"/>
      <c r="F127" s="8"/>
    </row>
    <row r="128" spans="1:6" ht="20.25" customHeight="1">
      <c r="A128" s="20"/>
      <c r="B128" s="21"/>
      <c r="C128" s="22"/>
      <c r="E128" s="8"/>
      <c r="F128" s="8"/>
    </row>
    <row r="129" spans="1:6" ht="20.25" customHeight="1">
      <c r="A129" s="20"/>
      <c r="B129" s="21"/>
      <c r="C129" s="22"/>
      <c r="E129" s="8"/>
      <c r="F129" s="8"/>
    </row>
    <row r="130" spans="1:6" ht="20.25" customHeight="1">
      <c r="A130" s="20"/>
      <c r="B130" s="21"/>
      <c r="C130" s="22"/>
      <c r="E130" s="8"/>
      <c r="F130" s="8"/>
    </row>
    <row r="131" spans="1:6" ht="20.25" customHeight="1">
      <c r="A131" s="20"/>
      <c r="B131" s="21"/>
      <c r="C131" s="22"/>
      <c r="E131" s="8"/>
      <c r="F131" s="8"/>
    </row>
    <row r="132" spans="1:6" ht="20.25" customHeight="1">
      <c r="A132" s="20"/>
      <c r="B132" s="21"/>
      <c r="C132" s="22"/>
      <c r="E132" s="8"/>
      <c r="F132" s="8"/>
    </row>
    <row r="133" spans="1:6" ht="20.25" customHeight="1">
      <c r="A133" s="20"/>
      <c r="B133" s="21"/>
      <c r="C133" s="22"/>
      <c r="E133" s="8"/>
      <c r="F133" s="8"/>
    </row>
    <row r="134" spans="1:6" ht="20.25" customHeight="1">
      <c r="A134" s="20"/>
      <c r="B134" s="21"/>
      <c r="C134" s="22"/>
      <c r="E134" s="8"/>
      <c r="F134" s="8"/>
    </row>
    <row r="135" spans="1:6" ht="20.25" customHeight="1">
      <c r="A135" s="20"/>
      <c r="B135" s="21"/>
      <c r="C135" s="22"/>
      <c r="E135" s="8"/>
      <c r="F135" s="8"/>
    </row>
    <row r="136" spans="1:6" ht="20.25" customHeight="1">
      <c r="A136" s="20"/>
      <c r="B136" s="21"/>
      <c r="C136" s="22"/>
      <c r="E136" s="8"/>
      <c r="F136" s="8"/>
    </row>
    <row r="137" spans="1:6" ht="20.25" customHeight="1">
      <c r="A137" s="20"/>
      <c r="B137" s="21"/>
      <c r="C137" s="22"/>
      <c r="E137" s="8"/>
      <c r="F137" s="8"/>
    </row>
    <row r="138" spans="1:6" ht="20.25" customHeight="1">
      <c r="A138" s="20"/>
      <c r="B138" s="21"/>
      <c r="C138" s="22"/>
      <c r="E138" s="8"/>
      <c r="F138" s="8"/>
    </row>
    <row r="139" spans="1:6" ht="20.25" customHeight="1">
      <c r="A139" s="20"/>
      <c r="B139" s="21"/>
      <c r="C139" s="22"/>
      <c r="E139" s="8"/>
      <c r="F139" s="8"/>
    </row>
    <row r="140" spans="1:6" ht="20.25" customHeight="1">
      <c r="A140" s="20"/>
      <c r="B140" s="21"/>
      <c r="C140" s="22"/>
      <c r="E140" s="8"/>
      <c r="F140" s="8"/>
    </row>
    <row r="141" spans="1:6" ht="20.25" customHeight="1">
      <c r="A141" s="20"/>
      <c r="B141" s="21"/>
      <c r="C141" s="22"/>
      <c r="E141" s="8"/>
      <c r="F141" s="8"/>
    </row>
    <row r="142" spans="1:6" ht="20.25" customHeight="1">
      <c r="A142" s="20"/>
      <c r="B142" s="21"/>
      <c r="C142" s="22"/>
      <c r="E142" s="8"/>
      <c r="F142" s="8"/>
    </row>
    <row r="143" spans="1:6" ht="20.25" customHeight="1">
      <c r="A143" s="20"/>
      <c r="B143" s="21"/>
      <c r="C143" s="22"/>
      <c r="E143" s="8"/>
      <c r="F143" s="8"/>
    </row>
    <row r="144" spans="1:6" ht="20.25" customHeight="1">
      <c r="A144" s="20"/>
      <c r="B144" s="21"/>
      <c r="C144" s="22"/>
      <c r="E144" s="8"/>
      <c r="F144" s="8"/>
    </row>
    <row r="145" spans="1:6" ht="20.25" customHeight="1">
      <c r="A145" s="20"/>
      <c r="B145" s="21"/>
      <c r="C145" s="22"/>
      <c r="E145" s="8"/>
      <c r="F145" s="8"/>
    </row>
    <row r="146" spans="1:6" ht="20.25" customHeight="1">
      <c r="A146" s="20"/>
      <c r="B146" s="21"/>
      <c r="C146" s="22"/>
      <c r="E146" s="8"/>
      <c r="F146" s="8"/>
    </row>
    <row r="147" spans="1:6" ht="20.25" customHeight="1">
      <c r="A147" s="20"/>
      <c r="B147" s="21"/>
      <c r="C147" s="22"/>
      <c r="E147" s="8"/>
      <c r="F147" s="8"/>
    </row>
    <row r="148" spans="1:6" ht="20.25" customHeight="1">
      <c r="A148" s="20"/>
      <c r="B148" s="21"/>
      <c r="C148" s="22"/>
      <c r="E148" s="8"/>
      <c r="F148" s="8"/>
    </row>
    <row r="149" spans="1:6" ht="20.25" customHeight="1">
      <c r="A149" s="20"/>
      <c r="B149" s="21"/>
      <c r="C149" s="22"/>
      <c r="E149" s="8"/>
      <c r="F149" s="8"/>
    </row>
    <row r="150" spans="1:6" ht="20.25" customHeight="1">
      <c r="A150" s="20"/>
      <c r="B150" s="21"/>
      <c r="C150" s="22"/>
      <c r="E150" s="8"/>
      <c r="F150" s="8"/>
    </row>
    <row r="151" spans="1:6" ht="20.25" customHeight="1">
      <c r="A151" s="20"/>
      <c r="B151" s="21"/>
      <c r="C151" s="22"/>
      <c r="E151" s="8"/>
      <c r="F151" s="8"/>
    </row>
    <row r="152" spans="1:6" ht="20.25" customHeight="1">
      <c r="A152" s="20"/>
      <c r="B152" s="21"/>
      <c r="C152" s="22"/>
      <c r="E152" s="8"/>
      <c r="F152" s="8"/>
    </row>
    <row r="153" spans="1:6" ht="20.25" customHeight="1">
      <c r="A153" s="20"/>
      <c r="B153" s="21"/>
      <c r="C153" s="22"/>
      <c r="E153" s="8"/>
      <c r="F153" s="8"/>
    </row>
    <row r="154" spans="1:6" ht="20.25" customHeight="1">
      <c r="A154" s="20"/>
      <c r="B154" s="21"/>
      <c r="C154" s="22"/>
      <c r="E154" s="8"/>
      <c r="F154" s="8"/>
    </row>
    <row r="155" spans="1:6" ht="20.25" customHeight="1">
      <c r="A155" s="20"/>
      <c r="B155" s="21"/>
      <c r="C155" s="22"/>
      <c r="E155" s="8"/>
      <c r="F155" s="8"/>
    </row>
    <row r="156" spans="1:6" ht="20.25" customHeight="1">
      <c r="A156" s="20"/>
      <c r="B156" s="21"/>
      <c r="C156" s="22"/>
      <c r="E156" s="8"/>
      <c r="F156" s="8"/>
    </row>
    <row r="157" spans="1:6" ht="20.25" customHeight="1">
      <c r="A157" s="20"/>
      <c r="B157" s="21"/>
      <c r="C157" s="22"/>
      <c r="E157" s="8"/>
      <c r="F157" s="8"/>
    </row>
    <row r="158" spans="1:6" ht="20.25" customHeight="1">
      <c r="A158" s="20"/>
      <c r="B158" s="23"/>
      <c r="C158" s="22"/>
      <c r="E158" s="8"/>
      <c r="F158" s="8"/>
    </row>
    <row r="159" spans="1:6" ht="20.25" customHeight="1">
      <c r="A159" s="20"/>
      <c r="B159" s="23"/>
      <c r="C159" s="22"/>
      <c r="E159" s="8"/>
      <c r="F159" s="8"/>
    </row>
    <row r="160" spans="1:6" ht="20.25" customHeight="1">
      <c r="A160" s="20"/>
      <c r="B160" s="21"/>
      <c r="C160" s="22"/>
      <c r="E160" s="8"/>
      <c r="F160" s="8"/>
    </row>
    <row r="161" spans="1:6" ht="20.25" customHeight="1">
      <c r="A161" s="20"/>
      <c r="B161" s="21"/>
      <c r="C161" s="22"/>
      <c r="E161" s="8"/>
      <c r="F161" s="8"/>
    </row>
    <row r="162" spans="1:6" ht="20.25" customHeight="1">
      <c r="A162" s="20"/>
      <c r="B162" s="21"/>
      <c r="C162" s="22"/>
      <c r="E162" s="8"/>
      <c r="F162" s="8"/>
    </row>
    <row r="163" spans="1:6" ht="20.25" customHeight="1">
      <c r="A163" s="20"/>
      <c r="B163" s="21"/>
      <c r="C163" s="22"/>
      <c r="E163" s="8"/>
      <c r="F163" s="8"/>
    </row>
    <row r="164" spans="1:6" ht="20.25" customHeight="1">
      <c r="A164" s="20"/>
      <c r="B164" s="21"/>
      <c r="C164" s="22"/>
      <c r="E164" s="8"/>
      <c r="F164" s="8"/>
    </row>
    <row r="165" spans="1:6" ht="20.25" customHeight="1">
      <c r="A165" s="20"/>
      <c r="B165" s="21"/>
      <c r="C165" s="22"/>
      <c r="E165" s="8"/>
      <c r="F165" s="8"/>
    </row>
    <row r="166" spans="1:6" ht="20.25" customHeight="1">
      <c r="A166" s="20"/>
      <c r="B166" s="21"/>
      <c r="C166" s="22"/>
      <c r="E166" s="8"/>
      <c r="F166" s="8"/>
    </row>
    <row r="167" spans="1:6" ht="20.25" customHeight="1">
      <c r="A167" s="20"/>
      <c r="B167" s="21"/>
      <c r="C167" s="22"/>
      <c r="E167" s="8"/>
      <c r="F167" s="8"/>
    </row>
    <row r="168" spans="1:6" ht="20.25" customHeight="1">
      <c r="A168" s="20"/>
      <c r="B168" s="21"/>
      <c r="C168" s="22"/>
      <c r="E168" s="8"/>
      <c r="F168" s="8"/>
    </row>
    <row r="169" spans="1:6" ht="20.25" customHeight="1">
      <c r="A169" s="20"/>
      <c r="B169" s="21"/>
      <c r="C169" s="22"/>
      <c r="E169" s="8"/>
      <c r="F169" s="8"/>
    </row>
    <row r="170" spans="1:6" ht="20.25" customHeight="1">
      <c r="A170" s="20"/>
      <c r="B170" s="21"/>
      <c r="C170" s="22"/>
      <c r="E170" s="8"/>
      <c r="F170" s="8"/>
    </row>
    <row r="171" spans="1:6" ht="20.25" customHeight="1">
      <c r="A171" s="20"/>
      <c r="B171" s="21"/>
      <c r="C171" s="22"/>
      <c r="E171" s="8"/>
      <c r="F171" s="8"/>
    </row>
    <row r="172" spans="1:6" ht="20.25" customHeight="1">
      <c r="A172" s="20"/>
      <c r="B172" s="21"/>
      <c r="C172" s="22"/>
      <c r="E172" s="8"/>
      <c r="F172" s="8"/>
    </row>
    <row r="173" spans="1:6" ht="20.25" customHeight="1">
      <c r="A173" s="20"/>
      <c r="B173" s="21"/>
      <c r="C173" s="22"/>
      <c r="E173" s="8"/>
      <c r="F173" s="8"/>
    </row>
    <row r="174" spans="1:6" ht="20.25" customHeight="1">
      <c r="A174" s="20"/>
      <c r="B174" s="21"/>
      <c r="C174" s="22"/>
      <c r="E174" s="8"/>
      <c r="F174" s="8"/>
    </row>
    <row r="175" spans="1:6" ht="20.25" customHeight="1">
      <c r="A175" s="20"/>
      <c r="B175" s="21"/>
      <c r="C175" s="22"/>
      <c r="E175" s="8"/>
      <c r="F175" s="8"/>
    </row>
    <row r="176" spans="1:6" ht="20.25" customHeight="1">
      <c r="A176" s="20"/>
      <c r="B176" s="21"/>
      <c r="C176" s="22"/>
      <c r="E176" s="8"/>
      <c r="F176" s="8"/>
    </row>
    <row r="177" spans="1:6" ht="20.25" customHeight="1">
      <c r="A177" s="20"/>
      <c r="B177" s="21"/>
      <c r="C177" s="22"/>
      <c r="E177" s="8"/>
      <c r="F177" s="8"/>
    </row>
    <row r="178" spans="1:6" ht="20.25" customHeight="1">
      <c r="A178" s="20"/>
      <c r="B178" s="21"/>
      <c r="C178" s="22"/>
      <c r="E178" s="8"/>
      <c r="F178" s="8"/>
    </row>
    <row r="179" spans="1:6" ht="20.25" customHeight="1">
      <c r="A179" s="20"/>
      <c r="B179" s="21"/>
      <c r="C179" s="22"/>
      <c r="E179" s="8"/>
      <c r="F179" s="8"/>
    </row>
    <row r="180" spans="1:6" ht="20.25" customHeight="1">
      <c r="A180" s="20"/>
      <c r="B180" s="21"/>
      <c r="C180" s="22"/>
      <c r="E180" s="8"/>
      <c r="F180" s="8"/>
    </row>
    <row r="181" spans="1:6" ht="20.25" customHeight="1">
      <c r="A181" s="20"/>
      <c r="B181" s="21"/>
      <c r="C181" s="22"/>
      <c r="E181" s="8"/>
      <c r="F181" s="8"/>
    </row>
    <row r="182" spans="1:6" ht="20.25" customHeight="1">
      <c r="A182" s="20"/>
      <c r="B182" s="21"/>
      <c r="C182" s="22"/>
      <c r="E182" s="8"/>
      <c r="F182" s="8"/>
    </row>
    <row r="183" spans="1:6" ht="20.25" customHeight="1">
      <c r="A183" s="20"/>
      <c r="B183" s="21"/>
      <c r="C183" s="22"/>
      <c r="E183" s="8"/>
      <c r="F183" s="8"/>
    </row>
    <row r="184" spans="1:6" ht="20.25" customHeight="1">
      <c r="A184" s="20"/>
      <c r="B184" s="21"/>
      <c r="C184" s="22"/>
      <c r="E184" s="8"/>
      <c r="F184" s="8"/>
    </row>
    <row r="185" spans="1:6" ht="20.25" customHeight="1">
      <c r="A185" s="20"/>
      <c r="B185" s="21"/>
      <c r="C185" s="22"/>
      <c r="E185" s="8"/>
      <c r="F185" s="8"/>
    </row>
    <row r="186" spans="1:6" ht="20.25" customHeight="1">
      <c r="A186" s="20"/>
      <c r="B186" s="21"/>
      <c r="C186" s="22"/>
      <c r="E186" s="8"/>
      <c r="F186" s="8"/>
    </row>
    <row r="187" spans="1:6" ht="20.25" customHeight="1">
      <c r="A187" s="20"/>
      <c r="B187" s="21"/>
      <c r="C187" s="22"/>
      <c r="E187" s="8"/>
      <c r="F187" s="8"/>
    </row>
    <row r="188" spans="1:6" ht="20.25" customHeight="1">
      <c r="A188" s="20"/>
      <c r="B188" s="21"/>
      <c r="C188" s="22"/>
      <c r="E188" s="8"/>
      <c r="F188" s="8"/>
    </row>
    <row r="189" spans="1:6" ht="20.25" customHeight="1">
      <c r="A189" s="20"/>
      <c r="B189" s="21"/>
      <c r="C189" s="22"/>
      <c r="E189" s="8"/>
      <c r="F189" s="8"/>
    </row>
    <row r="190" spans="1:6" ht="20.25" customHeight="1">
      <c r="A190" s="20"/>
      <c r="B190" s="21"/>
      <c r="C190" s="22"/>
      <c r="E190" s="8"/>
      <c r="F190" s="8"/>
    </row>
    <row r="191" spans="1:6" ht="20.25" customHeight="1">
      <c r="A191" s="20"/>
      <c r="B191" s="21"/>
      <c r="C191" s="22"/>
      <c r="E191" s="8"/>
      <c r="F191" s="8"/>
    </row>
    <row r="192" spans="1:6" ht="20.25" customHeight="1">
      <c r="A192" s="20"/>
      <c r="B192" s="21"/>
      <c r="C192" s="22"/>
      <c r="E192" s="8"/>
      <c r="F192" s="8"/>
    </row>
    <row r="193" spans="1:6" ht="20.25" customHeight="1">
      <c r="A193" s="20"/>
      <c r="B193" s="21"/>
      <c r="C193" s="22"/>
      <c r="E193" s="8"/>
      <c r="F193" s="8"/>
    </row>
    <row r="194" spans="1:6" ht="20.25" customHeight="1">
      <c r="A194" s="20"/>
      <c r="B194" s="21"/>
      <c r="C194" s="22"/>
      <c r="E194" s="8"/>
      <c r="F194" s="8"/>
    </row>
    <row r="195" spans="1:6" ht="20.25" customHeight="1">
      <c r="A195" s="20"/>
      <c r="B195" s="21"/>
      <c r="C195" s="22"/>
      <c r="E195" s="8"/>
      <c r="F195" s="8"/>
    </row>
    <row r="196" spans="1:6" ht="20.25" customHeight="1">
      <c r="A196" s="20"/>
      <c r="B196" s="21"/>
      <c r="C196" s="22"/>
      <c r="E196" s="8"/>
      <c r="F196" s="8"/>
    </row>
    <row r="197" spans="1:6" ht="20.25" customHeight="1">
      <c r="A197" s="20"/>
      <c r="B197" s="21"/>
      <c r="C197" s="22"/>
      <c r="E197" s="8"/>
      <c r="F197" s="8"/>
    </row>
    <row r="198" spans="1:6" ht="20.25" customHeight="1">
      <c r="A198" s="20"/>
      <c r="B198" s="21"/>
      <c r="C198" s="22"/>
      <c r="E198" s="8"/>
      <c r="F198" s="8"/>
    </row>
    <row r="199" spans="1:6" ht="20.25" customHeight="1">
      <c r="A199" s="20"/>
      <c r="B199" s="21"/>
      <c r="C199" s="22"/>
      <c r="E199" s="8"/>
      <c r="F199" s="8"/>
    </row>
    <row r="200" spans="1:6" ht="20.25" customHeight="1">
      <c r="A200" s="20"/>
      <c r="B200" s="21"/>
      <c r="C200" s="22"/>
      <c r="E200" s="8"/>
      <c r="F200" s="8"/>
    </row>
    <row r="201" spans="1:6" ht="20.25" customHeight="1">
      <c r="A201" s="20"/>
      <c r="B201" s="21"/>
      <c r="C201" s="22"/>
      <c r="E201" s="8"/>
      <c r="F201" s="8"/>
    </row>
    <row r="202" spans="1:6" ht="20.25" customHeight="1">
      <c r="A202" s="20"/>
      <c r="B202" s="21"/>
      <c r="C202" s="22"/>
      <c r="E202" s="8"/>
      <c r="F202" s="8"/>
    </row>
    <row r="203" spans="1:6" ht="20.25" customHeight="1">
      <c r="A203" s="20"/>
      <c r="B203" s="21"/>
      <c r="C203" s="22"/>
      <c r="E203" s="8"/>
      <c r="F203" s="8"/>
    </row>
    <row r="204" spans="1:6" ht="20.25" customHeight="1">
      <c r="A204" s="20"/>
      <c r="B204" s="21"/>
      <c r="C204" s="22"/>
      <c r="E204" s="8"/>
      <c r="F204" s="8"/>
    </row>
    <row r="205" spans="1:6" ht="20.25" customHeight="1">
      <c r="A205" s="20"/>
      <c r="B205" s="21"/>
      <c r="C205" s="22"/>
      <c r="E205" s="8"/>
      <c r="F205" s="8"/>
    </row>
    <row r="206" spans="1:6" ht="20.25" customHeight="1">
      <c r="A206" s="20"/>
      <c r="B206" s="21"/>
      <c r="C206" s="22"/>
      <c r="E206" s="8"/>
      <c r="F206" s="8"/>
    </row>
    <row r="207" spans="1:6" ht="20.25" customHeight="1">
      <c r="A207" s="20"/>
      <c r="B207" s="21"/>
      <c r="C207" s="22"/>
      <c r="E207" s="8"/>
      <c r="F207" s="8"/>
    </row>
    <row r="208" spans="1:6" ht="20.25" customHeight="1">
      <c r="A208" s="20"/>
      <c r="B208" s="21"/>
      <c r="C208" s="22"/>
      <c r="E208" s="8"/>
      <c r="F208" s="8"/>
    </row>
    <row r="209" spans="1:6" ht="20.25" customHeight="1">
      <c r="A209" s="20"/>
      <c r="B209" s="21"/>
      <c r="C209" s="22"/>
      <c r="E209" s="8"/>
      <c r="F209" s="8"/>
    </row>
    <row r="210" spans="1:6" ht="20.25" customHeight="1">
      <c r="A210" s="20"/>
      <c r="B210" s="21"/>
      <c r="C210" s="22"/>
      <c r="E210" s="8"/>
      <c r="F210" s="8"/>
    </row>
    <row r="211" spans="1:6" ht="20.25" customHeight="1">
      <c r="A211" s="20"/>
      <c r="B211" s="21"/>
      <c r="C211" s="22"/>
      <c r="E211" s="8"/>
      <c r="F211" s="8"/>
    </row>
    <row r="212" spans="1:6" ht="20.25" customHeight="1">
      <c r="A212" s="20"/>
      <c r="B212" s="21"/>
      <c r="C212" s="22"/>
      <c r="E212" s="8"/>
      <c r="F212" s="8"/>
    </row>
    <row r="213" spans="1:6" ht="20.25" customHeight="1">
      <c r="A213" s="20"/>
      <c r="B213" s="21"/>
      <c r="C213" s="22"/>
      <c r="E213" s="8"/>
      <c r="F213" s="8"/>
    </row>
    <row r="214" spans="1:6" ht="20.25" customHeight="1">
      <c r="A214" s="20"/>
      <c r="B214" s="21"/>
      <c r="C214" s="22"/>
      <c r="E214" s="8"/>
      <c r="F214" s="8"/>
    </row>
    <row r="215" spans="1:6" ht="20.25" customHeight="1">
      <c r="A215" s="20"/>
      <c r="B215" s="21"/>
      <c r="C215" s="22"/>
      <c r="E215" s="8"/>
      <c r="F215" s="8"/>
    </row>
    <row r="216" spans="1:6" ht="20.25" customHeight="1">
      <c r="A216" s="20"/>
      <c r="B216" s="21"/>
      <c r="C216" s="22"/>
      <c r="E216" s="8"/>
      <c r="F216" s="8"/>
    </row>
    <row r="217" spans="1:6" ht="20.25" customHeight="1">
      <c r="A217" s="20"/>
      <c r="B217" s="21"/>
      <c r="C217" s="22"/>
      <c r="E217" s="8"/>
      <c r="F217" s="8"/>
    </row>
    <row r="218" spans="1:6" ht="20.25" customHeight="1">
      <c r="A218" s="20"/>
      <c r="B218" s="21"/>
      <c r="C218" s="22"/>
      <c r="E218" s="8"/>
      <c r="F218" s="8"/>
    </row>
    <row r="219" spans="1:6" ht="20.25" customHeight="1">
      <c r="A219" s="20"/>
      <c r="B219" s="21"/>
      <c r="C219" s="22"/>
      <c r="E219" s="8"/>
      <c r="F219" s="8"/>
    </row>
    <row r="220" spans="1:6" ht="20.25" customHeight="1">
      <c r="A220" s="20"/>
      <c r="B220" s="21"/>
      <c r="C220" s="22"/>
      <c r="E220" s="8"/>
      <c r="F220" s="8"/>
    </row>
    <row r="221" spans="1:6" ht="20.25" customHeight="1">
      <c r="A221" s="20"/>
      <c r="B221" s="21"/>
      <c r="C221" s="22"/>
      <c r="E221" s="8"/>
      <c r="F221" s="8"/>
    </row>
    <row r="222" spans="1:6" ht="20.25" customHeight="1">
      <c r="A222" s="20"/>
      <c r="B222" s="21"/>
      <c r="C222" s="22"/>
      <c r="E222" s="8"/>
      <c r="F222" s="8"/>
    </row>
    <row r="223" spans="1:6" ht="20.25" customHeight="1">
      <c r="A223" s="20"/>
      <c r="B223" s="21"/>
      <c r="C223" s="22"/>
      <c r="E223" s="8"/>
      <c r="F223" s="8"/>
    </row>
    <row r="224" spans="1:6" ht="20.25" customHeight="1">
      <c r="A224" s="20"/>
      <c r="B224" s="21"/>
      <c r="C224" s="22"/>
      <c r="E224" s="8"/>
      <c r="F224" s="8"/>
    </row>
    <row r="225" spans="1:6" ht="20.25" customHeight="1">
      <c r="A225" s="20"/>
      <c r="B225" s="21"/>
      <c r="C225" s="22"/>
      <c r="E225" s="8"/>
      <c r="F225" s="8"/>
    </row>
    <row r="226" spans="1:6" ht="20.25" customHeight="1">
      <c r="A226" s="20"/>
      <c r="B226" s="21"/>
      <c r="C226" s="22"/>
      <c r="E226" s="8"/>
      <c r="F226" s="8"/>
    </row>
    <row r="227" spans="1:6" ht="20.25" customHeight="1">
      <c r="A227" s="20"/>
      <c r="B227" s="21"/>
      <c r="C227" s="22"/>
      <c r="E227" s="8"/>
      <c r="F227" s="8"/>
    </row>
    <row r="228" spans="1:6" ht="20.25" customHeight="1">
      <c r="A228" s="20"/>
      <c r="B228" s="21"/>
      <c r="C228" s="22"/>
      <c r="E228" s="8"/>
      <c r="F228" s="8"/>
    </row>
    <row r="229" spans="1:6" ht="20.25" customHeight="1">
      <c r="A229" s="20"/>
      <c r="B229" s="21"/>
      <c r="C229" s="22"/>
      <c r="E229" s="8"/>
      <c r="F229" s="8"/>
    </row>
    <row r="230" spans="1:6" ht="20.25" customHeight="1">
      <c r="A230" s="20"/>
      <c r="B230" s="21"/>
      <c r="C230" s="22"/>
      <c r="E230" s="8"/>
      <c r="F230" s="8"/>
    </row>
    <row r="231" spans="1:6" ht="20.25" customHeight="1">
      <c r="A231" s="20"/>
      <c r="B231" s="21"/>
      <c r="C231" s="22"/>
      <c r="E231" s="8"/>
      <c r="F231" s="8"/>
    </row>
    <row r="232" spans="1:6" ht="20.25" customHeight="1">
      <c r="A232" s="20"/>
      <c r="B232" s="21"/>
      <c r="C232" s="22"/>
      <c r="E232" s="8"/>
      <c r="F232" s="8"/>
    </row>
    <row r="233" spans="1:6" ht="20.25" customHeight="1">
      <c r="A233" s="20"/>
      <c r="B233" s="21"/>
      <c r="C233" s="22"/>
      <c r="E233" s="8"/>
      <c r="F233" s="8"/>
    </row>
    <row r="234" spans="1:6" ht="20.25" customHeight="1">
      <c r="A234" s="20"/>
      <c r="B234" s="21"/>
      <c r="C234" s="22"/>
      <c r="E234" s="8"/>
      <c r="F234" s="8"/>
    </row>
    <row r="235" spans="1:6" ht="20.25" customHeight="1">
      <c r="A235" s="20"/>
      <c r="B235" s="21"/>
      <c r="C235" s="22"/>
      <c r="E235" s="8"/>
      <c r="F235" s="8"/>
    </row>
    <row r="236" spans="1:6" ht="20.25" customHeight="1">
      <c r="A236" s="20"/>
      <c r="B236" s="21"/>
      <c r="C236" s="22"/>
      <c r="E236" s="8"/>
      <c r="F236" s="8"/>
    </row>
    <row r="237" spans="1:6" ht="20.25" customHeight="1">
      <c r="A237" s="20"/>
      <c r="B237" s="21"/>
      <c r="C237" s="22"/>
      <c r="E237" s="8"/>
      <c r="F237" s="8"/>
    </row>
    <row r="238" spans="1:6" ht="20.25" customHeight="1">
      <c r="A238" s="20"/>
      <c r="B238" s="21"/>
      <c r="C238" s="22"/>
      <c r="E238" s="8"/>
      <c r="F238" s="8"/>
    </row>
    <row r="239" spans="1:6" ht="20.25" customHeight="1">
      <c r="A239" s="20"/>
      <c r="B239" s="21"/>
      <c r="C239" s="22"/>
      <c r="E239" s="8"/>
      <c r="F239" s="8"/>
    </row>
    <row r="240" spans="1:6" ht="20.25" customHeight="1">
      <c r="A240" s="20"/>
      <c r="B240" s="21"/>
      <c r="C240" s="22"/>
      <c r="E240" s="8"/>
      <c r="F240" s="8"/>
    </row>
    <row r="241" spans="1:6" ht="20.25" customHeight="1">
      <c r="A241" s="20"/>
      <c r="B241" s="21"/>
      <c r="C241" s="22"/>
      <c r="E241" s="8"/>
      <c r="F241" s="8"/>
    </row>
    <row r="242" spans="1:6" ht="20.25" customHeight="1">
      <c r="A242" s="20"/>
      <c r="B242" s="21"/>
      <c r="C242" s="22"/>
      <c r="E242" s="8"/>
      <c r="F242" s="8"/>
    </row>
    <row r="243" spans="1:6" ht="20.25" customHeight="1">
      <c r="A243" s="20"/>
      <c r="B243" s="21"/>
      <c r="C243" s="22"/>
      <c r="E243" s="8"/>
      <c r="F243" s="8"/>
    </row>
    <row r="244" spans="1:6" ht="20.25" customHeight="1">
      <c r="A244" s="20"/>
      <c r="B244" s="21"/>
      <c r="C244" s="22"/>
      <c r="E244" s="8"/>
      <c r="F244" s="8"/>
    </row>
    <row r="245" spans="1:6" ht="20.25" customHeight="1">
      <c r="A245" s="20"/>
      <c r="B245" s="21"/>
      <c r="C245" s="22"/>
      <c r="E245" s="8"/>
      <c r="F245" s="8"/>
    </row>
    <row r="246" spans="1:6" ht="20.25" customHeight="1">
      <c r="A246" s="20"/>
      <c r="B246" s="21"/>
      <c r="C246" s="22"/>
      <c r="E246" s="8"/>
      <c r="F246" s="8"/>
    </row>
    <row r="247" spans="1:6" ht="20.25" customHeight="1">
      <c r="A247" s="20"/>
      <c r="B247" s="21"/>
      <c r="C247" s="22"/>
      <c r="E247" s="8"/>
      <c r="F247" s="8"/>
    </row>
    <row r="248" spans="1:6" ht="20.25" customHeight="1">
      <c r="A248" s="20"/>
      <c r="B248" s="21"/>
      <c r="C248" s="22"/>
      <c r="E248" s="8"/>
      <c r="F248" s="8"/>
    </row>
    <row r="249" spans="1:6" ht="20.25" customHeight="1">
      <c r="A249" s="20"/>
      <c r="B249" s="21"/>
      <c r="C249" s="22"/>
      <c r="E249" s="8"/>
      <c r="F249" s="8"/>
    </row>
    <row r="250" spans="1:6" ht="20.25" customHeight="1">
      <c r="A250" s="20"/>
      <c r="B250" s="21"/>
      <c r="C250" s="22"/>
      <c r="E250" s="8"/>
      <c r="F250" s="8"/>
    </row>
    <row r="251" spans="1:6" ht="20.25" customHeight="1">
      <c r="A251" s="20"/>
      <c r="B251" s="21"/>
      <c r="C251" s="22"/>
      <c r="E251" s="8"/>
      <c r="F251" s="8"/>
    </row>
    <row r="252" spans="1:6" ht="20.25" customHeight="1">
      <c r="A252" s="20"/>
      <c r="B252" s="21"/>
      <c r="C252" s="22"/>
      <c r="E252" s="8"/>
      <c r="F252" s="8"/>
    </row>
    <row r="253" spans="1:6" ht="20.25" customHeight="1">
      <c r="A253" s="20"/>
      <c r="B253" s="21"/>
      <c r="C253" s="22"/>
      <c r="E253" s="8"/>
      <c r="F253" s="8"/>
    </row>
    <row r="254" spans="1:6" ht="20.25" customHeight="1">
      <c r="A254" s="20"/>
      <c r="B254" s="21"/>
      <c r="C254" s="22"/>
      <c r="E254" s="8"/>
      <c r="F254" s="8"/>
    </row>
    <row r="255" spans="1:6" ht="20.25" customHeight="1">
      <c r="A255" s="20"/>
      <c r="B255" s="21"/>
      <c r="C255" s="22"/>
      <c r="E255" s="8"/>
      <c r="F255" s="8"/>
    </row>
    <row r="256" spans="1:6" ht="20.25" customHeight="1">
      <c r="A256" s="20"/>
      <c r="B256" s="21"/>
      <c r="C256" s="22"/>
      <c r="E256" s="8"/>
      <c r="F256" s="8"/>
    </row>
    <row r="257" spans="1:6" ht="20.25" customHeight="1">
      <c r="A257" s="20"/>
      <c r="B257" s="21"/>
      <c r="C257" s="22"/>
      <c r="E257" s="8"/>
      <c r="F257" s="8"/>
    </row>
    <row r="258" spans="1:6" ht="20.25" customHeight="1">
      <c r="A258" s="20"/>
      <c r="B258" s="21"/>
      <c r="C258" s="22"/>
      <c r="E258" s="8"/>
      <c r="F258" s="8"/>
    </row>
    <row r="259" spans="1:6" ht="20.25" customHeight="1">
      <c r="A259" s="20"/>
      <c r="B259" s="21"/>
      <c r="C259" s="22"/>
      <c r="E259" s="8"/>
      <c r="F259" s="8"/>
    </row>
    <row r="260" spans="1:6" ht="20.25" customHeight="1">
      <c r="A260" s="20"/>
      <c r="B260" s="21"/>
      <c r="C260" s="22"/>
      <c r="E260" s="8"/>
      <c r="F260" s="8"/>
    </row>
    <row r="261" spans="1:6" ht="20.25" customHeight="1">
      <c r="A261" s="20"/>
      <c r="B261" s="21"/>
      <c r="C261" s="22"/>
      <c r="E261" s="8"/>
      <c r="F261" s="8"/>
    </row>
    <row r="262" spans="1:6" ht="20.25" customHeight="1">
      <c r="A262" s="20"/>
      <c r="B262" s="21"/>
      <c r="C262" s="22"/>
      <c r="E262" s="8"/>
      <c r="F262" s="8"/>
    </row>
    <row r="263" spans="1:6" ht="20.25" customHeight="1">
      <c r="A263" s="20"/>
      <c r="B263" s="21"/>
      <c r="C263" s="22"/>
      <c r="E263" s="8"/>
      <c r="F263" s="8"/>
    </row>
    <row r="264" spans="1:6" ht="20.25" customHeight="1">
      <c r="A264" s="20"/>
      <c r="B264" s="21"/>
      <c r="C264" s="22"/>
      <c r="E264" s="8"/>
      <c r="F264" s="8"/>
    </row>
    <row r="265" spans="1:6" ht="20.25" customHeight="1">
      <c r="A265" s="20"/>
      <c r="B265" s="21"/>
      <c r="C265" s="22"/>
      <c r="E265" s="8"/>
      <c r="F265" s="8"/>
    </row>
    <row r="266" spans="1:6" ht="20.25" customHeight="1">
      <c r="A266" s="20"/>
      <c r="B266" s="21"/>
      <c r="C266" s="22"/>
      <c r="E266" s="8"/>
      <c r="F266" s="8"/>
    </row>
    <row r="267" spans="1:6" ht="20.25" customHeight="1">
      <c r="A267" s="20"/>
      <c r="B267" s="21"/>
      <c r="C267" s="22"/>
      <c r="E267" s="8"/>
      <c r="F267" s="8"/>
    </row>
    <row r="268" spans="1:6" ht="20.25" customHeight="1">
      <c r="A268" s="20"/>
      <c r="B268" s="21"/>
      <c r="C268" s="22"/>
      <c r="E268" s="8"/>
      <c r="F268" s="8"/>
    </row>
    <row r="269" spans="1:6" ht="20.25" customHeight="1">
      <c r="A269" s="20"/>
      <c r="B269" s="21"/>
      <c r="C269" s="22"/>
      <c r="E269" s="8"/>
      <c r="F269" s="8"/>
    </row>
    <row r="270" spans="1:6" ht="20.25" customHeight="1">
      <c r="A270" s="20"/>
      <c r="B270" s="21"/>
      <c r="C270" s="22"/>
      <c r="E270" s="8"/>
      <c r="F270" s="8"/>
    </row>
    <row r="271" spans="1:6" ht="20.25" customHeight="1">
      <c r="A271" s="20"/>
      <c r="B271" s="21"/>
      <c r="C271" s="22"/>
      <c r="E271" s="8"/>
      <c r="F271" s="8"/>
    </row>
    <row r="272" spans="1:6" ht="20.25" customHeight="1">
      <c r="A272" s="20"/>
      <c r="B272" s="21"/>
      <c r="C272" s="22"/>
      <c r="E272" s="8"/>
      <c r="F272" s="8"/>
    </row>
    <row r="273" spans="1:6" ht="20.25" customHeight="1">
      <c r="A273" s="20"/>
      <c r="B273" s="21"/>
      <c r="C273" s="22"/>
      <c r="E273" s="8"/>
      <c r="F273" s="8"/>
    </row>
    <row r="274" spans="1:6" ht="20.25" customHeight="1">
      <c r="A274" s="20"/>
      <c r="B274" s="21"/>
      <c r="C274" s="22"/>
      <c r="E274" s="8"/>
      <c r="F274" s="8"/>
    </row>
    <row r="275" spans="1:6" ht="20.25" customHeight="1">
      <c r="A275" s="20"/>
      <c r="B275" s="21"/>
      <c r="C275" s="22"/>
      <c r="E275" s="8"/>
      <c r="F275" s="8"/>
    </row>
    <row r="276" spans="1:6" ht="20.25" customHeight="1">
      <c r="A276" s="20"/>
      <c r="B276" s="21"/>
      <c r="C276" s="22"/>
      <c r="E276" s="8"/>
      <c r="F276" s="8"/>
    </row>
    <row r="277" spans="1:6" ht="20.25" customHeight="1">
      <c r="A277" s="20"/>
      <c r="B277" s="21"/>
      <c r="C277" s="22"/>
      <c r="E277" s="8"/>
      <c r="F277" s="8"/>
    </row>
    <row r="278" spans="1:6" ht="20.25" customHeight="1">
      <c r="A278" s="20"/>
      <c r="B278" s="21"/>
      <c r="C278" s="22"/>
      <c r="E278" s="8"/>
      <c r="F278" s="8"/>
    </row>
    <row r="279" spans="1:6" ht="20.25" customHeight="1">
      <c r="A279" s="20"/>
      <c r="B279" s="21"/>
      <c r="C279" s="22"/>
      <c r="E279" s="8"/>
      <c r="F279" s="8"/>
    </row>
    <row r="280" spans="1:6" ht="20.25" customHeight="1">
      <c r="A280" s="20"/>
      <c r="B280" s="21"/>
      <c r="C280" s="22"/>
      <c r="E280" s="8"/>
      <c r="F280" s="8"/>
    </row>
    <row r="281" spans="1:6" ht="20.25" customHeight="1">
      <c r="A281" s="20"/>
      <c r="B281" s="21"/>
      <c r="C281" s="22"/>
      <c r="E281" s="8"/>
      <c r="F281" s="8"/>
    </row>
    <row r="282" spans="1:6" ht="20.25" customHeight="1">
      <c r="A282" s="20"/>
      <c r="B282" s="21"/>
      <c r="C282" s="22"/>
      <c r="E282" s="8"/>
      <c r="F282" s="8"/>
    </row>
    <row r="283" spans="1:6" ht="20.25" customHeight="1">
      <c r="A283" s="20"/>
      <c r="B283" s="21"/>
      <c r="C283" s="22"/>
      <c r="E283" s="8"/>
      <c r="F283" s="8"/>
    </row>
    <row r="284" spans="1:6" ht="20.25" customHeight="1">
      <c r="A284" s="20"/>
      <c r="B284" s="21"/>
      <c r="C284" s="22"/>
      <c r="E284" s="8"/>
      <c r="F284" s="8"/>
    </row>
    <row r="285" spans="1:6" ht="20.25" customHeight="1">
      <c r="A285" s="20"/>
      <c r="B285" s="21"/>
      <c r="C285" s="22"/>
      <c r="E285" s="8"/>
      <c r="F285" s="8"/>
    </row>
    <row r="286" spans="1:6" ht="20.25" customHeight="1">
      <c r="A286" s="20"/>
      <c r="B286" s="21"/>
      <c r="C286" s="22"/>
      <c r="E286" s="8"/>
      <c r="F286" s="8"/>
    </row>
    <row r="287" spans="1:6" ht="20.25" customHeight="1">
      <c r="A287" s="20"/>
      <c r="B287" s="21"/>
      <c r="C287" s="22"/>
      <c r="E287" s="8"/>
      <c r="F287" s="8"/>
    </row>
    <row r="288" spans="1:6" ht="20.25" customHeight="1">
      <c r="A288" s="20"/>
      <c r="B288" s="21"/>
      <c r="C288" s="22"/>
      <c r="E288" s="8"/>
      <c r="F288" s="8"/>
    </row>
    <row r="289" spans="1:6" ht="20.25" customHeight="1">
      <c r="A289" s="20"/>
      <c r="B289" s="21"/>
      <c r="C289" s="22"/>
      <c r="E289" s="8"/>
      <c r="F289" s="8"/>
    </row>
    <row r="290" spans="1:6" ht="20.25" customHeight="1">
      <c r="A290" s="20"/>
      <c r="B290" s="21"/>
      <c r="C290" s="22"/>
      <c r="E290" s="8"/>
      <c r="F290" s="8"/>
    </row>
    <row r="291" spans="1:6" ht="20.25" customHeight="1">
      <c r="A291" s="20"/>
      <c r="B291" s="21"/>
      <c r="C291" s="22"/>
      <c r="E291" s="8"/>
      <c r="F291" s="8"/>
    </row>
    <row r="292" spans="1:6" ht="20.25" customHeight="1">
      <c r="A292" s="20"/>
      <c r="B292" s="21"/>
      <c r="C292" s="22"/>
      <c r="E292" s="8"/>
      <c r="F292" s="8"/>
    </row>
    <row r="293" spans="1:6" ht="20.25" customHeight="1">
      <c r="A293" s="20"/>
      <c r="B293" s="21"/>
      <c r="C293" s="22"/>
      <c r="E293" s="8"/>
      <c r="F293" s="8"/>
    </row>
    <row r="294" spans="1:6" ht="20.25" customHeight="1">
      <c r="A294" s="20"/>
      <c r="B294" s="21"/>
      <c r="C294" s="22"/>
      <c r="E294" s="8"/>
      <c r="F294" s="8"/>
    </row>
    <row r="295" spans="1:6" ht="20.25" customHeight="1">
      <c r="A295" s="20"/>
      <c r="B295" s="21"/>
      <c r="C295" s="22"/>
      <c r="E295" s="8"/>
      <c r="F295" s="8"/>
    </row>
    <row r="296" spans="1:6" ht="20.25" customHeight="1">
      <c r="A296" s="20"/>
      <c r="B296" s="21"/>
      <c r="C296" s="22"/>
      <c r="E296" s="8"/>
      <c r="F296" s="8"/>
    </row>
    <row r="297" spans="1:6" ht="20.25" customHeight="1">
      <c r="A297" s="20"/>
      <c r="B297" s="21"/>
      <c r="C297" s="22"/>
      <c r="E297" s="8"/>
      <c r="F297" s="8"/>
    </row>
    <row r="298" spans="1:6" ht="20.25" customHeight="1">
      <c r="A298" s="20"/>
      <c r="B298" s="21"/>
      <c r="C298" s="22"/>
      <c r="E298" s="8"/>
      <c r="F298" s="8"/>
    </row>
    <row r="299" spans="1:6" ht="20.25" customHeight="1">
      <c r="A299" s="20"/>
      <c r="B299" s="21"/>
      <c r="C299" s="22"/>
      <c r="E299" s="8"/>
      <c r="F299" s="8"/>
    </row>
    <row r="300" spans="1:6" ht="20.25" customHeight="1">
      <c r="A300" s="20"/>
      <c r="B300" s="21"/>
      <c r="C300" s="22"/>
      <c r="E300" s="8"/>
      <c r="F300" s="8"/>
    </row>
    <row r="301" spans="1:6" ht="20.25" customHeight="1">
      <c r="A301" s="20"/>
      <c r="B301" s="21"/>
      <c r="C301" s="22"/>
      <c r="E301" s="8"/>
      <c r="F301" s="8"/>
    </row>
    <row r="302" spans="1:6" ht="20.25" customHeight="1">
      <c r="A302" s="20"/>
      <c r="B302" s="21"/>
      <c r="C302" s="22"/>
      <c r="E302" s="8"/>
      <c r="F302" s="8"/>
    </row>
    <row r="303" spans="1:6" ht="20.25" customHeight="1">
      <c r="A303" s="20"/>
      <c r="B303" s="21"/>
      <c r="C303" s="22"/>
      <c r="E303" s="8"/>
      <c r="F303" s="8"/>
    </row>
    <row r="304" spans="1:6" ht="20.25" customHeight="1">
      <c r="A304" s="20"/>
      <c r="B304" s="21"/>
      <c r="C304" s="22"/>
      <c r="E304" s="8"/>
      <c r="F304" s="8"/>
    </row>
    <row r="305" spans="1:6" ht="20.25" customHeight="1">
      <c r="A305" s="20"/>
      <c r="B305" s="21"/>
      <c r="C305" s="22"/>
      <c r="E305" s="8"/>
      <c r="F305" s="8"/>
    </row>
    <row r="306" spans="1:6" ht="20.25" customHeight="1">
      <c r="A306" s="20"/>
      <c r="B306" s="21"/>
      <c r="C306" s="22"/>
      <c r="E306" s="8"/>
      <c r="F306" s="8"/>
    </row>
    <row r="307" spans="1:6" ht="20.25" customHeight="1">
      <c r="A307" s="20"/>
      <c r="B307" s="21"/>
      <c r="C307" s="22"/>
      <c r="E307" s="8"/>
      <c r="F307" s="8"/>
    </row>
    <row r="308" spans="1:6" ht="20.25" customHeight="1">
      <c r="A308" s="20"/>
      <c r="B308" s="21"/>
      <c r="C308" s="22"/>
      <c r="E308" s="8"/>
      <c r="F308" s="8"/>
    </row>
    <row r="309" spans="1:6" ht="20.25" customHeight="1">
      <c r="A309" s="20"/>
      <c r="B309" s="21"/>
      <c r="C309" s="22"/>
      <c r="E309" s="8"/>
      <c r="F309" s="8"/>
    </row>
    <row r="310" spans="1:6" ht="20.25" customHeight="1">
      <c r="A310" s="20"/>
      <c r="B310" s="21"/>
      <c r="C310" s="22"/>
      <c r="E310" s="8"/>
      <c r="F310" s="8"/>
    </row>
    <row r="311" spans="1:6" ht="20.25" customHeight="1">
      <c r="A311" s="20"/>
      <c r="B311" s="21"/>
      <c r="C311" s="22"/>
      <c r="E311" s="8"/>
      <c r="F311" s="8"/>
    </row>
    <row r="312" spans="1:6" ht="20.25" customHeight="1">
      <c r="A312" s="20"/>
      <c r="B312" s="21"/>
      <c r="C312" s="22"/>
      <c r="E312" s="8"/>
      <c r="F312" s="8"/>
    </row>
    <row r="313" spans="1:6" ht="20.25" customHeight="1">
      <c r="A313" s="20"/>
      <c r="B313" s="21"/>
      <c r="C313" s="22"/>
      <c r="E313" s="8"/>
      <c r="F313" s="8"/>
    </row>
    <row r="314" spans="1:6" ht="20.25" customHeight="1">
      <c r="A314" s="20"/>
      <c r="B314" s="21"/>
      <c r="C314" s="22"/>
      <c r="E314" s="8"/>
      <c r="F314" s="8"/>
    </row>
    <row r="315" spans="1:6" ht="20.25" customHeight="1">
      <c r="A315" s="20"/>
      <c r="B315" s="21"/>
      <c r="C315" s="22"/>
      <c r="E315" s="8"/>
      <c r="F315" s="8"/>
    </row>
    <row r="316" spans="1:6" ht="20.25" customHeight="1">
      <c r="A316" s="20"/>
      <c r="B316" s="21"/>
      <c r="C316" s="22"/>
      <c r="E316" s="8"/>
      <c r="F316" s="8"/>
    </row>
    <row r="317" spans="1:6" ht="20.25" customHeight="1">
      <c r="A317" s="20"/>
      <c r="B317" s="21"/>
      <c r="C317" s="22"/>
      <c r="E317" s="8"/>
      <c r="F317" s="8"/>
    </row>
    <row r="318" spans="1:6" ht="20.25" customHeight="1">
      <c r="A318" s="20"/>
      <c r="B318" s="21"/>
      <c r="C318" s="22"/>
      <c r="E318" s="8"/>
      <c r="F318" s="8"/>
    </row>
    <row r="319" spans="1:6" ht="20.25" customHeight="1">
      <c r="A319" s="20"/>
      <c r="B319" s="21"/>
      <c r="C319" s="22"/>
      <c r="E319" s="8"/>
      <c r="F319" s="8"/>
    </row>
    <row r="320" spans="1:6" ht="20.25" customHeight="1">
      <c r="A320" s="20"/>
      <c r="B320" s="21"/>
      <c r="C320" s="22"/>
      <c r="E320" s="8"/>
      <c r="F320" s="8"/>
    </row>
    <row r="321" spans="1:6" ht="20.25" customHeight="1">
      <c r="A321" s="20"/>
      <c r="B321" s="21"/>
      <c r="C321" s="22"/>
      <c r="E321" s="8"/>
      <c r="F321" s="8"/>
    </row>
    <row r="322" spans="1:6" ht="20.25" customHeight="1">
      <c r="A322" s="20"/>
      <c r="B322" s="21"/>
      <c r="C322" s="22"/>
      <c r="E322" s="8"/>
      <c r="F322" s="8"/>
    </row>
    <row r="323" spans="1:6" ht="20.25" customHeight="1">
      <c r="A323" s="20"/>
      <c r="B323" s="21"/>
      <c r="C323" s="22"/>
      <c r="E323" s="8"/>
      <c r="F323" s="8"/>
    </row>
    <row r="324" spans="1:6" ht="20.25" customHeight="1">
      <c r="A324" s="20"/>
      <c r="B324" s="21"/>
      <c r="C324" s="22"/>
      <c r="E324" s="8"/>
      <c r="F324" s="8"/>
    </row>
    <row r="325" spans="1:6" ht="20.25" customHeight="1">
      <c r="A325" s="20"/>
      <c r="B325" s="21"/>
      <c r="C325" s="22"/>
      <c r="E325" s="8"/>
      <c r="F325" s="8"/>
    </row>
    <row r="326" spans="1:6" ht="20.25" customHeight="1">
      <c r="A326" s="20"/>
      <c r="B326" s="21"/>
      <c r="C326" s="22"/>
      <c r="E326" s="8"/>
      <c r="F326" s="8"/>
    </row>
    <row r="327" spans="1:6" ht="20.25" customHeight="1">
      <c r="A327" s="20"/>
      <c r="B327" s="21"/>
      <c r="C327" s="22"/>
      <c r="E327" s="8"/>
      <c r="F327" s="8"/>
    </row>
    <row r="328" spans="1:6" ht="20.25" customHeight="1">
      <c r="A328" s="20"/>
      <c r="B328" s="21"/>
      <c r="C328" s="22"/>
      <c r="E328" s="8"/>
      <c r="F328" s="8"/>
    </row>
    <row r="329" spans="1:6" ht="20.25" customHeight="1">
      <c r="A329" s="20"/>
      <c r="B329" s="21"/>
      <c r="C329" s="22"/>
      <c r="E329" s="8"/>
      <c r="F329" s="8"/>
    </row>
    <row r="330" spans="1:6" ht="20.25" customHeight="1">
      <c r="A330" s="20"/>
      <c r="B330" s="21"/>
      <c r="C330" s="22"/>
      <c r="E330" s="8"/>
      <c r="F330" s="8"/>
    </row>
    <row r="331" spans="1:6" ht="20.25" customHeight="1">
      <c r="A331" s="20"/>
      <c r="B331" s="21"/>
      <c r="C331" s="22"/>
      <c r="E331" s="8"/>
      <c r="F331" s="8"/>
    </row>
    <row r="332" spans="1:6" ht="20.25" customHeight="1">
      <c r="A332" s="20"/>
      <c r="B332" s="21"/>
      <c r="C332" s="22"/>
      <c r="E332" s="8"/>
      <c r="F332" s="8"/>
    </row>
    <row r="333" spans="1:6" ht="20.25" customHeight="1">
      <c r="A333" s="20"/>
      <c r="B333" s="21"/>
      <c r="C333" s="22"/>
      <c r="E333" s="8"/>
      <c r="F333" s="8"/>
    </row>
    <row r="334" spans="1:6" ht="20.25" customHeight="1">
      <c r="A334" s="20"/>
      <c r="B334" s="21"/>
      <c r="C334" s="22"/>
      <c r="E334" s="8"/>
      <c r="F334" s="8"/>
    </row>
    <row r="335" spans="1:6" ht="20.25" customHeight="1">
      <c r="A335" s="20"/>
      <c r="B335" s="21"/>
      <c r="C335" s="22"/>
      <c r="E335" s="8"/>
      <c r="F335" s="8"/>
    </row>
    <row r="336" spans="1:6" ht="20.25" customHeight="1">
      <c r="A336" s="20"/>
      <c r="B336" s="21"/>
      <c r="C336" s="22"/>
      <c r="E336" s="8"/>
      <c r="F336" s="8"/>
    </row>
    <row r="337" spans="1:6" ht="20.25" customHeight="1">
      <c r="A337" s="20"/>
      <c r="B337" s="21"/>
      <c r="C337" s="22"/>
      <c r="E337" s="8"/>
      <c r="F337" s="8"/>
    </row>
    <row r="338" spans="1:6" ht="20.25" customHeight="1">
      <c r="A338" s="20"/>
      <c r="B338" s="21"/>
      <c r="C338" s="22"/>
      <c r="E338" s="8"/>
      <c r="F338" s="8"/>
    </row>
    <row r="339" spans="1:6" ht="20.25" customHeight="1">
      <c r="A339" s="20"/>
      <c r="B339" s="21"/>
      <c r="C339" s="22"/>
      <c r="E339" s="8"/>
      <c r="F339" s="8"/>
    </row>
    <row r="340" spans="1:6" ht="20.25" customHeight="1">
      <c r="A340" s="20"/>
      <c r="B340" s="21"/>
      <c r="C340" s="22"/>
      <c r="E340" s="8"/>
      <c r="F340" s="8"/>
    </row>
    <row r="341" spans="1:6" ht="20.25" customHeight="1">
      <c r="A341" s="20"/>
      <c r="B341" s="21"/>
      <c r="C341" s="22"/>
      <c r="E341" s="8"/>
      <c r="F341" s="8"/>
    </row>
    <row r="342" spans="1:6" ht="20.25" customHeight="1">
      <c r="A342" s="20"/>
      <c r="B342" s="21"/>
      <c r="C342" s="22"/>
      <c r="E342" s="8"/>
      <c r="F342" s="8"/>
    </row>
    <row r="343" spans="1:6" ht="20.25" customHeight="1">
      <c r="A343" s="20"/>
      <c r="B343" s="21"/>
      <c r="C343" s="22"/>
      <c r="E343" s="8"/>
      <c r="F343" s="8"/>
    </row>
    <row r="344" spans="1:6" ht="20.25" customHeight="1">
      <c r="A344" s="20"/>
      <c r="B344" s="21"/>
      <c r="C344" s="22"/>
      <c r="E344" s="8"/>
      <c r="F344" s="8"/>
    </row>
    <row r="345" spans="1:6" ht="20.25" customHeight="1">
      <c r="A345" s="20"/>
      <c r="B345" s="21"/>
      <c r="C345" s="22"/>
      <c r="E345" s="8"/>
      <c r="F345" s="8"/>
    </row>
    <row r="346" spans="1:6" ht="20.25" customHeight="1">
      <c r="A346" s="20"/>
      <c r="B346" s="21"/>
      <c r="C346" s="22"/>
      <c r="E346" s="8"/>
      <c r="F346" s="8"/>
    </row>
    <row r="347" spans="1:6" ht="20.25" customHeight="1">
      <c r="A347" s="20"/>
      <c r="B347" s="21"/>
      <c r="C347" s="22"/>
      <c r="E347" s="8"/>
      <c r="F347" s="8"/>
    </row>
    <row r="348" spans="1:6" ht="20.25" customHeight="1">
      <c r="A348" s="20"/>
      <c r="B348" s="21"/>
      <c r="C348" s="22"/>
      <c r="E348" s="8"/>
      <c r="F348" s="8"/>
    </row>
    <row r="349" spans="1:6" ht="20.25" customHeight="1">
      <c r="A349" s="20"/>
      <c r="B349" s="21"/>
      <c r="C349" s="22"/>
      <c r="E349" s="8"/>
      <c r="F349" s="8"/>
    </row>
    <row r="350" spans="1:6" ht="20.25" customHeight="1">
      <c r="A350" s="20"/>
      <c r="B350" s="21"/>
      <c r="C350" s="22"/>
      <c r="E350" s="8"/>
      <c r="F350" s="8"/>
    </row>
    <row r="351" spans="1:6" ht="20.25" customHeight="1">
      <c r="A351" s="20"/>
      <c r="B351" s="21"/>
      <c r="C351" s="22"/>
      <c r="E351" s="8"/>
      <c r="F351" s="8"/>
    </row>
    <row r="352" spans="1:6" ht="20.25" customHeight="1">
      <c r="A352" s="20"/>
      <c r="B352" s="21"/>
      <c r="C352" s="22"/>
      <c r="E352" s="8"/>
      <c r="F352" s="8"/>
    </row>
    <row r="353" spans="1:6" ht="20.25" customHeight="1">
      <c r="A353" s="20"/>
      <c r="B353" s="21"/>
      <c r="C353" s="22"/>
      <c r="E353" s="8"/>
      <c r="F353" s="8"/>
    </row>
    <row r="354" spans="1:6" ht="20.25" customHeight="1">
      <c r="A354" s="20"/>
      <c r="B354" s="21"/>
      <c r="C354" s="22"/>
      <c r="E354" s="8"/>
      <c r="F354" s="8"/>
    </row>
    <row r="355" spans="1:6" ht="20.25" customHeight="1">
      <c r="A355" s="20"/>
      <c r="B355" s="21"/>
      <c r="C355" s="22"/>
      <c r="E355" s="8"/>
      <c r="F355" s="8"/>
    </row>
    <row r="356" spans="1:6" ht="20.25" customHeight="1">
      <c r="A356" s="20"/>
      <c r="B356" s="21"/>
      <c r="C356" s="22"/>
      <c r="E356" s="8"/>
      <c r="F356" s="8"/>
    </row>
    <row r="357" spans="1:6" ht="20.25" customHeight="1">
      <c r="A357" s="20"/>
      <c r="B357" s="21"/>
      <c r="C357" s="22"/>
      <c r="E357" s="8"/>
      <c r="F357" s="8"/>
    </row>
    <row r="358" spans="1:6" ht="20.25" customHeight="1">
      <c r="A358" s="20"/>
      <c r="B358" s="21"/>
      <c r="C358" s="22"/>
      <c r="E358" s="8"/>
      <c r="F358" s="8"/>
    </row>
    <row r="359" spans="1:6" ht="20.25" customHeight="1">
      <c r="A359" s="20"/>
      <c r="B359" s="21"/>
      <c r="C359" s="22"/>
      <c r="E359" s="8"/>
      <c r="F359" s="8"/>
    </row>
    <row r="360" spans="1:6" ht="20.25" customHeight="1">
      <c r="A360" s="20"/>
      <c r="B360" s="21"/>
      <c r="C360" s="22"/>
      <c r="E360" s="8"/>
      <c r="F360" s="8"/>
    </row>
    <row r="361" spans="1:6" ht="20.25" customHeight="1">
      <c r="A361" s="20"/>
      <c r="B361" s="21"/>
      <c r="C361" s="22"/>
      <c r="E361" s="8"/>
      <c r="F361" s="8"/>
    </row>
    <row r="362" spans="1:6" ht="20.25" customHeight="1">
      <c r="A362" s="20"/>
      <c r="B362" s="21"/>
      <c r="C362" s="22"/>
      <c r="E362" s="8"/>
      <c r="F362" s="8"/>
    </row>
    <row r="363" spans="1:6" ht="20.25" customHeight="1">
      <c r="A363" s="20"/>
      <c r="B363" s="21"/>
      <c r="C363" s="22"/>
      <c r="E363" s="8"/>
      <c r="F363" s="8"/>
    </row>
    <row r="364" spans="1:6" ht="20.25" customHeight="1">
      <c r="A364" s="20"/>
      <c r="B364" s="21"/>
      <c r="C364" s="22"/>
      <c r="E364" s="8"/>
      <c r="F364" s="8"/>
    </row>
    <row r="365" spans="1:6" ht="20.25" customHeight="1">
      <c r="A365" s="20"/>
      <c r="B365" s="21"/>
      <c r="C365" s="22"/>
      <c r="E365" s="8"/>
      <c r="F365" s="8"/>
    </row>
    <row r="366" spans="1:6" ht="20.25" customHeight="1">
      <c r="A366" s="20"/>
      <c r="B366" s="21"/>
      <c r="C366" s="22"/>
      <c r="E366" s="8"/>
      <c r="F366" s="8"/>
    </row>
    <row r="367" spans="1:6" ht="20.25" customHeight="1">
      <c r="A367" s="20"/>
      <c r="B367" s="21"/>
      <c r="C367" s="22"/>
      <c r="E367" s="8"/>
      <c r="F367" s="8"/>
    </row>
    <row r="368" spans="1:6" ht="20.25" customHeight="1">
      <c r="A368" s="20"/>
      <c r="B368" s="21"/>
      <c r="C368" s="22"/>
      <c r="E368" s="8"/>
      <c r="F368" s="8"/>
    </row>
    <row r="369" spans="1:6" ht="20.25" customHeight="1">
      <c r="A369" s="20"/>
      <c r="B369" s="21"/>
      <c r="C369" s="22"/>
      <c r="E369" s="8"/>
      <c r="F369" s="8"/>
    </row>
    <row r="370" spans="1:6" ht="20.25" customHeight="1">
      <c r="A370" s="20"/>
      <c r="B370" s="21"/>
      <c r="C370" s="22"/>
      <c r="E370" s="8"/>
      <c r="F370" s="8"/>
    </row>
    <row r="371" spans="1:6" ht="20.25" customHeight="1">
      <c r="A371" s="20"/>
      <c r="B371" s="21"/>
      <c r="C371" s="22"/>
      <c r="E371" s="8"/>
      <c r="F371" s="8"/>
    </row>
    <row r="372" spans="1:6" ht="20.25" customHeight="1">
      <c r="A372" s="20"/>
      <c r="B372" s="21"/>
      <c r="C372" s="22"/>
      <c r="E372" s="8"/>
      <c r="F372" s="8"/>
    </row>
    <row r="373" spans="1:6" ht="20.25" customHeight="1">
      <c r="A373" s="20"/>
      <c r="B373" s="21"/>
      <c r="C373" s="22"/>
      <c r="E373" s="8"/>
      <c r="F373" s="8"/>
    </row>
    <row r="374" spans="1:6" ht="20.25" customHeight="1">
      <c r="A374" s="20"/>
      <c r="B374" s="21"/>
      <c r="C374" s="22"/>
      <c r="E374" s="8"/>
      <c r="F374" s="8"/>
    </row>
    <row r="375" spans="1:6" ht="20.25" customHeight="1">
      <c r="A375" s="20"/>
      <c r="B375" s="21"/>
      <c r="C375" s="22"/>
      <c r="E375" s="8"/>
      <c r="F375" s="8"/>
    </row>
    <row r="376" spans="1:6" ht="20.25" customHeight="1">
      <c r="A376" s="20"/>
      <c r="B376" s="21"/>
      <c r="C376" s="22"/>
      <c r="E376" s="8"/>
      <c r="F376" s="8"/>
    </row>
    <row r="377" spans="1:6" ht="20.25" customHeight="1">
      <c r="A377" s="20"/>
      <c r="B377" s="21"/>
      <c r="C377" s="22"/>
      <c r="E377" s="8"/>
      <c r="F377" s="8"/>
    </row>
    <row r="378" spans="1:6" ht="20.25" customHeight="1">
      <c r="A378" s="20"/>
      <c r="B378" s="21"/>
      <c r="C378" s="22"/>
      <c r="E378" s="8"/>
      <c r="F378" s="8"/>
    </row>
    <row r="379" spans="1:6" ht="20.25" customHeight="1">
      <c r="A379" s="20"/>
      <c r="B379" s="21"/>
      <c r="C379" s="22"/>
      <c r="E379" s="8"/>
      <c r="F379" s="8"/>
    </row>
    <row r="380" spans="1:6" ht="20.25" customHeight="1">
      <c r="A380" s="20"/>
      <c r="B380" s="21"/>
      <c r="C380" s="22"/>
      <c r="E380" s="8"/>
      <c r="F380" s="8"/>
    </row>
    <row r="381" spans="1:6" ht="20.25" customHeight="1">
      <c r="A381" s="20"/>
      <c r="B381" s="21"/>
      <c r="C381" s="22"/>
      <c r="E381" s="8"/>
      <c r="F381" s="8"/>
    </row>
    <row r="382" spans="1:6" ht="20.25" customHeight="1">
      <c r="A382" s="20"/>
      <c r="B382" s="21"/>
      <c r="C382" s="22"/>
      <c r="E382" s="8"/>
      <c r="F382" s="8"/>
    </row>
    <row r="383" spans="1:6" ht="20.25" customHeight="1">
      <c r="A383" s="20"/>
      <c r="B383" s="21"/>
      <c r="C383" s="22"/>
      <c r="E383" s="8"/>
      <c r="F383" s="8"/>
    </row>
    <row r="384" spans="1:6" ht="20.25" customHeight="1">
      <c r="A384" s="20"/>
      <c r="B384" s="21"/>
      <c r="C384" s="22"/>
      <c r="E384" s="8"/>
      <c r="F384" s="8"/>
    </row>
    <row r="385" spans="1:6" ht="20.25" customHeight="1">
      <c r="A385" s="20"/>
      <c r="B385" s="21"/>
      <c r="C385" s="22"/>
      <c r="E385" s="8"/>
      <c r="F385" s="8"/>
    </row>
    <row r="386" spans="1:6" ht="20.25" customHeight="1">
      <c r="A386" s="20"/>
      <c r="B386" s="21"/>
      <c r="C386" s="22"/>
      <c r="E386" s="8"/>
      <c r="F386" s="8"/>
    </row>
    <row r="387" spans="1:6" ht="20.25" customHeight="1">
      <c r="A387" s="20"/>
      <c r="B387" s="21"/>
      <c r="C387" s="22"/>
      <c r="E387" s="8"/>
      <c r="F387" s="8"/>
    </row>
    <row r="388" spans="1:6" ht="20.25" customHeight="1">
      <c r="A388" s="20"/>
      <c r="B388" s="21"/>
      <c r="C388" s="22"/>
      <c r="E388" s="8"/>
      <c r="F388" s="8"/>
    </row>
    <row r="389" spans="1:6" ht="20.25" customHeight="1">
      <c r="A389" s="20"/>
      <c r="B389" s="21"/>
      <c r="C389" s="22"/>
      <c r="E389" s="8"/>
      <c r="F389" s="8"/>
    </row>
    <row r="390" spans="1:6" ht="20.25" customHeight="1">
      <c r="A390" s="20"/>
      <c r="B390" s="21"/>
      <c r="C390" s="22"/>
      <c r="E390" s="8"/>
      <c r="F390" s="8"/>
    </row>
    <row r="391" spans="1:6" ht="20.25" customHeight="1">
      <c r="A391" s="20"/>
      <c r="B391" s="21"/>
      <c r="C391" s="22"/>
      <c r="E391" s="8"/>
      <c r="F391" s="8"/>
    </row>
    <row r="392" spans="1:6" ht="20.25" customHeight="1">
      <c r="A392" s="20"/>
      <c r="B392" s="21"/>
      <c r="C392" s="22"/>
      <c r="E392" s="8"/>
      <c r="F392" s="8"/>
    </row>
    <row r="393" spans="1:6" ht="20.25" customHeight="1">
      <c r="A393" s="20"/>
      <c r="B393" s="21"/>
      <c r="C393" s="22"/>
      <c r="E393" s="8"/>
      <c r="F393" s="8"/>
    </row>
    <row r="394" spans="1:6" ht="20.25" customHeight="1">
      <c r="A394" s="20"/>
      <c r="B394" s="21"/>
      <c r="C394" s="22"/>
      <c r="E394" s="8"/>
      <c r="F394" s="8"/>
    </row>
    <row r="395" spans="1:6" ht="20.25" customHeight="1">
      <c r="A395" s="20"/>
      <c r="B395" s="21"/>
      <c r="C395" s="22"/>
      <c r="E395" s="8"/>
      <c r="F395" s="8"/>
    </row>
    <row r="396" spans="1:6" ht="20.25" customHeight="1">
      <c r="A396" s="20"/>
      <c r="B396" s="21"/>
      <c r="C396" s="22"/>
      <c r="E396" s="8"/>
      <c r="F396" s="8"/>
    </row>
    <row r="397" spans="1:6" ht="20.25" customHeight="1">
      <c r="A397" s="20"/>
      <c r="B397" s="21"/>
      <c r="C397" s="22"/>
      <c r="E397" s="8"/>
      <c r="F397" s="8"/>
    </row>
    <row r="398" spans="1:6" ht="20.25" customHeight="1">
      <c r="A398" s="20"/>
      <c r="B398" s="21"/>
      <c r="C398" s="22"/>
      <c r="E398" s="8"/>
      <c r="F398" s="8"/>
    </row>
    <row r="399" spans="1:6" ht="20.25" customHeight="1">
      <c r="A399" s="20"/>
      <c r="B399" s="21"/>
      <c r="C399" s="22"/>
      <c r="E399" s="8"/>
      <c r="F399" s="8"/>
    </row>
    <row r="400" spans="1:6" ht="20.25" customHeight="1">
      <c r="A400" s="20"/>
      <c r="B400" s="21"/>
      <c r="C400" s="22"/>
      <c r="E400" s="8"/>
      <c r="F400" s="8"/>
    </row>
    <row r="401" spans="1:6" ht="20.25" customHeight="1">
      <c r="A401" s="20"/>
      <c r="B401" s="21"/>
      <c r="C401" s="22"/>
      <c r="E401" s="8"/>
      <c r="F401" s="8"/>
    </row>
    <row r="402" spans="1:6" ht="20.25" customHeight="1">
      <c r="A402" s="20"/>
      <c r="B402" s="21"/>
      <c r="C402" s="22"/>
      <c r="E402" s="8"/>
      <c r="F402" s="8"/>
    </row>
    <row r="403" spans="1:6" ht="20.25" customHeight="1">
      <c r="A403" s="20"/>
      <c r="B403" s="21"/>
      <c r="C403" s="22"/>
      <c r="E403" s="8"/>
      <c r="F403" s="8"/>
    </row>
    <row r="404" spans="1:6" ht="20.25" customHeight="1">
      <c r="A404" s="20"/>
      <c r="B404" s="21"/>
      <c r="C404" s="22"/>
      <c r="E404" s="8"/>
      <c r="F404" s="8"/>
    </row>
    <row r="405" spans="1:6" ht="20.25" customHeight="1">
      <c r="A405" s="20"/>
      <c r="B405" s="21"/>
      <c r="C405" s="22"/>
      <c r="E405" s="8"/>
      <c r="F405" s="8"/>
    </row>
    <row r="406" spans="1:6" ht="20.25" customHeight="1">
      <c r="A406" s="20"/>
      <c r="B406" s="21"/>
      <c r="C406" s="22"/>
      <c r="E406" s="8"/>
      <c r="F406" s="8"/>
    </row>
    <row r="407" spans="1:6" ht="20.25" customHeight="1">
      <c r="A407" s="20"/>
      <c r="B407" s="21"/>
      <c r="C407" s="22"/>
      <c r="E407" s="8"/>
      <c r="F407" s="8"/>
    </row>
    <row r="408" spans="1:6" ht="20.25" customHeight="1">
      <c r="A408" s="20"/>
      <c r="B408" s="21"/>
      <c r="C408" s="22"/>
      <c r="E408" s="8"/>
      <c r="F408" s="8"/>
    </row>
    <row r="409" spans="1:6" ht="20.25" customHeight="1">
      <c r="A409" s="20"/>
      <c r="B409" s="21"/>
      <c r="C409" s="22"/>
      <c r="E409" s="8"/>
      <c r="F409" s="8"/>
    </row>
    <row r="410" spans="1:6" ht="20.25" customHeight="1">
      <c r="A410" s="20"/>
      <c r="B410" s="21"/>
      <c r="C410" s="22"/>
      <c r="E410" s="8"/>
      <c r="F410" s="8"/>
    </row>
    <row r="411" spans="1:6" ht="20.25" customHeight="1">
      <c r="A411" s="20"/>
      <c r="B411" s="21"/>
      <c r="C411" s="22"/>
      <c r="E411" s="8"/>
      <c r="F411" s="8"/>
    </row>
    <row r="412" spans="1:6" ht="20.25" customHeight="1">
      <c r="A412" s="20"/>
      <c r="B412" s="21"/>
      <c r="C412" s="22"/>
      <c r="E412" s="8"/>
      <c r="F412" s="8"/>
    </row>
    <row r="413" spans="1:6" ht="20.25" customHeight="1">
      <c r="A413" s="20"/>
      <c r="B413" s="21"/>
      <c r="C413" s="22"/>
      <c r="E413" s="8"/>
      <c r="F413" s="8"/>
    </row>
    <row r="414" spans="1:6" ht="20.25" customHeight="1">
      <c r="A414" s="20"/>
      <c r="B414" s="21"/>
      <c r="C414" s="22"/>
      <c r="E414" s="8"/>
      <c r="F414" s="8"/>
    </row>
    <row r="415" spans="1:6" ht="20.25" customHeight="1">
      <c r="A415" s="20"/>
      <c r="B415" s="21"/>
      <c r="C415" s="22"/>
      <c r="E415" s="8"/>
      <c r="F415" s="8"/>
    </row>
    <row r="416" spans="1:6" ht="20.25" customHeight="1">
      <c r="A416" s="20"/>
      <c r="B416" s="21"/>
      <c r="C416" s="22"/>
      <c r="E416" s="8"/>
      <c r="F416" s="8"/>
    </row>
    <row r="417" spans="1:6" ht="20.25" customHeight="1">
      <c r="A417" s="20"/>
      <c r="B417" s="21"/>
      <c r="C417" s="22"/>
      <c r="E417" s="8"/>
      <c r="F417" s="8"/>
    </row>
    <row r="418" spans="1:6" ht="20.25" customHeight="1">
      <c r="A418" s="20"/>
      <c r="B418" s="21"/>
      <c r="C418" s="22"/>
      <c r="E418" s="8"/>
      <c r="F418" s="8"/>
    </row>
    <row r="419" spans="1:6" ht="20.25" customHeight="1">
      <c r="A419" s="20"/>
      <c r="B419" s="21"/>
      <c r="C419" s="22"/>
      <c r="E419" s="8"/>
      <c r="F419" s="8"/>
    </row>
    <row r="420" spans="1:6" ht="20.25" customHeight="1">
      <c r="A420" s="20"/>
      <c r="B420" s="21"/>
      <c r="C420" s="22"/>
      <c r="E420" s="8"/>
      <c r="F420" s="8"/>
    </row>
    <row r="421" spans="1:6" ht="20.25" customHeight="1">
      <c r="A421" s="20"/>
      <c r="B421" s="21"/>
      <c r="C421" s="22"/>
      <c r="E421" s="8"/>
      <c r="F421" s="8"/>
    </row>
    <row r="422" spans="1:6" ht="20.25" customHeight="1">
      <c r="A422" s="20"/>
      <c r="B422" s="21"/>
      <c r="C422" s="22"/>
      <c r="E422" s="8"/>
      <c r="F422" s="8"/>
    </row>
    <row r="423" spans="1:6" ht="20.25" customHeight="1">
      <c r="A423" s="20"/>
      <c r="B423" s="21"/>
      <c r="C423" s="22"/>
      <c r="E423" s="8"/>
      <c r="F423" s="8"/>
    </row>
    <row r="424" spans="1:6" ht="20.25" customHeight="1">
      <c r="A424" s="20"/>
      <c r="B424" s="21"/>
      <c r="C424" s="22"/>
      <c r="E424" s="8"/>
      <c r="F424" s="8"/>
    </row>
    <row r="425" spans="1:6" ht="20.25" customHeight="1">
      <c r="A425" s="20"/>
      <c r="B425" s="21"/>
      <c r="C425" s="22"/>
      <c r="E425" s="8"/>
      <c r="F425" s="8"/>
    </row>
    <row r="426" spans="1:6" ht="20.25" customHeight="1">
      <c r="A426" s="20"/>
      <c r="B426" s="21"/>
      <c r="C426" s="22"/>
      <c r="E426" s="8"/>
      <c r="F426" s="8"/>
    </row>
    <row r="427" spans="1:6" ht="20.25" customHeight="1">
      <c r="A427" s="20"/>
      <c r="B427" s="21"/>
      <c r="C427" s="22"/>
      <c r="E427" s="8"/>
      <c r="F427" s="8"/>
    </row>
    <row r="428" spans="1:6" ht="20.25" customHeight="1">
      <c r="A428" s="20"/>
      <c r="B428" s="21"/>
      <c r="C428" s="22"/>
      <c r="E428" s="8"/>
      <c r="F428" s="8"/>
    </row>
    <row r="429" spans="1:6" ht="20.25" customHeight="1">
      <c r="A429" s="20"/>
      <c r="B429" s="21"/>
      <c r="C429" s="22"/>
      <c r="E429" s="8"/>
      <c r="F429" s="8"/>
    </row>
    <row r="430" spans="1:6" ht="20.25" customHeight="1">
      <c r="A430" s="20"/>
      <c r="B430" s="21"/>
      <c r="C430" s="22"/>
      <c r="E430" s="8"/>
      <c r="F430" s="8"/>
    </row>
    <row r="431" spans="1:6" ht="20.25" customHeight="1">
      <c r="A431" s="20"/>
      <c r="B431" s="21"/>
      <c r="C431" s="22"/>
      <c r="E431" s="8"/>
      <c r="F431" s="8"/>
    </row>
    <row r="432" spans="1:6" ht="20.25" customHeight="1">
      <c r="A432" s="20"/>
      <c r="B432" s="21"/>
      <c r="C432" s="22"/>
      <c r="E432" s="8"/>
      <c r="F432" s="8"/>
    </row>
    <row r="433" spans="1:6" ht="20.25" customHeight="1">
      <c r="A433" s="20"/>
      <c r="B433" s="21"/>
      <c r="C433" s="22"/>
      <c r="E433" s="8"/>
      <c r="F433" s="8"/>
    </row>
    <row r="434" spans="1:6" ht="20.25" customHeight="1">
      <c r="A434" s="20"/>
      <c r="B434" s="21"/>
      <c r="C434" s="22"/>
      <c r="E434" s="8"/>
      <c r="F434" s="8"/>
    </row>
    <row r="435" spans="1:6" ht="20.25" customHeight="1">
      <c r="A435" s="20"/>
      <c r="B435" s="21"/>
      <c r="C435" s="22"/>
      <c r="E435" s="8"/>
      <c r="F435" s="8"/>
    </row>
    <row r="436" spans="1:6" ht="20.25" customHeight="1">
      <c r="A436" s="20"/>
      <c r="B436" s="21"/>
      <c r="C436" s="22"/>
      <c r="E436" s="8"/>
      <c r="F436" s="8"/>
    </row>
    <row r="437" spans="1:6" ht="20.25" customHeight="1">
      <c r="A437" s="20"/>
      <c r="B437" s="21"/>
      <c r="C437" s="22"/>
      <c r="E437" s="8"/>
      <c r="F437" s="8"/>
    </row>
    <row r="438" spans="1:6" ht="20.25" customHeight="1">
      <c r="A438" s="20"/>
      <c r="B438" s="21"/>
      <c r="C438" s="22"/>
      <c r="E438" s="8"/>
      <c r="F438" s="8"/>
    </row>
    <row r="439" spans="1:6" ht="20.25" customHeight="1">
      <c r="A439" s="20"/>
      <c r="B439" s="21"/>
      <c r="C439" s="22"/>
      <c r="E439" s="8"/>
      <c r="F439" s="8"/>
    </row>
    <row r="440" spans="1:6" ht="20.25" customHeight="1">
      <c r="A440" s="20"/>
      <c r="B440" s="21"/>
      <c r="C440" s="22"/>
      <c r="E440" s="8"/>
      <c r="F440" s="8"/>
    </row>
    <row r="441" spans="1:6" ht="20.25" customHeight="1">
      <c r="A441" s="20"/>
      <c r="B441" s="21"/>
      <c r="C441" s="22"/>
      <c r="E441" s="8"/>
      <c r="F441" s="8"/>
    </row>
    <row r="442" spans="1:6" ht="20.25" customHeight="1">
      <c r="A442" s="20"/>
      <c r="B442" s="21"/>
      <c r="C442" s="22"/>
      <c r="E442" s="8"/>
      <c r="F442" s="8"/>
    </row>
    <row r="443" spans="1:6" ht="20.25" customHeight="1">
      <c r="A443" s="20"/>
      <c r="B443" s="21"/>
      <c r="C443" s="22"/>
      <c r="E443" s="8"/>
      <c r="F443" s="8"/>
    </row>
    <row r="444" spans="1:6" ht="20.25" customHeight="1">
      <c r="A444" s="20"/>
      <c r="B444" s="21"/>
      <c r="C444" s="22"/>
      <c r="E444" s="8"/>
      <c r="F444" s="8"/>
    </row>
    <row r="445" spans="1:6" ht="20.25" customHeight="1">
      <c r="A445" s="20"/>
      <c r="B445" s="21"/>
      <c r="C445" s="22"/>
      <c r="E445" s="8"/>
      <c r="F445" s="8"/>
    </row>
    <row r="446" spans="1:6" ht="20.25" customHeight="1">
      <c r="A446" s="20"/>
      <c r="B446" s="21"/>
      <c r="C446" s="22"/>
      <c r="E446" s="8"/>
      <c r="F446" s="8"/>
    </row>
    <row r="447" spans="1:6" ht="20.25" customHeight="1">
      <c r="A447" s="20"/>
      <c r="B447" s="21"/>
      <c r="C447" s="22"/>
      <c r="E447" s="8"/>
      <c r="F447" s="8"/>
    </row>
    <row r="448" spans="1:6" ht="20.25" customHeight="1">
      <c r="A448" s="20"/>
      <c r="B448" s="21"/>
      <c r="C448" s="22"/>
      <c r="E448" s="8"/>
      <c r="F448" s="8"/>
    </row>
    <row r="449" spans="1:6" ht="20.25" customHeight="1">
      <c r="A449" s="20"/>
      <c r="B449" s="21"/>
      <c r="C449" s="22"/>
      <c r="E449" s="8"/>
      <c r="F449" s="8"/>
    </row>
    <row r="450" spans="1:6" ht="20.25" customHeight="1">
      <c r="A450" s="20"/>
      <c r="B450" s="21"/>
      <c r="C450" s="22"/>
      <c r="E450" s="8"/>
      <c r="F450" s="8"/>
    </row>
    <row r="451" spans="1:6" ht="20.25" customHeight="1">
      <c r="A451" s="20"/>
      <c r="B451" s="21"/>
      <c r="C451" s="22"/>
      <c r="E451" s="8"/>
      <c r="F451" s="8"/>
    </row>
    <row r="452" spans="1:6" ht="20.25" customHeight="1">
      <c r="A452" s="20"/>
      <c r="B452" s="21"/>
      <c r="C452" s="22"/>
      <c r="E452" s="8"/>
      <c r="F452" s="8"/>
    </row>
    <row r="453" spans="1:6" ht="20.25" customHeight="1">
      <c r="A453" s="20"/>
      <c r="B453" s="21"/>
      <c r="C453" s="22"/>
      <c r="E453" s="8"/>
      <c r="F453" s="8"/>
    </row>
    <row r="454" spans="1:6" ht="20.25" customHeight="1">
      <c r="A454" s="20"/>
      <c r="B454" s="21"/>
      <c r="C454" s="22"/>
      <c r="E454" s="8"/>
      <c r="F454" s="8"/>
    </row>
    <row r="455" spans="1:6" ht="20.25" customHeight="1">
      <c r="A455" s="20"/>
      <c r="B455" s="21"/>
      <c r="C455" s="22"/>
      <c r="E455" s="8"/>
      <c r="F455" s="8"/>
    </row>
    <row r="456" spans="1:6" ht="20.25" customHeight="1">
      <c r="A456" s="20"/>
      <c r="B456" s="21"/>
      <c r="C456" s="22"/>
      <c r="E456" s="8"/>
      <c r="F456" s="8"/>
    </row>
    <row r="457" spans="1:6" ht="20.25" customHeight="1">
      <c r="A457" s="20"/>
      <c r="B457" s="21"/>
      <c r="C457" s="22"/>
      <c r="E457" s="8"/>
      <c r="F457" s="8"/>
    </row>
    <row r="458" spans="1:6" ht="20.25" customHeight="1">
      <c r="A458" s="20"/>
      <c r="B458" s="21"/>
      <c r="C458" s="22"/>
      <c r="E458" s="8"/>
      <c r="F458" s="8"/>
    </row>
    <row r="459" spans="1:6" ht="20.25" customHeight="1">
      <c r="A459" s="20"/>
      <c r="B459" s="21"/>
      <c r="C459" s="22"/>
      <c r="E459" s="8"/>
      <c r="F459" s="8"/>
    </row>
    <row r="460" spans="1:6" ht="20.25" customHeight="1">
      <c r="A460" s="20"/>
      <c r="B460" s="21"/>
      <c r="C460" s="22"/>
      <c r="E460" s="8"/>
      <c r="F460" s="8"/>
    </row>
    <row r="461" spans="1:6" ht="20.25" customHeight="1">
      <c r="A461" s="20"/>
      <c r="B461" s="21"/>
      <c r="C461" s="22"/>
      <c r="E461" s="8"/>
      <c r="F461" s="8"/>
    </row>
    <row r="462" spans="1:6" ht="20.25" customHeight="1">
      <c r="A462" s="20"/>
      <c r="B462" s="21"/>
      <c r="C462" s="22"/>
      <c r="E462" s="8"/>
      <c r="F462" s="8"/>
    </row>
    <row r="463" spans="1:6" ht="20.25" customHeight="1">
      <c r="A463" s="20"/>
      <c r="B463" s="21"/>
      <c r="C463" s="22"/>
      <c r="E463" s="8"/>
      <c r="F463" s="8"/>
    </row>
    <row r="464" spans="1:6" ht="20.25" customHeight="1">
      <c r="A464" s="20"/>
      <c r="B464" s="21"/>
      <c r="C464" s="22"/>
      <c r="E464" s="8"/>
      <c r="F464" s="8"/>
    </row>
    <row r="465" spans="1:6" ht="20.25" customHeight="1">
      <c r="A465" s="20"/>
      <c r="B465" s="21"/>
      <c r="C465" s="22"/>
      <c r="E465" s="8"/>
      <c r="F465" s="8"/>
    </row>
    <row r="466" spans="1:6" ht="20.25" customHeight="1">
      <c r="A466" s="20"/>
      <c r="B466" s="21"/>
      <c r="C466" s="22"/>
      <c r="E466" s="8"/>
      <c r="F466" s="8"/>
    </row>
    <row r="467" spans="1:6" ht="20.25" customHeight="1">
      <c r="A467" s="20"/>
      <c r="B467" s="21"/>
      <c r="C467" s="22"/>
      <c r="E467" s="8"/>
      <c r="F467" s="8"/>
    </row>
    <row r="468" spans="1:6" ht="20.25" customHeight="1">
      <c r="A468" s="20"/>
      <c r="B468" s="21"/>
      <c r="C468" s="22"/>
      <c r="E468" s="8"/>
      <c r="F468" s="8"/>
    </row>
    <row r="469" spans="1:6" ht="20.25" customHeight="1">
      <c r="A469" s="20"/>
      <c r="B469" s="21"/>
      <c r="C469" s="22"/>
      <c r="E469" s="8"/>
      <c r="F469" s="8"/>
    </row>
    <row r="470" spans="1:6" ht="20.25" customHeight="1">
      <c r="A470" s="20"/>
      <c r="B470" s="21"/>
      <c r="C470" s="22"/>
      <c r="E470" s="8"/>
      <c r="F470" s="8"/>
    </row>
    <row r="471" spans="1:6" ht="20.25" customHeight="1">
      <c r="A471" s="20"/>
      <c r="B471" s="21"/>
      <c r="C471" s="22"/>
      <c r="E471" s="8"/>
      <c r="F471" s="8"/>
    </row>
    <row r="472" spans="1:6" ht="20.25" customHeight="1">
      <c r="A472" s="20"/>
      <c r="B472" s="21"/>
      <c r="C472" s="22"/>
      <c r="E472" s="8"/>
      <c r="F472" s="8"/>
    </row>
    <row r="473" spans="1:6" ht="20.25" customHeight="1">
      <c r="A473" s="20"/>
      <c r="B473" s="21"/>
      <c r="C473" s="22"/>
      <c r="E473" s="8"/>
      <c r="F473" s="8"/>
    </row>
    <row r="474" spans="1:6" ht="20.25" customHeight="1">
      <c r="A474" s="20"/>
      <c r="B474" s="21"/>
      <c r="C474" s="22"/>
      <c r="E474" s="8"/>
      <c r="F474" s="8"/>
    </row>
    <row r="475" spans="1:6" ht="20.25" customHeight="1">
      <c r="A475" s="20"/>
      <c r="B475" s="21"/>
      <c r="C475" s="22"/>
      <c r="E475" s="8"/>
      <c r="F475" s="8"/>
    </row>
    <row r="476" spans="1:6" ht="20.25" customHeight="1">
      <c r="A476" s="20"/>
      <c r="B476" s="21"/>
      <c r="C476" s="22"/>
      <c r="E476" s="8"/>
      <c r="F476" s="8"/>
    </row>
    <row r="477" spans="1:6" ht="20.25" customHeight="1">
      <c r="A477" s="20"/>
      <c r="B477" s="21"/>
      <c r="C477" s="22"/>
      <c r="E477" s="8"/>
      <c r="F477" s="8"/>
    </row>
    <row r="478" spans="1:6" ht="20.25" customHeight="1">
      <c r="A478" s="20"/>
      <c r="B478" s="21"/>
      <c r="C478" s="22"/>
      <c r="E478" s="8"/>
      <c r="F478" s="8"/>
    </row>
    <row r="479" spans="1:6" ht="20.25" customHeight="1">
      <c r="A479" s="20"/>
      <c r="B479" s="21"/>
      <c r="C479" s="22"/>
      <c r="E479" s="8"/>
      <c r="F479" s="8"/>
    </row>
    <row r="480" spans="1:6" ht="20.25" customHeight="1">
      <c r="A480" s="20"/>
      <c r="B480" s="21"/>
      <c r="C480" s="22"/>
      <c r="E480" s="8"/>
      <c r="F480" s="8"/>
    </row>
    <row r="481" spans="1:6" ht="20.25" customHeight="1">
      <c r="A481" s="20"/>
      <c r="B481" s="21"/>
      <c r="C481" s="22"/>
      <c r="E481" s="8"/>
      <c r="F481" s="8"/>
    </row>
    <row r="482" spans="1:6" ht="20.25" customHeight="1">
      <c r="A482" s="20"/>
      <c r="B482" s="21"/>
      <c r="C482" s="22"/>
      <c r="E482" s="8"/>
      <c r="F482" s="8"/>
    </row>
    <row r="483" spans="1:6" ht="20.25" customHeight="1">
      <c r="A483" s="20"/>
      <c r="B483" s="21"/>
      <c r="C483" s="22"/>
      <c r="E483" s="8"/>
      <c r="F483" s="8"/>
    </row>
    <row r="484" spans="1:6" ht="20.25" customHeight="1">
      <c r="A484" s="20"/>
      <c r="B484" s="21"/>
      <c r="C484" s="22"/>
      <c r="E484" s="8"/>
      <c r="F484" s="8"/>
    </row>
    <row r="485" spans="1:6" ht="20.25" customHeight="1">
      <c r="A485" s="20"/>
      <c r="B485" s="21"/>
      <c r="C485" s="22"/>
      <c r="E485" s="8"/>
      <c r="F485" s="8"/>
    </row>
    <row r="486" spans="1:6" ht="20.25" customHeight="1">
      <c r="A486" s="20"/>
      <c r="B486" s="21"/>
      <c r="C486" s="22"/>
      <c r="E486" s="8"/>
      <c r="F486" s="8"/>
    </row>
    <row r="487" spans="1:6" ht="20.25" customHeight="1">
      <c r="A487" s="20"/>
      <c r="B487" s="21"/>
      <c r="C487" s="22"/>
      <c r="E487" s="8"/>
      <c r="F487" s="8"/>
    </row>
    <row r="488" spans="1:6" ht="20.25" customHeight="1">
      <c r="A488" s="20"/>
      <c r="B488" s="21"/>
      <c r="C488" s="22"/>
      <c r="E488" s="8"/>
      <c r="F488" s="8"/>
    </row>
    <row r="489" spans="1:6" ht="20.25" customHeight="1">
      <c r="A489" s="20"/>
      <c r="B489" s="21"/>
      <c r="C489" s="22"/>
      <c r="E489" s="8"/>
      <c r="F489" s="8"/>
    </row>
    <row r="490" spans="1:6" ht="20.25" customHeight="1">
      <c r="A490" s="20"/>
      <c r="B490" s="21"/>
      <c r="C490" s="22"/>
      <c r="E490" s="8"/>
      <c r="F490" s="8"/>
    </row>
    <row r="491" spans="1:6" ht="20.25" customHeight="1">
      <c r="A491" s="20"/>
      <c r="B491" s="21"/>
      <c r="C491" s="22"/>
      <c r="E491" s="8"/>
      <c r="F491" s="8"/>
    </row>
    <row r="492" spans="1:6" ht="20.25" customHeight="1">
      <c r="A492" s="20"/>
      <c r="B492" s="21"/>
      <c r="C492" s="22"/>
      <c r="E492" s="8"/>
      <c r="F492" s="8"/>
    </row>
    <row r="493" spans="1:6" ht="20.25" customHeight="1">
      <c r="A493" s="20"/>
      <c r="B493" s="21"/>
      <c r="C493" s="22"/>
      <c r="E493" s="8"/>
      <c r="F493" s="8"/>
    </row>
    <row r="494" spans="1:6" ht="20.25" customHeight="1">
      <c r="A494" s="20"/>
      <c r="B494" s="21"/>
      <c r="C494" s="22"/>
      <c r="E494" s="8"/>
      <c r="F494" s="8"/>
    </row>
    <row r="495" spans="1:6" ht="20.25" customHeight="1">
      <c r="A495" s="20"/>
      <c r="B495" s="21"/>
      <c r="C495" s="22"/>
      <c r="E495" s="8"/>
      <c r="F495" s="8"/>
    </row>
    <row r="496" spans="1:6" ht="20.25" customHeight="1">
      <c r="A496" s="20"/>
      <c r="B496" s="21"/>
      <c r="C496" s="22"/>
      <c r="E496" s="8"/>
      <c r="F496" s="8"/>
    </row>
    <row r="497" spans="1:6" ht="20.25" customHeight="1">
      <c r="A497" s="20"/>
      <c r="B497" s="21"/>
      <c r="C497" s="22"/>
      <c r="E497" s="8"/>
      <c r="F497" s="8"/>
    </row>
    <row r="498" spans="1:6" ht="20.25" customHeight="1">
      <c r="A498" s="20"/>
      <c r="B498" s="21"/>
      <c r="C498" s="22"/>
      <c r="E498" s="8"/>
      <c r="F498" s="8"/>
    </row>
    <row r="499" spans="1:6" ht="20.25" customHeight="1">
      <c r="A499" s="20"/>
      <c r="B499" s="21"/>
      <c r="C499" s="22"/>
      <c r="E499" s="8"/>
      <c r="F499" s="8"/>
    </row>
    <row r="500" spans="1:6" ht="20.25" customHeight="1">
      <c r="A500" s="20"/>
      <c r="B500" s="21"/>
      <c r="C500" s="22"/>
      <c r="E500" s="8"/>
      <c r="F500" s="8"/>
    </row>
    <row r="501" spans="1:6" ht="20.25" customHeight="1">
      <c r="A501" s="20"/>
      <c r="B501" s="21"/>
      <c r="C501" s="22"/>
      <c r="E501" s="8"/>
      <c r="F501" s="8"/>
    </row>
    <row r="502" spans="1:6" ht="20.25" customHeight="1">
      <c r="A502" s="20"/>
      <c r="B502" s="21"/>
      <c r="C502" s="22"/>
      <c r="E502" s="8"/>
      <c r="F502" s="8"/>
    </row>
    <row r="503" spans="1:6" ht="20.25" customHeight="1">
      <c r="A503" s="20"/>
      <c r="B503" s="21"/>
      <c r="C503" s="22"/>
      <c r="E503" s="8"/>
      <c r="F503" s="8"/>
    </row>
    <row r="504" spans="1:6" ht="20.25" customHeight="1">
      <c r="A504" s="20"/>
      <c r="B504" s="21"/>
      <c r="C504" s="22"/>
      <c r="E504" s="8"/>
      <c r="F504" s="8"/>
    </row>
    <row r="505" spans="1:6" ht="20.25" customHeight="1">
      <c r="A505" s="20"/>
      <c r="B505" s="21"/>
      <c r="C505" s="22"/>
      <c r="E505" s="8"/>
      <c r="F505" s="8"/>
    </row>
    <row r="506" spans="1:6" ht="20.25" customHeight="1">
      <c r="A506" s="20"/>
      <c r="B506" s="21"/>
      <c r="C506" s="22"/>
      <c r="E506" s="8"/>
      <c r="F506" s="8"/>
    </row>
    <row r="507" spans="1:6" ht="20.25" customHeight="1">
      <c r="A507" s="20"/>
      <c r="B507" s="21"/>
      <c r="C507" s="22"/>
      <c r="E507" s="8"/>
      <c r="F507" s="8"/>
    </row>
    <row r="508" spans="1:6" ht="20.25" customHeight="1">
      <c r="A508" s="20"/>
      <c r="B508" s="21"/>
      <c r="C508" s="22"/>
      <c r="E508" s="8"/>
      <c r="F508" s="8"/>
    </row>
    <row r="509" spans="1:6" ht="20.25" customHeight="1">
      <c r="A509" s="20"/>
      <c r="B509" s="21"/>
      <c r="C509" s="22"/>
      <c r="E509" s="8"/>
      <c r="F509" s="8"/>
    </row>
    <row r="510" spans="1:6" ht="20.25" customHeight="1">
      <c r="A510" s="20"/>
      <c r="B510" s="21"/>
      <c r="C510" s="22"/>
      <c r="E510" s="8"/>
      <c r="F510" s="8"/>
    </row>
    <row r="511" spans="1:6" ht="20.25" customHeight="1">
      <c r="A511" s="20"/>
      <c r="B511" s="21"/>
      <c r="C511" s="22"/>
      <c r="E511" s="8"/>
      <c r="F511" s="8"/>
    </row>
    <row r="512" spans="1:6" ht="20.25" customHeight="1">
      <c r="A512" s="20"/>
      <c r="B512" s="21"/>
      <c r="C512" s="22"/>
      <c r="E512" s="8"/>
      <c r="F512" s="8"/>
    </row>
    <row r="513" spans="1:6" ht="20.25" customHeight="1">
      <c r="A513" s="20"/>
      <c r="B513" s="21"/>
      <c r="C513" s="22"/>
      <c r="E513" s="8"/>
      <c r="F513" s="8"/>
    </row>
    <row r="514" spans="1:6" ht="20.25" customHeight="1">
      <c r="A514" s="20"/>
      <c r="B514" s="21"/>
      <c r="C514" s="22"/>
      <c r="E514" s="8"/>
      <c r="F514" s="8"/>
    </row>
    <row r="515" spans="1:6" ht="20.25" customHeight="1">
      <c r="A515" s="20"/>
      <c r="B515" s="21"/>
      <c r="C515" s="22"/>
      <c r="E515" s="8"/>
      <c r="F515" s="8"/>
    </row>
    <row r="516" spans="1:6" ht="20.25" customHeight="1">
      <c r="A516" s="20"/>
      <c r="B516" s="21"/>
      <c r="C516" s="22"/>
      <c r="E516" s="8"/>
      <c r="F516" s="8"/>
    </row>
    <row r="517" spans="1:6" ht="20.25" customHeight="1">
      <c r="A517" s="20"/>
      <c r="B517" s="21"/>
      <c r="C517" s="22"/>
      <c r="E517" s="8"/>
      <c r="F517" s="8"/>
    </row>
    <row r="518" spans="1:6" ht="20.25" customHeight="1">
      <c r="A518" s="20"/>
      <c r="B518" s="21"/>
      <c r="C518" s="22"/>
      <c r="E518" s="8"/>
      <c r="F518" s="8"/>
    </row>
    <row r="519" spans="1:6" ht="20.25" customHeight="1">
      <c r="A519" s="20"/>
      <c r="B519" s="21"/>
      <c r="C519" s="22"/>
      <c r="E519" s="8"/>
      <c r="F519" s="8"/>
    </row>
    <row r="520" spans="1:6" ht="20.25" customHeight="1">
      <c r="A520" s="20"/>
      <c r="B520" s="21"/>
      <c r="C520" s="22"/>
      <c r="E520" s="8"/>
      <c r="F520" s="8"/>
    </row>
    <row r="521" spans="1:6" ht="20.25" customHeight="1">
      <c r="A521" s="20"/>
      <c r="B521" s="21"/>
      <c r="C521" s="22"/>
      <c r="E521" s="8"/>
      <c r="F521" s="8"/>
    </row>
    <row r="522" spans="1:6" ht="20.25" customHeight="1">
      <c r="A522" s="20"/>
      <c r="B522" s="21"/>
      <c r="C522" s="22"/>
      <c r="E522" s="8"/>
      <c r="F522" s="8"/>
    </row>
    <row r="523" spans="1:6" ht="20.25" customHeight="1">
      <c r="A523" s="20"/>
      <c r="B523" s="21"/>
      <c r="C523" s="22"/>
      <c r="E523" s="8"/>
      <c r="F523" s="8"/>
    </row>
    <row r="524" spans="1:6" ht="20.25" customHeight="1">
      <c r="A524" s="20"/>
      <c r="B524" s="21"/>
      <c r="C524" s="22"/>
      <c r="E524" s="8"/>
      <c r="F524" s="8"/>
    </row>
    <row r="525" spans="1:6" ht="20.25" customHeight="1">
      <c r="A525" s="20"/>
      <c r="B525" s="21"/>
      <c r="C525" s="22"/>
      <c r="E525" s="8"/>
      <c r="F525" s="8"/>
    </row>
    <row r="526" spans="1:6" ht="20.25" customHeight="1">
      <c r="A526" s="20"/>
      <c r="B526" s="21"/>
      <c r="C526" s="22"/>
      <c r="E526" s="8"/>
      <c r="F526" s="8"/>
    </row>
    <row r="527" spans="1:6" ht="20.25" customHeight="1">
      <c r="A527" s="20"/>
      <c r="B527" s="21"/>
      <c r="C527" s="22"/>
      <c r="E527" s="8"/>
      <c r="F527" s="8"/>
    </row>
    <row r="528" spans="1:6" ht="20.25" customHeight="1">
      <c r="A528" s="20"/>
      <c r="B528" s="21"/>
      <c r="C528" s="22"/>
      <c r="E528" s="8"/>
      <c r="F528" s="8"/>
    </row>
    <row r="529" spans="1:6" ht="20.25" customHeight="1">
      <c r="A529" s="20"/>
      <c r="B529" s="21"/>
      <c r="C529" s="22"/>
      <c r="E529" s="8"/>
      <c r="F529" s="8"/>
    </row>
    <row r="530" spans="1:6" ht="20.25" customHeight="1">
      <c r="A530" s="20"/>
      <c r="B530" s="21"/>
      <c r="C530" s="22"/>
      <c r="E530" s="8"/>
      <c r="F530" s="8"/>
    </row>
    <row r="531" spans="1:6" ht="20.25" customHeight="1">
      <c r="A531" s="20"/>
      <c r="B531" s="21"/>
      <c r="C531" s="22"/>
      <c r="E531" s="8"/>
      <c r="F531" s="8"/>
    </row>
    <row r="532" spans="1:6" ht="20.25" customHeight="1">
      <c r="A532" s="20"/>
      <c r="B532" s="21"/>
      <c r="C532" s="22"/>
      <c r="E532" s="8"/>
      <c r="F532" s="8"/>
    </row>
    <row r="533" spans="1:6" ht="20.25" customHeight="1">
      <c r="A533" s="20"/>
      <c r="B533" s="21"/>
      <c r="C533" s="22"/>
      <c r="E533" s="8"/>
      <c r="F533" s="8"/>
    </row>
    <row r="534" spans="1:6" ht="20.25" customHeight="1">
      <c r="A534" s="20"/>
      <c r="B534" s="21"/>
      <c r="C534" s="22"/>
      <c r="E534" s="8"/>
      <c r="F534" s="8"/>
    </row>
    <row r="535" spans="1:6" ht="20.25" customHeight="1">
      <c r="A535" s="20"/>
      <c r="B535" s="21"/>
      <c r="C535" s="22"/>
      <c r="E535" s="8"/>
      <c r="F535" s="8"/>
    </row>
    <row r="536" spans="1:6" ht="20.25" customHeight="1">
      <c r="A536" s="20"/>
      <c r="B536" s="21"/>
      <c r="C536" s="22"/>
      <c r="E536" s="8"/>
      <c r="F536" s="8"/>
    </row>
    <row r="537" spans="1:6" ht="20.25" customHeight="1">
      <c r="A537" s="20"/>
      <c r="B537" s="21"/>
      <c r="C537" s="22"/>
      <c r="E537" s="8"/>
      <c r="F537" s="8"/>
    </row>
    <row r="538" spans="1:6" ht="20.25" customHeight="1">
      <c r="A538" s="20"/>
      <c r="B538" s="21"/>
      <c r="C538" s="22"/>
      <c r="E538" s="8"/>
      <c r="F538" s="8"/>
    </row>
    <row r="539" spans="1:6" ht="20.25" customHeight="1">
      <c r="A539" s="20"/>
      <c r="B539" s="21"/>
      <c r="C539" s="22"/>
      <c r="E539" s="8"/>
      <c r="F539" s="8"/>
    </row>
    <row r="540" spans="1:6" ht="20.25" customHeight="1">
      <c r="A540" s="20"/>
      <c r="B540" s="21"/>
      <c r="C540" s="22"/>
      <c r="E540" s="8"/>
      <c r="F540" s="8"/>
    </row>
    <row r="541" spans="1:6" ht="20.25" customHeight="1">
      <c r="A541" s="20"/>
      <c r="B541" s="21"/>
      <c r="C541" s="22"/>
      <c r="E541" s="8"/>
      <c r="F541" s="8"/>
    </row>
    <row r="542" spans="1:6" ht="20.25" customHeight="1">
      <c r="A542" s="20"/>
      <c r="B542" s="21"/>
      <c r="C542" s="22"/>
      <c r="E542" s="8"/>
      <c r="F542" s="8"/>
    </row>
    <row r="543" spans="1:6" ht="20.25" customHeight="1">
      <c r="A543" s="20"/>
      <c r="B543" s="21"/>
      <c r="C543" s="22"/>
      <c r="E543" s="8"/>
      <c r="F543" s="8"/>
    </row>
    <row r="544" spans="1:6" ht="20.25" customHeight="1">
      <c r="A544" s="20"/>
      <c r="B544" s="21"/>
      <c r="C544" s="22"/>
      <c r="E544" s="8"/>
      <c r="F544" s="8"/>
    </row>
    <row r="545" spans="1:6" ht="20.25" customHeight="1">
      <c r="A545" s="20"/>
      <c r="B545" s="21"/>
      <c r="C545" s="22"/>
      <c r="E545" s="8"/>
      <c r="F545" s="8"/>
    </row>
    <row r="546" spans="1:6" ht="20.25" customHeight="1">
      <c r="A546" s="20"/>
      <c r="B546" s="21"/>
      <c r="C546" s="22"/>
      <c r="E546" s="8"/>
      <c r="F546" s="8"/>
    </row>
    <row r="547" spans="1:6" ht="20.25" customHeight="1">
      <c r="A547" s="20"/>
      <c r="B547" s="21"/>
      <c r="C547" s="22"/>
      <c r="E547" s="8"/>
      <c r="F547" s="8"/>
    </row>
    <row r="548" spans="1:6" ht="20.25" customHeight="1">
      <c r="A548" s="20"/>
      <c r="B548" s="21"/>
      <c r="C548" s="22"/>
      <c r="E548" s="8"/>
      <c r="F548" s="8"/>
    </row>
    <row r="549" spans="1:6" ht="20.25" customHeight="1">
      <c r="A549" s="20"/>
      <c r="B549" s="21"/>
      <c r="C549" s="22"/>
      <c r="E549" s="8"/>
      <c r="F549" s="8"/>
    </row>
    <row r="550" spans="1:6" ht="20.25" customHeight="1">
      <c r="A550" s="20"/>
      <c r="B550" s="21"/>
      <c r="C550" s="22"/>
      <c r="E550" s="8"/>
      <c r="F550" s="8"/>
    </row>
    <row r="551" spans="1:6" ht="20.25" customHeight="1">
      <c r="A551" s="20"/>
      <c r="B551" s="21"/>
      <c r="C551" s="22"/>
      <c r="E551" s="8"/>
      <c r="F551" s="8"/>
    </row>
    <row r="552" spans="1:6" ht="20.25" customHeight="1">
      <c r="A552" s="20"/>
      <c r="B552" s="21"/>
      <c r="C552" s="22"/>
      <c r="E552" s="8"/>
      <c r="F552" s="8"/>
    </row>
    <row r="553" spans="1:6" ht="20.25" customHeight="1">
      <c r="A553" s="20"/>
      <c r="B553" s="21"/>
      <c r="C553" s="22"/>
      <c r="E553" s="8"/>
      <c r="F553" s="8"/>
    </row>
    <row r="554" spans="1:6" ht="20.25" customHeight="1">
      <c r="A554" s="20"/>
      <c r="B554" s="21"/>
      <c r="C554" s="22"/>
      <c r="E554" s="8"/>
      <c r="F554" s="8"/>
    </row>
    <row r="555" spans="1:6" ht="20.25" customHeight="1">
      <c r="A555" s="20"/>
      <c r="B555" s="21"/>
      <c r="C555" s="22"/>
      <c r="E555" s="8"/>
      <c r="F555" s="8"/>
    </row>
    <row r="556" spans="1:6" ht="20.25" customHeight="1">
      <c r="A556" s="20"/>
      <c r="B556" s="21"/>
      <c r="C556" s="22"/>
      <c r="E556" s="8"/>
      <c r="F556" s="8"/>
    </row>
    <row r="557" spans="1:6" ht="20.25" customHeight="1">
      <c r="A557" s="20"/>
      <c r="B557" s="21"/>
      <c r="C557" s="22"/>
      <c r="E557" s="8"/>
      <c r="F557" s="8"/>
    </row>
    <row r="558" spans="1:6" ht="20.25" customHeight="1">
      <c r="A558" s="20"/>
      <c r="B558" s="21"/>
      <c r="C558" s="22"/>
      <c r="E558" s="8"/>
      <c r="F558" s="8"/>
    </row>
    <row r="559" spans="1:6" ht="20.25" customHeight="1">
      <c r="A559" s="20"/>
      <c r="B559" s="21"/>
      <c r="C559" s="22"/>
      <c r="E559" s="8"/>
      <c r="F559" s="8"/>
    </row>
    <row r="560" spans="1:6" ht="20.25" customHeight="1">
      <c r="A560" s="20"/>
      <c r="B560" s="21"/>
      <c r="C560" s="22"/>
      <c r="E560" s="8"/>
      <c r="F560" s="8"/>
    </row>
    <row r="561" spans="1:6" ht="20.25" customHeight="1">
      <c r="A561" s="20"/>
      <c r="B561" s="21"/>
      <c r="C561" s="22"/>
      <c r="E561" s="8"/>
      <c r="F561" s="8"/>
    </row>
    <row r="562" spans="1:6" ht="20.25" customHeight="1">
      <c r="A562" s="20"/>
      <c r="B562" s="21"/>
      <c r="C562" s="22"/>
      <c r="E562" s="8"/>
      <c r="F562" s="8"/>
    </row>
    <row r="563" spans="1:6" ht="20.25" customHeight="1">
      <c r="A563" s="20"/>
      <c r="B563" s="21"/>
      <c r="C563" s="22"/>
      <c r="E563" s="8"/>
      <c r="F563" s="8"/>
    </row>
    <row r="564" spans="1:6" ht="20.25" customHeight="1">
      <c r="A564" s="20"/>
      <c r="B564" s="21"/>
      <c r="C564" s="22"/>
      <c r="E564" s="8"/>
      <c r="F564" s="8"/>
    </row>
    <row r="565" spans="1:6" ht="20.25" customHeight="1">
      <c r="A565" s="20"/>
      <c r="B565" s="21"/>
      <c r="C565" s="22"/>
      <c r="E565" s="8"/>
      <c r="F565" s="8"/>
    </row>
    <row r="566" spans="1:6" ht="20.25" customHeight="1">
      <c r="A566" s="20"/>
      <c r="B566" s="21"/>
      <c r="C566" s="22"/>
      <c r="E566" s="8"/>
      <c r="F566" s="8"/>
    </row>
    <row r="567" spans="1:6" ht="20.25" customHeight="1">
      <c r="A567" s="20"/>
      <c r="B567" s="21"/>
      <c r="C567" s="22"/>
      <c r="E567" s="8"/>
      <c r="F567" s="8"/>
    </row>
    <row r="568" spans="1:6" ht="20.25" customHeight="1">
      <c r="A568" s="20"/>
      <c r="B568" s="21"/>
      <c r="C568" s="22"/>
      <c r="E568" s="8"/>
      <c r="F568" s="8"/>
    </row>
    <row r="569" spans="1:6" ht="20.25" customHeight="1">
      <c r="A569" s="20"/>
      <c r="B569" s="21"/>
      <c r="C569" s="22"/>
      <c r="E569" s="8"/>
      <c r="F569" s="8"/>
    </row>
    <row r="570" spans="1:6" ht="20.25" customHeight="1">
      <c r="A570" s="20"/>
      <c r="B570" s="21"/>
      <c r="C570" s="22"/>
      <c r="E570" s="8"/>
      <c r="F570" s="8"/>
    </row>
    <row r="571" spans="1:6" ht="20.25" customHeight="1">
      <c r="A571" s="20"/>
      <c r="B571" s="21"/>
      <c r="C571" s="22"/>
      <c r="E571" s="8"/>
      <c r="F571" s="8"/>
    </row>
    <row r="572" spans="1:6" ht="20.25" customHeight="1">
      <c r="A572" s="20"/>
      <c r="B572" s="21"/>
      <c r="C572" s="22"/>
      <c r="E572" s="8"/>
      <c r="F572" s="8"/>
    </row>
    <row r="573" spans="1:6" ht="20.25" customHeight="1">
      <c r="A573" s="20"/>
      <c r="B573" s="21"/>
      <c r="C573" s="22"/>
      <c r="E573" s="8"/>
      <c r="F573" s="8"/>
    </row>
    <row r="574" spans="1:6" ht="20.25" customHeight="1">
      <c r="A574" s="20"/>
      <c r="B574" s="21"/>
      <c r="C574" s="22"/>
      <c r="E574" s="8"/>
      <c r="F574" s="8"/>
    </row>
    <row r="575" spans="1:6" ht="20.25" customHeight="1">
      <c r="A575" s="20"/>
      <c r="B575" s="21"/>
      <c r="C575" s="22"/>
      <c r="E575" s="8"/>
      <c r="F575" s="8"/>
    </row>
    <row r="576" spans="1:6" ht="20.25" customHeight="1">
      <c r="A576" s="20"/>
      <c r="B576" s="21"/>
      <c r="C576" s="22"/>
      <c r="E576" s="8"/>
      <c r="F576" s="8"/>
    </row>
    <row r="577" spans="1:6" ht="20.25" customHeight="1">
      <c r="A577" s="20"/>
      <c r="B577" s="21"/>
      <c r="C577" s="22"/>
      <c r="E577" s="8"/>
      <c r="F577" s="8"/>
    </row>
    <row r="578" spans="1:6" ht="20.25" customHeight="1">
      <c r="A578" s="20"/>
      <c r="B578" s="21"/>
      <c r="C578" s="22"/>
      <c r="E578" s="8"/>
      <c r="F578" s="8"/>
    </row>
    <row r="579" spans="1:6" ht="20.25" customHeight="1">
      <c r="A579" s="20"/>
      <c r="B579" s="21"/>
      <c r="C579" s="22"/>
      <c r="E579" s="8"/>
      <c r="F579" s="8"/>
    </row>
    <row r="580" spans="1:6" ht="20.25" customHeight="1">
      <c r="A580" s="20"/>
      <c r="B580" s="21"/>
      <c r="C580" s="22"/>
      <c r="E580" s="8"/>
      <c r="F580" s="8"/>
    </row>
    <row r="581" spans="1:6" ht="20.25" customHeight="1">
      <c r="A581" s="20"/>
      <c r="B581" s="21"/>
      <c r="C581" s="22"/>
      <c r="E581" s="8"/>
      <c r="F581" s="8"/>
    </row>
    <row r="582" spans="1:6" ht="20.25" customHeight="1">
      <c r="A582" s="20"/>
      <c r="B582" s="21"/>
      <c r="C582" s="22"/>
      <c r="E582" s="8"/>
      <c r="F582" s="8"/>
    </row>
    <row r="583" spans="1:6" ht="20.25" customHeight="1">
      <c r="A583" s="20"/>
      <c r="B583" s="21"/>
      <c r="C583" s="22"/>
      <c r="E583" s="8"/>
      <c r="F583" s="8"/>
    </row>
    <row r="584" spans="1:6" ht="20.25" customHeight="1">
      <c r="A584" s="20"/>
      <c r="B584" s="21"/>
      <c r="C584" s="22"/>
      <c r="E584" s="8"/>
      <c r="F584" s="8"/>
    </row>
    <row r="585" spans="1:6" ht="20.25" customHeight="1">
      <c r="A585" s="20"/>
      <c r="B585" s="21"/>
      <c r="C585" s="22"/>
      <c r="E585" s="8"/>
      <c r="F585" s="8"/>
    </row>
    <row r="586" spans="1:6" ht="20.25" customHeight="1">
      <c r="A586" s="20"/>
      <c r="B586" s="21"/>
      <c r="C586" s="22"/>
      <c r="E586" s="8"/>
      <c r="F586" s="8"/>
    </row>
    <row r="587" spans="1:6" ht="20.25" customHeight="1">
      <c r="A587" s="20"/>
      <c r="B587" s="21"/>
      <c r="C587" s="22"/>
      <c r="E587" s="8"/>
      <c r="F587" s="8"/>
    </row>
    <row r="588" spans="1:6" ht="20.25" customHeight="1">
      <c r="A588" s="20"/>
      <c r="B588" s="21"/>
      <c r="C588" s="22"/>
      <c r="E588" s="8"/>
      <c r="F588" s="8"/>
    </row>
    <row r="589" spans="1:6" ht="20.25" customHeight="1">
      <c r="A589" s="20"/>
      <c r="B589" s="21"/>
      <c r="C589" s="22"/>
      <c r="E589" s="8"/>
      <c r="F589" s="8"/>
    </row>
    <row r="590" spans="1:6" ht="20.25" customHeight="1">
      <c r="A590" s="20"/>
      <c r="B590" s="21"/>
      <c r="C590" s="22"/>
      <c r="E590" s="8"/>
      <c r="F590" s="8"/>
    </row>
    <row r="591" spans="1:6" ht="20.25" customHeight="1">
      <c r="A591" s="20"/>
      <c r="B591" s="21"/>
      <c r="C591" s="22"/>
      <c r="E591" s="8"/>
      <c r="F591" s="8"/>
    </row>
    <row r="592" spans="1:6" ht="20.25" customHeight="1">
      <c r="A592" s="20"/>
      <c r="B592" s="21"/>
      <c r="C592" s="22"/>
      <c r="E592" s="8"/>
      <c r="F592" s="8"/>
    </row>
    <row r="593" spans="1:6" ht="20.25" customHeight="1">
      <c r="A593" s="20"/>
      <c r="B593" s="21"/>
      <c r="C593" s="22"/>
      <c r="E593" s="8"/>
      <c r="F593" s="8"/>
    </row>
    <row r="594" spans="1:6" ht="20.25" customHeight="1">
      <c r="A594" s="20"/>
      <c r="B594" s="21"/>
      <c r="C594" s="22"/>
      <c r="E594" s="8"/>
      <c r="F594" s="8"/>
    </row>
    <row r="595" spans="1:6" ht="20.25" customHeight="1">
      <c r="A595" s="20"/>
      <c r="B595" s="21"/>
      <c r="C595" s="22"/>
      <c r="E595" s="8"/>
      <c r="F595" s="8"/>
    </row>
    <row r="596" spans="1:6" ht="20.25" customHeight="1">
      <c r="A596" s="20"/>
      <c r="B596" s="21"/>
      <c r="C596" s="22"/>
      <c r="E596" s="8"/>
      <c r="F596" s="8"/>
    </row>
    <row r="597" spans="1:6" ht="20.25" customHeight="1">
      <c r="A597" s="20"/>
      <c r="B597" s="21"/>
      <c r="C597" s="22"/>
      <c r="E597" s="8"/>
      <c r="F597" s="8"/>
    </row>
    <row r="598" spans="1:6" ht="20.25" customHeight="1">
      <c r="A598" s="20"/>
      <c r="B598" s="21"/>
      <c r="C598" s="22"/>
      <c r="E598" s="8"/>
      <c r="F598" s="8"/>
    </row>
    <row r="599" spans="1:6" ht="20.25" customHeight="1">
      <c r="A599" s="20"/>
      <c r="B599" s="21"/>
      <c r="C599" s="22"/>
      <c r="E599" s="8"/>
      <c r="F599" s="8"/>
    </row>
    <row r="600" spans="1:6" ht="20.25" customHeight="1">
      <c r="A600" s="20"/>
      <c r="B600" s="21"/>
      <c r="C600" s="22"/>
      <c r="E600" s="8"/>
      <c r="F600" s="8"/>
    </row>
    <row r="601" spans="1:6" ht="20.25" customHeight="1">
      <c r="A601" s="20"/>
      <c r="B601" s="21"/>
      <c r="C601" s="22"/>
      <c r="E601" s="8"/>
      <c r="F601" s="8"/>
    </row>
    <row r="602" spans="1:6" ht="20.25" customHeight="1">
      <c r="A602" s="20"/>
      <c r="B602" s="21"/>
      <c r="C602" s="22"/>
      <c r="E602" s="8"/>
      <c r="F602" s="8"/>
    </row>
    <row r="603" spans="1:6" ht="20.25" customHeight="1">
      <c r="A603" s="20"/>
      <c r="B603" s="21"/>
      <c r="C603" s="22"/>
      <c r="E603" s="8"/>
      <c r="F603" s="8"/>
    </row>
    <row r="604" spans="1:6" ht="20.25" customHeight="1">
      <c r="A604" s="20"/>
      <c r="B604" s="21"/>
      <c r="C604" s="22"/>
      <c r="E604" s="8"/>
      <c r="F604" s="8"/>
    </row>
    <row r="605" spans="1:6" ht="20.25" customHeight="1">
      <c r="A605" s="20"/>
      <c r="B605" s="21"/>
      <c r="C605" s="22"/>
      <c r="E605" s="8"/>
      <c r="F605" s="8"/>
    </row>
    <row r="606" spans="1:6" ht="20.25" customHeight="1">
      <c r="A606" s="20"/>
      <c r="B606" s="21"/>
      <c r="C606" s="22"/>
      <c r="E606" s="8"/>
      <c r="F606" s="8"/>
    </row>
    <row r="607" spans="1:6" ht="20.25" customHeight="1">
      <c r="A607" s="20"/>
      <c r="B607" s="21"/>
      <c r="C607" s="22"/>
      <c r="E607" s="8"/>
      <c r="F607" s="8"/>
    </row>
    <row r="608" spans="1:6" ht="20.25" customHeight="1">
      <c r="A608" s="20"/>
      <c r="B608" s="21"/>
      <c r="C608" s="22"/>
      <c r="E608" s="8"/>
      <c r="F608" s="8"/>
    </row>
    <row r="609" spans="1:6" ht="20.25" customHeight="1">
      <c r="A609" s="20"/>
      <c r="B609" s="21"/>
      <c r="C609" s="22"/>
      <c r="E609" s="8"/>
      <c r="F609" s="8"/>
    </row>
    <row r="610" spans="1:6" ht="20.25" customHeight="1">
      <c r="A610" s="20"/>
      <c r="B610" s="21"/>
      <c r="C610" s="22"/>
      <c r="E610" s="8"/>
      <c r="F610" s="8"/>
    </row>
    <row r="611" spans="1:6" ht="20.25" customHeight="1">
      <c r="A611" s="20"/>
      <c r="B611" s="21"/>
      <c r="C611" s="22"/>
      <c r="E611" s="8"/>
      <c r="F611" s="8"/>
    </row>
    <row r="612" spans="1:6" ht="20.25" customHeight="1">
      <c r="A612" s="20"/>
      <c r="B612" s="21"/>
      <c r="C612" s="22"/>
      <c r="E612" s="8"/>
      <c r="F612" s="8"/>
    </row>
    <row r="613" spans="1:6" ht="20.25" customHeight="1">
      <c r="A613" s="20"/>
      <c r="B613" s="21"/>
      <c r="C613" s="22"/>
      <c r="E613" s="8"/>
      <c r="F613" s="8"/>
    </row>
    <row r="614" spans="1:6" ht="20.25" customHeight="1">
      <c r="A614" s="20"/>
      <c r="B614" s="21"/>
      <c r="C614" s="22"/>
      <c r="E614" s="8"/>
      <c r="F614" s="8"/>
    </row>
    <row r="615" spans="1:6" ht="20.25" customHeight="1">
      <c r="A615" s="20"/>
      <c r="B615" s="21"/>
      <c r="C615" s="22"/>
      <c r="E615" s="8"/>
      <c r="F615" s="8"/>
    </row>
    <row r="616" spans="1:6" ht="20.25" customHeight="1">
      <c r="A616" s="20"/>
      <c r="B616" s="21"/>
      <c r="C616" s="22"/>
      <c r="E616" s="8"/>
      <c r="F616" s="8"/>
    </row>
    <row r="617" spans="1:6" ht="20.25" customHeight="1">
      <c r="A617" s="20"/>
      <c r="B617" s="21"/>
      <c r="C617" s="22"/>
      <c r="E617" s="8"/>
      <c r="F617" s="8"/>
    </row>
    <row r="618" spans="1:6" ht="20.25" customHeight="1">
      <c r="A618" s="20"/>
      <c r="B618" s="21"/>
      <c r="C618" s="22"/>
      <c r="E618" s="8"/>
      <c r="F618" s="8"/>
    </row>
    <row r="619" spans="1:6" ht="20.25" customHeight="1">
      <c r="A619" s="20"/>
      <c r="B619" s="21"/>
      <c r="C619" s="22"/>
      <c r="E619" s="8"/>
      <c r="F619" s="8"/>
    </row>
    <row r="620" spans="1:6" ht="20.25" customHeight="1">
      <c r="A620" s="20"/>
      <c r="B620" s="21"/>
      <c r="C620" s="22"/>
      <c r="E620" s="8"/>
      <c r="F620" s="8"/>
    </row>
    <row r="621" spans="1:6" ht="20.25" customHeight="1">
      <c r="A621" s="20"/>
      <c r="B621" s="21"/>
      <c r="C621" s="22"/>
      <c r="E621" s="8"/>
      <c r="F621" s="8"/>
    </row>
    <row r="622" spans="1:6" ht="20.25" customHeight="1">
      <c r="A622" s="20"/>
      <c r="B622" s="21"/>
      <c r="C622" s="22"/>
      <c r="E622" s="8"/>
      <c r="F622" s="8"/>
    </row>
    <row r="623" spans="1:6" ht="20.25" customHeight="1">
      <c r="A623" s="20"/>
      <c r="B623" s="21"/>
      <c r="C623" s="22"/>
      <c r="E623" s="8"/>
      <c r="F623" s="8"/>
    </row>
    <row r="624" spans="1:6" ht="20.25" customHeight="1">
      <c r="A624" s="20"/>
      <c r="B624" s="21"/>
      <c r="C624" s="22"/>
      <c r="E624" s="8"/>
      <c r="F624" s="8"/>
    </row>
    <row r="625" spans="1:6" ht="20.25" customHeight="1">
      <c r="A625" s="20"/>
      <c r="B625" s="21"/>
      <c r="C625" s="22"/>
      <c r="E625" s="8"/>
      <c r="F625" s="8"/>
    </row>
    <row r="626" spans="1:6" ht="20.25" customHeight="1">
      <c r="A626" s="20"/>
      <c r="B626" s="21"/>
      <c r="C626" s="22"/>
      <c r="E626" s="8"/>
      <c r="F626" s="8"/>
    </row>
    <row r="627" spans="1:6" ht="20.25" customHeight="1">
      <c r="A627" s="20"/>
      <c r="B627" s="21"/>
      <c r="C627" s="22"/>
      <c r="E627" s="8"/>
      <c r="F627" s="8"/>
    </row>
    <row r="628" spans="1:6" ht="20.25" customHeight="1">
      <c r="A628" s="20"/>
      <c r="B628" s="21"/>
      <c r="C628" s="22"/>
      <c r="E628" s="8"/>
      <c r="F628" s="8"/>
    </row>
    <row r="629" spans="1:6" ht="20.25" customHeight="1">
      <c r="A629" s="20"/>
      <c r="B629" s="21"/>
      <c r="C629" s="22"/>
      <c r="E629" s="8"/>
      <c r="F629" s="8"/>
    </row>
    <row r="630" spans="1:6" ht="20.25" customHeight="1">
      <c r="A630" s="20"/>
      <c r="B630" s="21"/>
      <c r="C630" s="22"/>
      <c r="E630" s="8"/>
      <c r="F630" s="8"/>
    </row>
    <row r="631" spans="1:6" ht="20.25" customHeight="1">
      <c r="A631" s="20"/>
      <c r="B631" s="21"/>
      <c r="C631" s="22"/>
      <c r="E631" s="8"/>
      <c r="F631" s="8"/>
    </row>
    <row r="632" spans="1:6" ht="20.25" customHeight="1">
      <c r="A632" s="20"/>
      <c r="B632" s="21"/>
      <c r="C632" s="22"/>
      <c r="E632" s="8"/>
      <c r="F632" s="8"/>
    </row>
    <row r="633" spans="1:6" ht="20.25" customHeight="1">
      <c r="A633" s="20"/>
      <c r="B633" s="21"/>
      <c r="C633" s="22"/>
      <c r="E633" s="8"/>
      <c r="F633" s="8"/>
    </row>
    <row r="634" spans="1:6" ht="20.25" customHeight="1">
      <c r="A634" s="20"/>
      <c r="B634" s="21"/>
      <c r="C634" s="22"/>
      <c r="E634" s="8"/>
      <c r="F634" s="8"/>
    </row>
    <row r="635" spans="1:6" ht="20.25" customHeight="1">
      <c r="A635" s="20"/>
      <c r="B635" s="21"/>
      <c r="C635" s="22"/>
      <c r="E635" s="8"/>
      <c r="F635" s="8"/>
    </row>
    <row r="636" spans="1:6" ht="20.25" customHeight="1">
      <c r="A636" s="20"/>
      <c r="B636" s="21"/>
      <c r="C636" s="22"/>
      <c r="E636" s="8"/>
      <c r="F636" s="8"/>
    </row>
    <row r="637" spans="1:6" ht="20.25" customHeight="1">
      <c r="A637" s="20"/>
      <c r="B637" s="21"/>
      <c r="C637" s="22"/>
      <c r="E637" s="8"/>
      <c r="F637" s="8"/>
    </row>
    <row r="638" spans="1:6" ht="20.25" customHeight="1">
      <c r="A638" s="20"/>
      <c r="B638" s="21"/>
      <c r="C638" s="22"/>
      <c r="E638" s="8"/>
      <c r="F638" s="8"/>
    </row>
    <row r="639" spans="1:6" ht="20.25" customHeight="1">
      <c r="A639" s="20"/>
      <c r="B639" s="21"/>
      <c r="C639" s="22"/>
      <c r="E639" s="8"/>
      <c r="F639" s="8"/>
    </row>
    <row r="640" spans="1:6" ht="20.25" customHeight="1">
      <c r="A640" s="20"/>
      <c r="B640" s="21"/>
      <c r="C640" s="22"/>
      <c r="E640" s="8"/>
      <c r="F640" s="8"/>
    </row>
    <row r="641" spans="1:6" ht="20.25" customHeight="1">
      <c r="A641" s="20"/>
      <c r="B641" s="21"/>
      <c r="C641" s="22"/>
      <c r="E641" s="8"/>
      <c r="F641" s="8"/>
    </row>
    <row r="642" spans="1:6" ht="20.25" customHeight="1">
      <c r="A642" s="20"/>
      <c r="B642" s="21"/>
      <c r="C642" s="22"/>
      <c r="E642" s="8"/>
      <c r="F642" s="8"/>
    </row>
    <row r="643" spans="1:6" ht="20.25" customHeight="1">
      <c r="A643" s="20"/>
      <c r="B643" s="21"/>
      <c r="C643" s="22"/>
      <c r="E643" s="8"/>
      <c r="F643" s="8"/>
    </row>
    <row r="644" spans="1:6" ht="20.25" customHeight="1">
      <c r="A644" s="20"/>
      <c r="B644" s="21"/>
      <c r="C644" s="22"/>
      <c r="E644" s="8"/>
      <c r="F644" s="8"/>
    </row>
    <row r="645" spans="1:6" ht="20.25" customHeight="1">
      <c r="A645" s="20"/>
      <c r="B645" s="21"/>
      <c r="C645" s="22"/>
      <c r="E645" s="8"/>
      <c r="F645" s="8"/>
    </row>
    <row r="646" spans="1:6" ht="20.25" customHeight="1">
      <c r="A646" s="20"/>
      <c r="B646" s="21"/>
      <c r="C646" s="22"/>
      <c r="E646" s="8"/>
      <c r="F646" s="8"/>
    </row>
    <row r="647" spans="1:6" ht="20.25" customHeight="1">
      <c r="A647" s="20"/>
      <c r="B647" s="21"/>
      <c r="C647" s="22"/>
      <c r="E647" s="8"/>
      <c r="F647" s="8"/>
    </row>
    <row r="648" spans="1:6" ht="20.25" customHeight="1">
      <c r="A648" s="20"/>
      <c r="B648" s="21"/>
      <c r="C648" s="22"/>
      <c r="E648" s="8"/>
      <c r="F648" s="8"/>
    </row>
    <row r="649" spans="1:6" ht="20.25" customHeight="1">
      <c r="A649" s="20"/>
      <c r="B649" s="21"/>
      <c r="C649" s="22"/>
      <c r="E649" s="8"/>
      <c r="F649" s="8"/>
    </row>
    <row r="650" spans="1:6" ht="20.25" customHeight="1">
      <c r="A650" s="20"/>
      <c r="B650" s="21"/>
      <c r="C650" s="22"/>
      <c r="E650" s="8"/>
      <c r="F650" s="8"/>
    </row>
    <row r="651" spans="1:6" ht="20.25" customHeight="1">
      <c r="A651" s="20"/>
      <c r="B651" s="21"/>
      <c r="C651" s="22"/>
      <c r="E651" s="8"/>
      <c r="F651" s="8"/>
    </row>
    <row r="652" spans="1:6" ht="20.25" customHeight="1">
      <c r="A652" s="20"/>
      <c r="B652" s="21"/>
      <c r="C652" s="22"/>
      <c r="E652" s="8"/>
      <c r="F652" s="8"/>
    </row>
    <row r="653" spans="1:6" ht="20.25" customHeight="1">
      <c r="A653" s="20"/>
      <c r="B653" s="21"/>
      <c r="C653" s="22"/>
      <c r="E653" s="8"/>
      <c r="F653" s="8"/>
    </row>
    <row r="654" spans="1:6" ht="20.25" customHeight="1">
      <c r="A654" s="20"/>
      <c r="B654" s="21"/>
      <c r="C654" s="22"/>
      <c r="E654" s="8"/>
      <c r="F654" s="8"/>
    </row>
    <row r="655" spans="1:6" ht="20.25" customHeight="1">
      <c r="A655" s="20"/>
      <c r="B655" s="21"/>
      <c r="C655" s="22"/>
      <c r="E655" s="8"/>
      <c r="F655" s="8"/>
    </row>
    <row r="656" spans="1:6" ht="20.25" customHeight="1">
      <c r="A656" s="20"/>
      <c r="B656" s="21"/>
      <c r="C656" s="22"/>
      <c r="E656" s="8"/>
      <c r="F656" s="8"/>
    </row>
    <row r="657" spans="1:6" ht="20.25" customHeight="1">
      <c r="A657" s="20"/>
      <c r="B657" s="21"/>
      <c r="C657" s="22"/>
      <c r="E657" s="8"/>
      <c r="F657" s="8"/>
    </row>
    <row r="658" spans="1:6" ht="20.25" customHeight="1">
      <c r="A658" s="20"/>
      <c r="B658" s="21"/>
      <c r="C658" s="22"/>
      <c r="E658" s="8"/>
      <c r="F658" s="8"/>
    </row>
    <row r="659" spans="1:6" ht="20.25" customHeight="1">
      <c r="A659" s="20"/>
      <c r="B659" s="21"/>
      <c r="C659" s="22"/>
      <c r="E659" s="8"/>
      <c r="F659" s="8"/>
    </row>
    <row r="660" spans="1:6" ht="20.25" customHeight="1">
      <c r="A660" s="20"/>
      <c r="B660" s="21"/>
      <c r="C660" s="22"/>
      <c r="E660" s="8"/>
      <c r="F660" s="8"/>
    </row>
    <row r="661" spans="1:6" ht="20.25" customHeight="1">
      <c r="A661" s="20"/>
      <c r="B661" s="21"/>
      <c r="C661" s="22"/>
      <c r="E661" s="8"/>
      <c r="F661" s="8"/>
    </row>
    <row r="662" spans="1:6" ht="20.25" customHeight="1">
      <c r="A662" s="20"/>
      <c r="B662" s="21"/>
      <c r="C662" s="22"/>
      <c r="E662" s="8"/>
      <c r="F662" s="8"/>
    </row>
    <row r="663" spans="1:6" ht="20.25" customHeight="1">
      <c r="A663" s="20"/>
      <c r="B663" s="21"/>
      <c r="C663" s="22"/>
      <c r="E663" s="8"/>
      <c r="F663" s="8"/>
    </row>
    <row r="664" spans="1:6" ht="20.25" customHeight="1">
      <c r="A664" s="20"/>
      <c r="B664" s="21"/>
      <c r="C664" s="22"/>
      <c r="E664" s="8"/>
      <c r="F664" s="8"/>
    </row>
    <row r="665" spans="1:6" ht="20.25" customHeight="1">
      <c r="A665" s="20"/>
      <c r="B665" s="21"/>
      <c r="C665" s="22"/>
      <c r="E665" s="8"/>
      <c r="F665" s="8"/>
    </row>
    <row r="666" spans="1:6" ht="20.25" customHeight="1">
      <c r="A666" s="20"/>
      <c r="B666" s="21"/>
      <c r="C666" s="22"/>
      <c r="E666" s="8"/>
      <c r="F666" s="8"/>
    </row>
    <row r="667" spans="1:6" ht="20.25" customHeight="1">
      <c r="A667" s="20"/>
      <c r="B667" s="21"/>
      <c r="C667" s="22"/>
      <c r="E667" s="8"/>
      <c r="F667" s="8"/>
    </row>
    <row r="668" spans="1:6" ht="20.25" customHeight="1">
      <c r="A668" s="20"/>
      <c r="B668" s="21"/>
      <c r="C668" s="22"/>
      <c r="E668" s="8"/>
      <c r="F668" s="8"/>
    </row>
    <row r="669" spans="1:6" ht="20.25" customHeight="1">
      <c r="A669" s="20"/>
      <c r="B669" s="21"/>
      <c r="C669" s="22"/>
      <c r="E669" s="8"/>
      <c r="F669" s="8"/>
    </row>
    <row r="670" spans="1:6" ht="20.25" customHeight="1">
      <c r="A670" s="20"/>
      <c r="B670" s="21"/>
      <c r="C670" s="22"/>
      <c r="E670" s="8"/>
      <c r="F670" s="8"/>
    </row>
    <row r="671" spans="1:6" ht="20.25" customHeight="1">
      <c r="A671" s="20"/>
      <c r="B671" s="21"/>
      <c r="C671" s="22"/>
      <c r="E671" s="8"/>
      <c r="F671" s="8"/>
    </row>
    <row r="672" spans="1:6" ht="20.25" customHeight="1">
      <c r="A672" s="20"/>
      <c r="B672" s="21"/>
      <c r="C672" s="22"/>
      <c r="E672" s="8"/>
      <c r="F672" s="8"/>
    </row>
    <row r="673" spans="1:6" ht="20.25" customHeight="1">
      <c r="A673" s="20"/>
      <c r="B673" s="21"/>
      <c r="C673" s="22"/>
      <c r="E673" s="8"/>
      <c r="F673" s="8"/>
    </row>
    <row r="674" spans="1:6" ht="20.25" customHeight="1">
      <c r="A674" s="20"/>
      <c r="B674" s="21"/>
      <c r="C674" s="22"/>
      <c r="E674" s="8"/>
      <c r="F674" s="8"/>
    </row>
    <row r="675" spans="1:6" ht="20.25" customHeight="1">
      <c r="A675" s="20"/>
      <c r="B675" s="21"/>
      <c r="C675" s="22"/>
      <c r="E675" s="8"/>
      <c r="F675" s="8"/>
    </row>
    <row r="676" spans="1:6" ht="20.25" customHeight="1">
      <c r="A676" s="20"/>
      <c r="B676" s="21"/>
      <c r="C676" s="22"/>
      <c r="E676" s="8"/>
      <c r="F676" s="8"/>
    </row>
    <row r="677" spans="1:6" ht="20.25" customHeight="1">
      <c r="A677" s="20"/>
      <c r="B677" s="21"/>
      <c r="C677" s="22"/>
      <c r="E677" s="8"/>
      <c r="F677" s="8"/>
    </row>
    <row r="678" spans="1:6" ht="20.25" customHeight="1">
      <c r="A678" s="20"/>
      <c r="B678" s="21"/>
      <c r="C678" s="22"/>
      <c r="E678" s="8"/>
      <c r="F678" s="8"/>
    </row>
    <row r="679" spans="1:6" ht="20.25" customHeight="1">
      <c r="A679" s="20"/>
      <c r="B679" s="21"/>
      <c r="C679" s="22"/>
      <c r="E679" s="8"/>
      <c r="F679" s="8"/>
    </row>
    <row r="680" spans="1:6" ht="20.25" customHeight="1">
      <c r="A680" s="20"/>
      <c r="B680" s="21"/>
      <c r="C680" s="22"/>
      <c r="E680" s="8"/>
      <c r="F680" s="8"/>
    </row>
    <row r="681" spans="1:6" ht="20.25" customHeight="1">
      <c r="A681" s="20"/>
      <c r="B681" s="21"/>
      <c r="C681" s="22"/>
      <c r="E681" s="8"/>
      <c r="F681" s="8"/>
    </row>
    <row r="682" spans="1:6" ht="20.25" customHeight="1">
      <c r="A682" s="20"/>
      <c r="B682" s="21"/>
      <c r="C682" s="22"/>
      <c r="E682" s="8"/>
      <c r="F682" s="8"/>
    </row>
    <row r="683" spans="1:6" ht="20.25" customHeight="1">
      <c r="A683" s="20"/>
      <c r="B683" s="21"/>
      <c r="C683" s="22"/>
      <c r="E683" s="8"/>
      <c r="F683" s="8"/>
    </row>
    <row r="684" spans="1:6" ht="20.25" customHeight="1">
      <c r="A684" s="20"/>
      <c r="B684" s="21"/>
      <c r="C684" s="22"/>
      <c r="E684" s="8"/>
      <c r="F684" s="8"/>
    </row>
    <row r="685" spans="1:6" ht="20.25" customHeight="1">
      <c r="A685" s="20"/>
      <c r="B685" s="21"/>
      <c r="C685" s="22"/>
      <c r="E685" s="8"/>
      <c r="F685" s="8"/>
    </row>
    <row r="686" spans="1:6" ht="20.25" customHeight="1">
      <c r="A686" s="20"/>
      <c r="B686" s="21"/>
      <c r="C686" s="22"/>
      <c r="E686" s="8"/>
      <c r="F686" s="8"/>
    </row>
    <row r="687" spans="1:6" ht="20.25" customHeight="1">
      <c r="A687" s="20"/>
      <c r="B687" s="21"/>
      <c r="C687" s="22"/>
      <c r="E687" s="8"/>
      <c r="F687" s="8"/>
    </row>
    <row r="688" spans="1:6" ht="20.25" customHeight="1">
      <c r="A688" s="20"/>
      <c r="B688" s="21"/>
      <c r="C688" s="22"/>
      <c r="E688" s="8"/>
      <c r="F688" s="8"/>
    </row>
    <row r="689" spans="1:6" ht="20.25" customHeight="1">
      <c r="A689" s="20"/>
      <c r="B689" s="21"/>
      <c r="C689" s="22"/>
      <c r="E689" s="8"/>
      <c r="F689" s="8"/>
    </row>
    <row r="690" spans="1:6" ht="20.25" customHeight="1">
      <c r="A690" s="20"/>
      <c r="B690" s="21"/>
      <c r="C690" s="22"/>
      <c r="E690" s="8"/>
      <c r="F690" s="8"/>
    </row>
    <row r="691" spans="1:6" ht="20.25" customHeight="1">
      <c r="A691" s="20"/>
      <c r="B691" s="21"/>
      <c r="C691" s="22"/>
      <c r="E691" s="8"/>
      <c r="F691" s="8"/>
    </row>
    <row r="692" spans="1:6" ht="20.25" customHeight="1">
      <c r="A692" s="20"/>
      <c r="B692" s="21"/>
      <c r="C692" s="22"/>
      <c r="E692" s="8"/>
      <c r="F692" s="8"/>
    </row>
    <row r="693" spans="1:6" ht="20.25" customHeight="1">
      <c r="A693" s="20"/>
      <c r="B693" s="21"/>
      <c r="C693" s="22"/>
      <c r="E693" s="8"/>
      <c r="F693" s="8"/>
    </row>
    <row r="694" spans="1:6" ht="20.25" customHeight="1">
      <c r="A694" s="20"/>
      <c r="B694" s="21"/>
      <c r="C694" s="22"/>
      <c r="E694" s="8"/>
      <c r="F694" s="8"/>
    </row>
    <row r="695" spans="1:6" ht="20.25" customHeight="1">
      <c r="A695" s="20"/>
      <c r="B695" s="21"/>
      <c r="C695" s="22"/>
      <c r="E695" s="8"/>
      <c r="F695" s="8"/>
    </row>
    <row r="696" spans="1:6" ht="20.25" customHeight="1">
      <c r="A696" s="20"/>
      <c r="B696" s="21"/>
      <c r="C696" s="22"/>
      <c r="E696" s="8"/>
      <c r="F696" s="8"/>
    </row>
    <row r="697" spans="1:6" ht="20.25" customHeight="1">
      <c r="A697" s="20"/>
      <c r="B697" s="21"/>
      <c r="C697" s="22"/>
      <c r="E697" s="8"/>
      <c r="F697" s="8"/>
    </row>
    <row r="698" spans="1:6" ht="20.25" customHeight="1">
      <c r="A698" s="20"/>
      <c r="B698" s="21"/>
      <c r="C698" s="22"/>
      <c r="E698" s="8"/>
      <c r="F698" s="8"/>
    </row>
    <row r="699" spans="1:6" ht="20.25" customHeight="1">
      <c r="A699" s="20"/>
      <c r="B699" s="21"/>
      <c r="C699" s="22"/>
      <c r="E699" s="8"/>
      <c r="F699" s="8"/>
    </row>
    <row r="700" spans="1:6" ht="20.25" customHeight="1">
      <c r="A700" s="20"/>
      <c r="B700" s="21"/>
      <c r="C700" s="22"/>
      <c r="E700" s="8"/>
      <c r="F700" s="8"/>
    </row>
    <row r="701" spans="1:6" ht="20.25" customHeight="1">
      <c r="A701" s="20"/>
      <c r="B701" s="21"/>
      <c r="C701" s="22"/>
      <c r="E701" s="8"/>
      <c r="F701" s="8"/>
    </row>
    <row r="702" spans="1:6" ht="20.25" customHeight="1">
      <c r="A702" s="20"/>
      <c r="B702" s="21"/>
      <c r="C702" s="22"/>
      <c r="E702" s="8"/>
      <c r="F702" s="8"/>
    </row>
    <row r="703" spans="1:6" ht="20.25" customHeight="1">
      <c r="A703" s="20"/>
      <c r="B703" s="21"/>
      <c r="C703" s="22"/>
      <c r="E703" s="8"/>
      <c r="F703" s="8"/>
    </row>
    <row r="704" spans="1:6" ht="20.25" customHeight="1">
      <c r="A704" s="20"/>
      <c r="B704" s="21"/>
      <c r="C704" s="22"/>
      <c r="E704" s="8"/>
      <c r="F704" s="8"/>
    </row>
    <row r="705" spans="1:6" ht="20.25" customHeight="1">
      <c r="A705" s="20"/>
      <c r="B705" s="21"/>
      <c r="C705" s="22"/>
      <c r="E705" s="8"/>
      <c r="F705" s="8"/>
    </row>
    <row r="706" spans="1:6" ht="20.25" customHeight="1">
      <c r="A706" s="20"/>
      <c r="B706" s="21"/>
      <c r="C706" s="22"/>
      <c r="E706" s="8"/>
      <c r="F706" s="8"/>
    </row>
    <row r="707" spans="1:6" ht="20.25" customHeight="1">
      <c r="A707" s="20"/>
      <c r="B707" s="21"/>
      <c r="C707" s="22"/>
      <c r="E707" s="8"/>
      <c r="F707" s="8"/>
    </row>
    <row r="708" spans="1:6" ht="20.25" customHeight="1">
      <c r="A708" s="20"/>
      <c r="B708" s="21"/>
      <c r="C708" s="22"/>
      <c r="E708" s="8"/>
      <c r="F708" s="8"/>
    </row>
    <row r="709" spans="1:6" ht="20.25" customHeight="1">
      <c r="A709" s="20"/>
      <c r="B709" s="21"/>
      <c r="C709" s="22"/>
      <c r="E709" s="8"/>
      <c r="F709" s="8"/>
    </row>
    <row r="710" spans="1:6" ht="20.25" customHeight="1">
      <c r="A710" s="20"/>
      <c r="B710" s="21"/>
      <c r="C710" s="22"/>
      <c r="E710" s="8"/>
      <c r="F710" s="8"/>
    </row>
    <row r="711" spans="1:6" ht="20.25" customHeight="1">
      <c r="A711" s="20"/>
      <c r="B711" s="21"/>
      <c r="C711" s="22"/>
      <c r="E711" s="8"/>
      <c r="F711" s="8"/>
    </row>
    <row r="712" spans="1:6" ht="20.25" customHeight="1">
      <c r="A712" s="20"/>
      <c r="B712" s="21"/>
      <c r="C712" s="22"/>
      <c r="E712" s="8"/>
      <c r="F712" s="8"/>
    </row>
    <row r="713" spans="1:6" ht="20.25" customHeight="1">
      <c r="A713" s="20"/>
      <c r="B713" s="21"/>
      <c r="C713" s="22"/>
      <c r="E713" s="8"/>
      <c r="F713" s="8"/>
    </row>
    <row r="714" spans="1:6" ht="20.25" customHeight="1">
      <c r="A714" s="20"/>
      <c r="B714" s="21"/>
      <c r="C714" s="22"/>
      <c r="E714" s="8"/>
      <c r="F714" s="8"/>
    </row>
    <row r="715" spans="1:6" ht="20.25" customHeight="1">
      <c r="A715" s="20"/>
      <c r="B715" s="21"/>
      <c r="C715" s="22"/>
      <c r="E715" s="8"/>
      <c r="F715" s="8"/>
    </row>
    <row r="716" spans="1:6" ht="20.25" customHeight="1">
      <c r="A716" s="20"/>
      <c r="B716" s="21"/>
      <c r="C716" s="22"/>
      <c r="E716" s="8"/>
      <c r="F716" s="8"/>
    </row>
    <row r="717" spans="1:6" ht="20.25" customHeight="1">
      <c r="A717" s="20"/>
      <c r="B717" s="21"/>
      <c r="C717" s="22"/>
      <c r="E717" s="8"/>
      <c r="F717" s="8"/>
    </row>
    <row r="718" spans="1:6" ht="20.25" customHeight="1">
      <c r="A718" s="20"/>
      <c r="B718" s="21"/>
      <c r="C718" s="22"/>
      <c r="E718" s="8"/>
      <c r="F718" s="8"/>
    </row>
    <row r="719" spans="1:6" ht="20.25" customHeight="1">
      <c r="A719" s="20"/>
      <c r="B719" s="21"/>
      <c r="C719" s="22"/>
      <c r="E719" s="8"/>
      <c r="F719" s="8"/>
    </row>
    <row r="720" spans="1:6" ht="20.25" customHeight="1">
      <c r="A720" s="20"/>
      <c r="B720" s="21"/>
      <c r="C720" s="22"/>
      <c r="E720" s="8"/>
      <c r="F720" s="8"/>
    </row>
    <row r="721" spans="1:6" ht="20.25" customHeight="1">
      <c r="A721" s="20"/>
      <c r="B721" s="21"/>
      <c r="C721" s="22"/>
      <c r="E721" s="8"/>
      <c r="F721" s="8"/>
    </row>
    <row r="722" spans="1:6" ht="20.25" customHeight="1">
      <c r="A722" s="20"/>
      <c r="B722" s="21"/>
      <c r="C722" s="22"/>
      <c r="E722" s="8"/>
      <c r="F722" s="8"/>
    </row>
    <row r="723" spans="1:6" ht="20.25" customHeight="1">
      <c r="A723" s="20"/>
      <c r="B723" s="21"/>
      <c r="C723" s="22"/>
      <c r="E723" s="8"/>
      <c r="F723" s="8"/>
    </row>
    <row r="724" spans="1:6" ht="20.25" customHeight="1">
      <c r="A724" s="20"/>
      <c r="B724" s="21"/>
      <c r="C724" s="22"/>
      <c r="E724" s="8"/>
      <c r="F724" s="8"/>
    </row>
    <row r="725" spans="1:6" ht="20.25" customHeight="1">
      <c r="A725" s="20"/>
      <c r="B725" s="21"/>
      <c r="C725" s="22"/>
      <c r="E725" s="8"/>
      <c r="F725" s="8"/>
    </row>
    <row r="726" spans="1:6" ht="20.25" customHeight="1">
      <c r="A726" s="20"/>
      <c r="B726" s="21"/>
      <c r="C726" s="22"/>
      <c r="E726" s="8"/>
      <c r="F726" s="8"/>
    </row>
    <row r="727" spans="1:6" ht="20.25" customHeight="1">
      <c r="A727" s="20"/>
      <c r="B727" s="21"/>
      <c r="C727" s="22"/>
      <c r="E727" s="8"/>
      <c r="F727" s="8"/>
    </row>
    <row r="728" spans="1:6" ht="20.25" customHeight="1">
      <c r="A728" s="20"/>
      <c r="B728" s="21"/>
      <c r="C728" s="22"/>
      <c r="E728" s="8"/>
      <c r="F728" s="8"/>
    </row>
    <row r="729" spans="1:6" ht="20.25" customHeight="1">
      <c r="A729" s="20"/>
      <c r="B729" s="21"/>
      <c r="C729" s="22"/>
      <c r="E729" s="8"/>
      <c r="F729" s="8"/>
    </row>
    <row r="730" spans="1:6" ht="20.25" customHeight="1">
      <c r="A730" s="20"/>
      <c r="B730" s="21"/>
      <c r="C730" s="22"/>
      <c r="E730" s="8"/>
      <c r="F730" s="8"/>
    </row>
    <row r="731" spans="1:6" ht="20.25" customHeight="1">
      <c r="A731" s="20"/>
      <c r="B731" s="21"/>
      <c r="C731" s="22"/>
      <c r="E731" s="8"/>
      <c r="F731" s="8"/>
    </row>
    <row r="732" spans="1:6" ht="20.25" customHeight="1">
      <c r="A732" s="20"/>
      <c r="B732" s="21"/>
      <c r="C732" s="22"/>
      <c r="E732" s="8"/>
      <c r="F732" s="8"/>
    </row>
    <row r="733" spans="1:6" ht="20.25" customHeight="1">
      <c r="A733" s="20"/>
      <c r="B733" s="21"/>
      <c r="C733" s="22"/>
      <c r="E733" s="8"/>
      <c r="F733" s="8"/>
    </row>
    <row r="734" spans="1:6" ht="20.25" customHeight="1">
      <c r="A734" s="20"/>
      <c r="B734" s="21"/>
      <c r="C734" s="22"/>
      <c r="E734" s="8"/>
      <c r="F734" s="8"/>
    </row>
    <row r="735" spans="1:6" ht="20.25" customHeight="1">
      <c r="A735" s="20"/>
      <c r="B735" s="21"/>
      <c r="C735" s="22"/>
      <c r="E735" s="8"/>
      <c r="F735" s="8"/>
    </row>
    <row r="736" spans="1:6" ht="20.25" customHeight="1">
      <c r="A736" s="20"/>
      <c r="B736" s="21"/>
      <c r="C736" s="22"/>
      <c r="E736" s="8"/>
      <c r="F736" s="8"/>
    </row>
    <row r="737" spans="1:6" ht="20.25" customHeight="1">
      <c r="A737" s="20"/>
      <c r="B737" s="21"/>
      <c r="C737" s="22"/>
      <c r="E737" s="8"/>
      <c r="F737" s="8"/>
    </row>
    <row r="738" spans="1:6" ht="20.25" customHeight="1">
      <c r="A738" s="20"/>
      <c r="B738" s="21"/>
      <c r="C738" s="22"/>
      <c r="E738" s="8"/>
      <c r="F738" s="8"/>
    </row>
    <row r="739" spans="1:6" ht="20.25" customHeight="1">
      <c r="A739" s="20"/>
      <c r="B739" s="21"/>
      <c r="C739" s="22"/>
      <c r="E739" s="8"/>
      <c r="F739" s="8"/>
    </row>
    <row r="740" spans="1:6" ht="20.25" customHeight="1">
      <c r="A740" s="20"/>
      <c r="B740" s="21"/>
      <c r="C740" s="22"/>
      <c r="E740" s="8"/>
      <c r="F740" s="8"/>
    </row>
    <row r="741" spans="1:6" ht="20.25" customHeight="1">
      <c r="A741" s="20"/>
      <c r="B741" s="21"/>
      <c r="C741" s="22"/>
      <c r="E741" s="8"/>
      <c r="F741" s="8"/>
    </row>
    <row r="742" spans="1:6" ht="20.25" customHeight="1">
      <c r="A742" s="20"/>
      <c r="B742" s="21"/>
      <c r="C742" s="22"/>
      <c r="E742" s="8"/>
      <c r="F742" s="8"/>
    </row>
    <row r="743" spans="1:6" ht="20.25" customHeight="1">
      <c r="A743" s="20"/>
      <c r="B743" s="21"/>
      <c r="C743" s="22"/>
      <c r="E743" s="8"/>
      <c r="F743" s="8"/>
    </row>
    <row r="744" spans="1:6" ht="20.25" customHeight="1">
      <c r="A744" s="20"/>
      <c r="B744" s="21"/>
      <c r="C744" s="22"/>
      <c r="E744" s="8"/>
      <c r="F744" s="8"/>
    </row>
    <row r="745" spans="1:6" ht="20.25" customHeight="1">
      <c r="A745" s="20"/>
      <c r="B745" s="21"/>
      <c r="C745" s="22"/>
      <c r="E745" s="8"/>
      <c r="F745" s="8"/>
    </row>
    <row r="746" spans="1:6" ht="20.25" customHeight="1">
      <c r="A746" s="20"/>
      <c r="B746" s="21"/>
      <c r="C746" s="22"/>
      <c r="E746" s="8"/>
      <c r="F746" s="8"/>
    </row>
    <row r="747" spans="1:6" ht="20.25" customHeight="1">
      <c r="A747" s="20"/>
      <c r="B747" s="21"/>
      <c r="C747" s="22"/>
      <c r="E747" s="8"/>
      <c r="F747" s="8"/>
    </row>
    <row r="748" spans="1:6" ht="20.25" customHeight="1">
      <c r="A748" s="20"/>
      <c r="B748" s="21"/>
      <c r="C748" s="22"/>
      <c r="E748" s="8"/>
      <c r="F748" s="8"/>
    </row>
    <row r="749" spans="1:6" ht="20.25" customHeight="1">
      <c r="A749" s="20"/>
      <c r="B749" s="21"/>
      <c r="C749" s="22"/>
      <c r="E749" s="8"/>
      <c r="F749" s="8"/>
    </row>
    <row r="750" spans="1:6" ht="20.25" customHeight="1">
      <c r="A750" s="20"/>
      <c r="B750" s="21"/>
      <c r="C750" s="22"/>
      <c r="E750" s="8"/>
      <c r="F750" s="8"/>
    </row>
    <row r="751" spans="1:6" ht="20.25" customHeight="1">
      <c r="A751" s="20"/>
      <c r="B751" s="21"/>
      <c r="C751" s="22"/>
      <c r="E751" s="8"/>
      <c r="F751" s="8"/>
    </row>
    <row r="752" spans="1:6" ht="20.25" customHeight="1">
      <c r="A752" s="20"/>
      <c r="B752" s="21"/>
      <c r="C752" s="22"/>
      <c r="E752" s="8"/>
      <c r="F752" s="8"/>
    </row>
    <row r="753" spans="1:6" ht="20.25" customHeight="1">
      <c r="A753" s="20"/>
      <c r="B753" s="21"/>
      <c r="C753" s="22"/>
      <c r="E753" s="8"/>
      <c r="F753" s="8"/>
    </row>
    <row r="754" spans="1:6" ht="20.25" customHeight="1">
      <c r="A754" s="20"/>
      <c r="B754" s="21"/>
      <c r="C754" s="22"/>
      <c r="E754" s="8"/>
      <c r="F754" s="8"/>
    </row>
    <row r="755" spans="1:6" ht="20.25" customHeight="1">
      <c r="A755" s="20"/>
      <c r="B755" s="21"/>
      <c r="C755" s="22"/>
      <c r="E755" s="8"/>
      <c r="F755" s="8"/>
    </row>
    <row r="756" spans="1:6" ht="20.25" customHeight="1">
      <c r="A756" s="20"/>
      <c r="B756" s="21"/>
      <c r="C756" s="22"/>
      <c r="E756" s="8"/>
      <c r="F756" s="8"/>
    </row>
    <row r="757" spans="1:6" ht="20.25" customHeight="1">
      <c r="A757" s="20"/>
      <c r="B757" s="21"/>
      <c r="C757" s="22"/>
      <c r="E757" s="8"/>
      <c r="F757" s="8"/>
    </row>
    <row r="758" spans="1:6" ht="20.25" customHeight="1">
      <c r="A758" s="20"/>
      <c r="B758" s="21"/>
      <c r="C758" s="22"/>
      <c r="E758" s="8"/>
      <c r="F758" s="8"/>
    </row>
    <row r="759" spans="1:6" ht="20.25" customHeight="1">
      <c r="A759" s="20"/>
      <c r="B759" s="21"/>
      <c r="C759" s="22"/>
      <c r="E759" s="8"/>
      <c r="F759" s="8"/>
    </row>
    <row r="760" spans="1:6" ht="20.25" customHeight="1">
      <c r="A760" s="20"/>
      <c r="B760" s="21"/>
      <c r="C760" s="22"/>
      <c r="E760" s="8"/>
      <c r="F760" s="8"/>
    </row>
    <row r="761" spans="1:6" ht="20.25" customHeight="1">
      <c r="A761" s="20"/>
      <c r="B761" s="21"/>
      <c r="C761" s="22"/>
      <c r="E761" s="8"/>
      <c r="F761" s="8"/>
    </row>
    <row r="762" spans="1:6" ht="20.25" customHeight="1">
      <c r="A762" s="20"/>
      <c r="B762" s="21"/>
      <c r="C762" s="22"/>
      <c r="E762" s="8"/>
      <c r="F762" s="8"/>
    </row>
    <row r="763" spans="1:6" ht="20.25" customHeight="1">
      <c r="A763" s="20"/>
      <c r="B763" s="21"/>
      <c r="C763" s="22"/>
      <c r="E763" s="8"/>
      <c r="F763" s="8"/>
    </row>
    <row r="764" spans="1:6" ht="20.25" customHeight="1">
      <c r="A764" s="20"/>
      <c r="B764" s="21"/>
      <c r="C764" s="22"/>
      <c r="E764" s="8"/>
      <c r="F764" s="8"/>
    </row>
    <row r="765" spans="1:6" ht="20.25" customHeight="1">
      <c r="A765" s="20"/>
      <c r="B765" s="21"/>
      <c r="C765" s="22"/>
      <c r="E765" s="8"/>
      <c r="F765" s="8"/>
    </row>
    <row r="766" spans="1:6" ht="20.25" customHeight="1">
      <c r="A766" s="20"/>
      <c r="B766" s="21"/>
      <c r="C766" s="22"/>
      <c r="E766" s="8"/>
      <c r="F766" s="8"/>
    </row>
    <row r="767" spans="1:6" ht="20.25" customHeight="1">
      <c r="A767" s="20"/>
      <c r="B767" s="21"/>
      <c r="C767" s="22"/>
      <c r="E767" s="8"/>
      <c r="F767" s="8"/>
    </row>
    <row r="768" spans="1:6" ht="20.25" customHeight="1">
      <c r="A768" s="20"/>
      <c r="B768" s="21"/>
      <c r="C768" s="22"/>
      <c r="E768" s="8"/>
      <c r="F768" s="8"/>
    </row>
    <row r="769" spans="1:6" ht="20.25" customHeight="1">
      <c r="A769" s="20"/>
      <c r="B769" s="21"/>
      <c r="C769" s="22"/>
      <c r="E769" s="8"/>
      <c r="F769" s="8"/>
    </row>
    <row r="770" spans="1:6" ht="20.25" customHeight="1">
      <c r="A770" s="20"/>
      <c r="B770" s="21"/>
      <c r="C770" s="22"/>
      <c r="E770" s="8"/>
      <c r="F770" s="8"/>
    </row>
    <row r="771" spans="1:6" ht="20.25" customHeight="1">
      <c r="A771" s="20"/>
      <c r="B771" s="21"/>
      <c r="C771" s="22"/>
      <c r="E771" s="8"/>
      <c r="F771" s="8"/>
    </row>
    <row r="772" spans="1:6" ht="20.25" customHeight="1">
      <c r="A772" s="20"/>
      <c r="B772" s="21"/>
      <c r="C772" s="22"/>
      <c r="E772" s="8"/>
      <c r="F772" s="8"/>
    </row>
    <row r="773" spans="1:6" ht="20.25" customHeight="1">
      <c r="A773" s="20"/>
      <c r="B773" s="21"/>
      <c r="C773" s="22"/>
      <c r="E773" s="8"/>
      <c r="F773" s="8"/>
    </row>
    <row r="774" spans="1:6" ht="20.25" customHeight="1">
      <c r="A774" s="20"/>
      <c r="B774" s="21"/>
      <c r="C774" s="22"/>
      <c r="E774" s="8"/>
      <c r="F774" s="8"/>
    </row>
    <row r="775" spans="1:6" ht="20.25" customHeight="1">
      <c r="A775" s="20"/>
      <c r="B775" s="21"/>
      <c r="C775" s="22"/>
      <c r="E775" s="8"/>
      <c r="F775" s="8"/>
    </row>
    <row r="776" spans="1:6" ht="20.25" customHeight="1">
      <c r="A776" s="20"/>
      <c r="B776" s="21"/>
      <c r="C776" s="22"/>
      <c r="E776" s="8"/>
      <c r="F776" s="8"/>
    </row>
    <row r="777" spans="1:6" ht="20.25" customHeight="1">
      <c r="A777" s="20"/>
      <c r="B777" s="21"/>
      <c r="C777" s="22"/>
      <c r="E777" s="8"/>
      <c r="F777" s="8"/>
    </row>
    <row r="778" spans="1:6" ht="20.25" customHeight="1">
      <c r="A778" s="20"/>
      <c r="B778" s="21"/>
      <c r="C778" s="22"/>
      <c r="E778" s="8"/>
      <c r="F778" s="8"/>
    </row>
    <row r="779" spans="1:6" ht="20.25" customHeight="1">
      <c r="A779" s="20"/>
      <c r="B779" s="21"/>
      <c r="C779" s="22"/>
      <c r="E779" s="8"/>
      <c r="F779" s="8"/>
    </row>
    <row r="780" spans="1:6" ht="20.25" customHeight="1">
      <c r="A780" s="20"/>
      <c r="B780" s="21"/>
      <c r="C780" s="22"/>
      <c r="E780" s="8"/>
      <c r="F780" s="8"/>
    </row>
    <row r="781" spans="1:6" ht="20.25" customHeight="1">
      <c r="A781" s="20"/>
      <c r="B781" s="21"/>
      <c r="C781" s="22"/>
      <c r="E781" s="8"/>
      <c r="F781" s="8"/>
    </row>
    <row r="782" spans="1:6" ht="20.25" customHeight="1">
      <c r="A782" s="20"/>
      <c r="B782" s="21"/>
      <c r="C782" s="22"/>
      <c r="E782" s="8"/>
      <c r="F782" s="8"/>
    </row>
    <row r="783" spans="1:6" ht="20.25" customHeight="1">
      <c r="A783" s="20"/>
      <c r="B783" s="21"/>
      <c r="C783" s="22"/>
      <c r="E783" s="8"/>
      <c r="F783" s="8"/>
    </row>
    <row r="784" spans="1:6" ht="20.25" customHeight="1">
      <c r="A784" s="20"/>
      <c r="B784" s="21"/>
      <c r="C784" s="22"/>
      <c r="E784" s="8"/>
      <c r="F784" s="8"/>
    </row>
    <row r="785" spans="1:6" ht="20.25" customHeight="1">
      <c r="A785" s="20"/>
      <c r="B785" s="21"/>
      <c r="C785" s="22"/>
      <c r="E785" s="8"/>
      <c r="F785" s="8"/>
    </row>
    <row r="786" spans="1:6" ht="20.25" customHeight="1">
      <c r="A786" s="20"/>
      <c r="B786" s="21"/>
      <c r="C786" s="22"/>
      <c r="E786" s="8"/>
      <c r="F786" s="8"/>
    </row>
    <row r="787" spans="1:6" ht="20.25" customHeight="1">
      <c r="A787" s="20"/>
      <c r="B787" s="21"/>
      <c r="C787" s="22"/>
      <c r="E787" s="8"/>
      <c r="F787" s="8"/>
    </row>
    <row r="788" spans="1:6" ht="20.25" customHeight="1">
      <c r="A788" s="20"/>
      <c r="B788" s="21"/>
      <c r="C788" s="22"/>
      <c r="E788" s="8"/>
      <c r="F788" s="8"/>
    </row>
    <row r="789" spans="1:6" ht="20.25" customHeight="1">
      <c r="A789" s="20"/>
      <c r="B789" s="21"/>
      <c r="C789" s="22"/>
      <c r="E789" s="8"/>
      <c r="F789" s="8"/>
    </row>
    <row r="790" spans="1:6" ht="20.25" customHeight="1">
      <c r="A790" s="20"/>
      <c r="B790" s="21"/>
      <c r="C790" s="22"/>
      <c r="E790" s="8"/>
      <c r="F790" s="8"/>
    </row>
    <row r="791" spans="1:6" ht="20.25" customHeight="1">
      <c r="A791" s="20"/>
      <c r="B791" s="21"/>
      <c r="C791" s="22"/>
      <c r="E791" s="8"/>
      <c r="F791" s="8"/>
    </row>
    <row r="792" spans="1:6" ht="20.25" customHeight="1">
      <c r="A792" s="20"/>
      <c r="B792" s="21"/>
      <c r="C792" s="22"/>
      <c r="E792" s="8"/>
      <c r="F792" s="8"/>
    </row>
    <row r="793" spans="1:6" ht="20.25" customHeight="1">
      <c r="A793" s="20"/>
      <c r="B793" s="21"/>
      <c r="C793" s="22"/>
      <c r="E793" s="8"/>
      <c r="F793" s="8"/>
    </row>
    <row r="794" spans="1:6" ht="20.25" customHeight="1">
      <c r="A794" s="20"/>
      <c r="B794" s="21"/>
      <c r="C794" s="22"/>
      <c r="E794" s="8"/>
      <c r="F794" s="8"/>
    </row>
    <row r="795" spans="1:6" ht="20.25" customHeight="1">
      <c r="A795" s="20"/>
      <c r="B795" s="21"/>
      <c r="C795" s="22"/>
      <c r="E795" s="8"/>
      <c r="F795" s="8"/>
    </row>
    <row r="796" spans="1:6" ht="20.25" customHeight="1">
      <c r="A796" s="20"/>
      <c r="B796" s="21"/>
      <c r="C796" s="22"/>
      <c r="E796" s="8"/>
      <c r="F796" s="8"/>
    </row>
    <row r="797" spans="1:6" ht="20.25" customHeight="1">
      <c r="A797" s="20"/>
      <c r="B797" s="21"/>
      <c r="C797" s="22"/>
      <c r="E797" s="8"/>
      <c r="F797" s="8"/>
    </row>
    <row r="798" spans="1:6" ht="20.25" customHeight="1">
      <c r="A798" s="20"/>
      <c r="B798" s="21"/>
      <c r="C798" s="22"/>
      <c r="E798" s="8"/>
      <c r="F798" s="8"/>
    </row>
    <row r="799" spans="1:6" ht="20.25" customHeight="1">
      <c r="A799" s="20"/>
      <c r="B799" s="21"/>
      <c r="C799" s="22"/>
      <c r="E799" s="8"/>
      <c r="F799" s="8"/>
    </row>
    <row r="800" spans="1:6" ht="20.25" customHeight="1">
      <c r="A800" s="20"/>
      <c r="B800" s="21"/>
      <c r="C800" s="22"/>
      <c r="E800" s="8"/>
      <c r="F800" s="8"/>
    </row>
    <row r="801" spans="1:6" ht="20.25" customHeight="1">
      <c r="A801" s="20"/>
      <c r="B801" s="21"/>
      <c r="C801" s="22"/>
      <c r="E801" s="8"/>
      <c r="F801" s="8"/>
    </row>
    <row r="802" spans="1:6" ht="20.25" customHeight="1">
      <c r="A802" s="20"/>
      <c r="B802" s="21"/>
      <c r="C802" s="22"/>
      <c r="E802" s="8"/>
      <c r="F802" s="8"/>
    </row>
    <row r="803" spans="1:6" ht="20.25" customHeight="1">
      <c r="A803" s="20"/>
      <c r="B803" s="21"/>
      <c r="C803" s="22"/>
      <c r="E803" s="8"/>
      <c r="F803" s="8"/>
    </row>
    <row r="804" spans="1:6" ht="20.25" customHeight="1">
      <c r="A804" s="20"/>
      <c r="B804" s="21"/>
      <c r="C804" s="22"/>
      <c r="E804" s="8"/>
      <c r="F804" s="8"/>
    </row>
    <row r="805" spans="1:6" ht="20.25" customHeight="1">
      <c r="A805" s="20"/>
      <c r="B805" s="21"/>
      <c r="C805" s="22"/>
      <c r="E805" s="8"/>
      <c r="F805" s="8"/>
    </row>
    <row r="806" spans="1:6" ht="20.25" customHeight="1">
      <c r="A806" s="20"/>
      <c r="B806" s="21"/>
      <c r="C806" s="22"/>
      <c r="E806" s="8"/>
      <c r="F806" s="8"/>
    </row>
    <row r="807" spans="1:6" ht="20.25" customHeight="1">
      <c r="A807" s="20"/>
      <c r="B807" s="21"/>
      <c r="C807" s="22"/>
      <c r="E807" s="8"/>
      <c r="F807" s="8"/>
    </row>
    <row r="808" spans="1:6" ht="20.25" customHeight="1">
      <c r="A808" s="20"/>
      <c r="B808" s="21"/>
      <c r="C808" s="22"/>
      <c r="E808" s="8"/>
      <c r="F808" s="8"/>
    </row>
    <row r="809" spans="1:6" ht="20.25" customHeight="1">
      <c r="A809" s="20"/>
      <c r="B809" s="21"/>
      <c r="C809" s="22"/>
      <c r="E809" s="8"/>
      <c r="F809" s="8"/>
    </row>
    <row r="810" spans="1:6" ht="20.25" customHeight="1">
      <c r="A810" s="20"/>
      <c r="B810" s="21"/>
      <c r="C810" s="22"/>
      <c r="E810" s="8"/>
      <c r="F810" s="8"/>
    </row>
    <row r="811" spans="1:6" ht="20.25" customHeight="1">
      <c r="A811" s="20"/>
      <c r="B811" s="21"/>
      <c r="C811" s="22"/>
      <c r="E811" s="8"/>
      <c r="F811" s="8"/>
    </row>
    <row r="812" spans="1:6" ht="20.25" customHeight="1">
      <c r="A812" s="20"/>
      <c r="B812" s="21"/>
      <c r="C812" s="22"/>
      <c r="E812" s="8"/>
      <c r="F812" s="8"/>
    </row>
    <row r="813" spans="1:6" ht="20.25" customHeight="1">
      <c r="A813" s="20"/>
      <c r="B813" s="21"/>
      <c r="C813" s="22"/>
      <c r="E813" s="8"/>
      <c r="F813" s="8"/>
    </row>
    <row r="814" spans="1:6" ht="20.25" customHeight="1">
      <c r="A814" s="20"/>
      <c r="B814" s="21"/>
      <c r="C814" s="22"/>
      <c r="E814" s="8"/>
      <c r="F814" s="8"/>
    </row>
    <row r="815" spans="1:6" ht="20.25" customHeight="1">
      <c r="A815" s="20"/>
      <c r="B815" s="21"/>
      <c r="C815" s="22"/>
      <c r="E815" s="8"/>
      <c r="F815" s="8"/>
    </row>
    <row r="816" spans="1:6" ht="20.25" customHeight="1">
      <c r="A816" s="20"/>
      <c r="B816" s="21"/>
      <c r="C816" s="22"/>
      <c r="E816" s="8"/>
      <c r="F816" s="8"/>
    </row>
    <row r="817" spans="1:6" ht="20.25" customHeight="1">
      <c r="A817" s="20"/>
      <c r="B817" s="21"/>
      <c r="C817" s="22"/>
      <c r="E817" s="8"/>
      <c r="F817" s="8"/>
    </row>
    <row r="818" spans="1:6" ht="20.25" customHeight="1">
      <c r="A818" s="20"/>
      <c r="B818" s="21"/>
      <c r="C818" s="22"/>
      <c r="E818" s="8"/>
      <c r="F818" s="8"/>
    </row>
    <row r="819" spans="1:6" ht="20.25" customHeight="1">
      <c r="A819" s="20"/>
      <c r="B819" s="21"/>
      <c r="C819" s="22"/>
      <c r="E819" s="8"/>
      <c r="F819" s="8"/>
    </row>
    <row r="820" spans="1:6" ht="20.25" customHeight="1">
      <c r="A820" s="20"/>
      <c r="B820" s="21"/>
      <c r="C820" s="22"/>
      <c r="E820" s="8"/>
      <c r="F820" s="8"/>
    </row>
    <row r="821" spans="1:6" ht="20.25" customHeight="1">
      <c r="A821" s="20"/>
      <c r="B821" s="21"/>
      <c r="C821" s="22"/>
      <c r="E821" s="8"/>
      <c r="F821" s="8"/>
    </row>
    <row r="822" spans="1:6" ht="20.25" customHeight="1">
      <c r="A822" s="20"/>
      <c r="B822" s="21"/>
      <c r="C822" s="22"/>
      <c r="E822" s="8"/>
      <c r="F822" s="8"/>
    </row>
    <row r="823" spans="1:6" ht="20.25" customHeight="1">
      <c r="A823" s="20"/>
      <c r="B823" s="21"/>
      <c r="C823" s="22"/>
      <c r="E823" s="8"/>
      <c r="F823" s="8"/>
    </row>
    <row r="824" spans="1:6" ht="20.25" customHeight="1">
      <c r="A824" s="20"/>
      <c r="B824" s="21"/>
      <c r="C824" s="22"/>
      <c r="E824" s="8"/>
      <c r="F824" s="8"/>
    </row>
    <row r="825" spans="1:6" ht="20.25" customHeight="1">
      <c r="A825" s="20"/>
      <c r="B825" s="21"/>
      <c r="C825" s="22"/>
      <c r="E825" s="8"/>
      <c r="F825" s="8"/>
    </row>
    <row r="826" spans="1:6" ht="20.25" customHeight="1">
      <c r="A826" s="20"/>
      <c r="B826" s="21"/>
      <c r="C826" s="22"/>
      <c r="E826" s="8"/>
      <c r="F826" s="8"/>
    </row>
    <row r="827" spans="1:6" ht="20.25" customHeight="1">
      <c r="A827" s="20"/>
      <c r="B827" s="21"/>
      <c r="C827" s="22"/>
      <c r="E827" s="8"/>
      <c r="F827" s="8"/>
    </row>
    <row r="828" spans="1:6" ht="20.25" customHeight="1">
      <c r="A828" s="20"/>
      <c r="B828" s="21"/>
      <c r="C828" s="22"/>
      <c r="E828" s="8"/>
      <c r="F828" s="8"/>
    </row>
    <row r="829" spans="1:6" ht="20.25" customHeight="1">
      <c r="A829" s="20"/>
      <c r="B829" s="21"/>
      <c r="C829" s="22"/>
      <c r="E829" s="8"/>
      <c r="F829" s="8"/>
    </row>
    <row r="830" spans="1:6" ht="20.25" customHeight="1">
      <c r="A830" s="20"/>
      <c r="B830" s="21"/>
      <c r="C830" s="22"/>
      <c r="E830" s="8"/>
      <c r="F830" s="8"/>
    </row>
    <row r="831" spans="1:6" ht="20.25" customHeight="1">
      <c r="A831" s="20"/>
      <c r="B831" s="21"/>
      <c r="C831" s="22"/>
      <c r="E831" s="8"/>
      <c r="F831" s="8"/>
    </row>
    <row r="832" spans="1:6" ht="20.25" customHeight="1">
      <c r="A832" s="20"/>
      <c r="B832" s="21"/>
      <c r="C832" s="22"/>
      <c r="E832" s="8"/>
      <c r="F832" s="8"/>
    </row>
    <row r="833" spans="1:6" ht="20.25" customHeight="1">
      <c r="A833" s="20"/>
      <c r="B833" s="21"/>
      <c r="C833" s="22"/>
      <c r="E833" s="8"/>
      <c r="F833" s="8"/>
    </row>
    <row r="834" spans="1:6" ht="20.25" customHeight="1">
      <c r="A834" s="20"/>
      <c r="B834" s="21"/>
      <c r="C834" s="22"/>
      <c r="E834" s="8"/>
      <c r="F834" s="8"/>
    </row>
    <row r="835" spans="1:6" ht="20.25" customHeight="1">
      <c r="A835" s="20"/>
      <c r="B835" s="21"/>
      <c r="C835" s="22"/>
      <c r="E835" s="8"/>
      <c r="F835" s="8"/>
    </row>
    <row r="836" spans="1:6" ht="20.25" customHeight="1">
      <c r="A836" s="20"/>
      <c r="B836" s="21"/>
      <c r="C836" s="22"/>
      <c r="E836" s="8"/>
      <c r="F836" s="8"/>
    </row>
    <row r="837" spans="1:6" ht="20.25" customHeight="1">
      <c r="A837" s="20"/>
      <c r="B837" s="21"/>
      <c r="C837" s="22"/>
      <c r="E837" s="8"/>
      <c r="F837" s="8"/>
    </row>
    <row r="838" spans="1:6" ht="20.25" customHeight="1">
      <c r="A838" s="20"/>
      <c r="B838" s="21"/>
      <c r="C838" s="22"/>
      <c r="E838" s="8"/>
      <c r="F838" s="8"/>
    </row>
    <row r="839" spans="1:6" ht="20.25" customHeight="1">
      <c r="A839" s="20"/>
      <c r="B839" s="21"/>
      <c r="C839" s="22"/>
      <c r="E839" s="8"/>
      <c r="F839" s="8"/>
    </row>
    <row r="840" spans="1:6" ht="20.25" customHeight="1">
      <c r="A840" s="20"/>
      <c r="B840" s="21"/>
      <c r="C840" s="22"/>
      <c r="E840" s="8"/>
      <c r="F840" s="8"/>
    </row>
    <row r="841" spans="1:6" ht="20.25" customHeight="1">
      <c r="A841" s="20"/>
      <c r="B841" s="21"/>
      <c r="C841" s="22"/>
      <c r="E841" s="8"/>
      <c r="F841" s="8"/>
    </row>
    <row r="842" spans="1:6" ht="20.25" customHeight="1">
      <c r="A842" s="20"/>
      <c r="B842" s="21"/>
      <c r="C842" s="22"/>
      <c r="E842" s="8"/>
      <c r="F842" s="8"/>
    </row>
    <row r="843" spans="1:6" ht="20.25" customHeight="1">
      <c r="A843" s="20"/>
      <c r="B843" s="21"/>
      <c r="C843" s="22"/>
      <c r="E843" s="8"/>
      <c r="F843" s="8"/>
    </row>
    <row r="844" spans="1:6" ht="20.25" customHeight="1">
      <c r="A844" s="20"/>
      <c r="B844" s="21"/>
      <c r="C844" s="22"/>
      <c r="E844" s="8"/>
      <c r="F844" s="8"/>
    </row>
    <row r="845" spans="1:6" ht="20.25" customHeight="1">
      <c r="A845" s="20"/>
      <c r="B845" s="21"/>
      <c r="C845" s="22"/>
      <c r="E845" s="8"/>
      <c r="F845" s="8"/>
    </row>
    <row r="846" spans="1:6" ht="20.25" customHeight="1">
      <c r="A846" s="20"/>
      <c r="B846" s="21"/>
      <c r="C846" s="22"/>
      <c r="E846" s="8"/>
      <c r="F846" s="8"/>
    </row>
    <row r="847" spans="1:6" ht="20.25" customHeight="1">
      <c r="A847" s="20"/>
      <c r="B847" s="21"/>
      <c r="C847" s="22"/>
      <c r="E847" s="8"/>
      <c r="F847" s="8"/>
    </row>
    <row r="848" spans="1:6" ht="20.25" customHeight="1">
      <c r="A848" s="20"/>
      <c r="B848" s="21"/>
      <c r="C848" s="22"/>
      <c r="E848" s="8"/>
      <c r="F848" s="8"/>
    </row>
    <row r="849" spans="1:6" ht="20.25" customHeight="1">
      <c r="A849" s="20"/>
      <c r="B849" s="21"/>
      <c r="C849" s="22"/>
      <c r="E849" s="8"/>
      <c r="F849" s="8"/>
    </row>
    <row r="850" spans="1:6" ht="20.25" customHeight="1">
      <c r="A850" s="20"/>
      <c r="B850" s="21"/>
      <c r="C850" s="22"/>
      <c r="E850" s="8"/>
      <c r="F850" s="8"/>
    </row>
    <row r="851" spans="1:6" ht="20.25" customHeight="1">
      <c r="A851" s="20"/>
      <c r="B851" s="21"/>
      <c r="C851" s="22"/>
      <c r="E851" s="8"/>
      <c r="F851" s="8"/>
    </row>
    <row r="852" spans="1:6" ht="20.25" customHeight="1">
      <c r="A852" s="20"/>
      <c r="B852" s="21"/>
      <c r="C852" s="22"/>
      <c r="E852" s="8"/>
      <c r="F852" s="8"/>
    </row>
    <row r="853" spans="1:6" ht="20.25" customHeight="1">
      <c r="A853" s="20"/>
      <c r="B853" s="21"/>
      <c r="C853" s="22"/>
      <c r="E853" s="8"/>
      <c r="F853" s="8"/>
    </row>
    <row r="854" spans="1:6" ht="20.25" customHeight="1">
      <c r="A854" s="20"/>
      <c r="B854" s="21"/>
      <c r="C854" s="22"/>
      <c r="E854" s="8"/>
      <c r="F854" s="8"/>
    </row>
    <row r="855" spans="1:6" ht="20.25" customHeight="1">
      <c r="A855" s="20"/>
      <c r="B855" s="21"/>
      <c r="C855" s="22"/>
      <c r="E855" s="8"/>
      <c r="F855" s="8"/>
    </row>
    <row r="856" spans="1:6" ht="20.25" customHeight="1">
      <c r="A856" s="20"/>
      <c r="B856" s="21"/>
      <c r="C856" s="22"/>
      <c r="E856" s="8"/>
      <c r="F856" s="8"/>
    </row>
    <row r="857" spans="1:6" ht="20.25" customHeight="1">
      <c r="A857" s="20"/>
      <c r="B857" s="21"/>
      <c r="C857" s="22"/>
      <c r="E857" s="8"/>
      <c r="F857" s="8"/>
    </row>
    <row r="858" spans="1:6" ht="20.25" customHeight="1">
      <c r="A858" s="20"/>
      <c r="B858" s="21"/>
      <c r="C858" s="22"/>
      <c r="E858" s="8"/>
      <c r="F858" s="8"/>
    </row>
    <row r="859" spans="1:6" ht="20.25" customHeight="1">
      <c r="A859" s="20"/>
      <c r="B859" s="21"/>
      <c r="C859" s="22"/>
      <c r="E859" s="8"/>
      <c r="F859" s="8"/>
    </row>
    <row r="860" spans="1:6" ht="20.25" customHeight="1">
      <c r="A860" s="20"/>
      <c r="B860" s="21"/>
      <c r="C860" s="22"/>
      <c r="E860" s="8"/>
      <c r="F860" s="8"/>
    </row>
    <row r="861" spans="1:6" ht="20.25" customHeight="1">
      <c r="A861" s="20"/>
      <c r="B861" s="21"/>
      <c r="C861" s="22"/>
      <c r="E861" s="8"/>
      <c r="F861" s="8"/>
    </row>
    <row r="862" spans="1:6" ht="20.25" customHeight="1">
      <c r="A862" s="20"/>
      <c r="B862" s="21"/>
      <c r="C862" s="22"/>
      <c r="E862" s="8"/>
      <c r="F862" s="8"/>
    </row>
    <row r="863" spans="1:6" ht="20.25" customHeight="1">
      <c r="A863" s="20"/>
      <c r="B863" s="21"/>
      <c r="C863" s="22"/>
      <c r="E863" s="8"/>
      <c r="F863" s="8"/>
    </row>
    <row r="864" spans="1:6" ht="20.25" customHeight="1">
      <c r="A864" s="20"/>
      <c r="B864" s="21"/>
      <c r="C864" s="22"/>
      <c r="E864" s="8"/>
      <c r="F864" s="8"/>
    </row>
    <row r="865" spans="1:6" ht="20.25" customHeight="1">
      <c r="A865" s="20"/>
      <c r="B865" s="21"/>
      <c r="C865" s="22"/>
      <c r="E865" s="8"/>
      <c r="F865" s="8"/>
    </row>
    <row r="866" spans="1:6" ht="20.25" customHeight="1">
      <c r="A866" s="20"/>
      <c r="B866" s="21"/>
      <c r="C866" s="22"/>
      <c r="E866" s="8"/>
      <c r="F866" s="8"/>
    </row>
    <row r="867" spans="1:6" ht="20.25" customHeight="1">
      <c r="A867" s="20"/>
      <c r="B867" s="21"/>
      <c r="C867" s="22"/>
      <c r="E867" s="8"/>
      <c r="F867" s="8"/>
    </row>
    <row r="868" spans="1:6" ht="20.25" customHeight="1">
      <c r="A868" s="20"/>
      <c r="B868" s="21"/>
      <c r="C868" s="22"/>
      <c r="E868" s="8"/>
      <c r="F868" s="8"/>
    </row>
    <row r="869" spans="1:6" ht="20.25" customHeight="1">
      <c r="A869" s="20"/>
      <c r="B869" s="21"/>
      <c r="C869" s="22"/>
      <c r="E869" s="8"/>
      <c r="F869" s="8"/>
    </row>
    <row r="870" spans="1:6" ht="20.25" customHeight="1">
      <c r="A870" s="20"/>
      <c r="B870" s="21"/>
      <c r="C870" s="22"/>
      <c r="E870" s="8"/>
      <c r="F870" s="8"/>
    </row>
    <row r="871" spans="1:6" ht="20.25" customHeight="1">
      <c r="A871" s="20"/>
      <c r="B871" s="21"/>
      <c r="C871" s="22"/>
      <c r="E871" s="8"/>
      <c r="F871" s="8"/>
    </row>
    <row r="872" spans="1:6" ht="20.25" customHeight="1">
      <c r="A872" s="20"/>
      <c r="B872" s="21"/>
      <c r="C872" s="22"/>
      <c r="E872" s="8"/>
      <c r="F872" s="8"/>
    </row>
    <row r="873" spans="1:6" ht="20.25" customHeight="1">
      <c r="A873" s="20"/>
      <c r="B873" s="21"/>
      <c r="C873" s="22"/>
      <c r="E873" s="8"/>
      <c r="F873" s="8"/>
    </row>
    <row r="874" spans="1:6" ht="20.25" customHeight="1">
      <c r="A874" s="20"/>
      <c r="B874" s="21"/>
      <c r="C874" s="22"/>
      <c r="E874" s="8"/>
      <c r="F874" s="8"/>
    </row>
    <row r="875" spans="1:6" ht="20.25" customHeight="1">
      <c r="A875" s="20"/>
      <c r="B875" s="21"/>
      <c r="C875" s="22"/>
      <c r="E875" s="8"/>
      <c r="F875" s="8"/>
    </row>
    <row r="876" spans="1:6" ht="20.25" customHeight="1">
      <c r="A876" s="20"/>
      <c r="B876" s="21"/>
      <c r="C876" s="22"/>
      <c r="E876" s="8"/>
      <c r="F876" s="8"/>
    </row>
    <row r="877" spans="1:6" ht="20.25" customHeight="1">
      <c r="A877" s="20"/>
      <c r="B877" s="21"/>
      <c r="C877" s="22"/>
      <c r="E877" s="8"/>
      <c r="F877" s="8"/>
    </row>
    <row r="878" spans="1:6" ht="20.25" customHeight="1">
      <c r="A878" s="20"/>
      <c r="B878" s="21"/>
      <c r="C878" s="22"/>
      <c r="E878" s="8"/>
      <c r="F878" s="8"/>
    </row>
    <row r="879" spans="1:6" ht="20.25" customHeight="1">
      <c r="A879" s="20"/>
      <c r="B879" s="21"/>
      <c r="C879" s="22"/>
      <c r="E879" s="8"/>
      <c r="F879" s="8"/>
    </row>
    <row r="880" spans="1:6" ht="20.25" customHeight="1">
      <c r="A880" s="20"/>
      <c r="B880" s="21"/>
      <c r="C880" s="22"/>
      <c r="E880" s="8"/>
      <c r="F880" s="8"/>
    </row>
    <row r="881" spans="1:6" ht="20.25" customHeight="1">
      <c r="A881" s="20"/>
      <c r="B881" s="21"/>
      <c r="C881" s="22"/>
      <c r="E881" s="8"/>
      <c r="F881" s="8"/>
    </row>
    <row r="882" spans="1:6" ht="20.25" customHeight="1">
      <c r="A882" s="20"/>
      <c r="B882" s="21"/>
      <c r="C882" s="22"/>
      <c r="E882" s="8"/>
      <c r="F882" s="8"/>
    </row>
    <row r="883" spans="1:6" ht="20.25" customHeight="1">
      <c r="A883" s="20"/>
      <c r="B883" s="21"/>
      <c r="C883" s="22"/>
      <c r="E883" s="8"/>
      <c r="F883" s="8"/>
    </row>
    <row r="884" spans="1:6" ht="20.25" customHeight="1">
      <c r="A884" s="20"/>
      <c r="B884" s="21"/>
      <c r="C884" s="22"/>
      <c r="E884" s="8"/>
      <c r="F884" s="8"/>
    </row>
    <row r="885" spans="1:6" ht="20.25" customHeight="1">
      <c r="A885" s="20"/>
      <c r="B885" s="21"/>
      <c r="C885" s="22"/>
      <c r="E885" s="8"/>
      <c r="F885" s="8"/>
    </row>
    <row r="886" spans="1:6" ht="20.25" customHeight="1">
      <c r="A886" s="20"/>
      <c r="B886" s="21"/>
      <c r="C886" s="22"/>
      <c r="E886" s="8"/>
      <c r="F886" s="8"/>
    </row>
    <row r="887" spans="1:6" ht="20.25" customHeight="1">
      <c r="A887" s="20"/>
      <c r="B887" s="21"/>
      <c r="C887" s="22"/>
      <c r="E887" s="8"/>
      <c r="F887" s="8"/>
    </row>
    <row r="888" spans="1:6" ht="20.25" customHeight="1">
      <c r="A888" s="20"/>
      <c r="B888" s="21"/>
      <c r="C888" s="22"/>
      <c r="E888" s="8"/>
      <c r="F888" s="8"/>
    </row>
    <row r="889" spans="1:6" ht="20.25" customHeight="1">
      <c r="A889" s="20"/>
      <c r="B889" s="21"/>
      <c r="C889" s="22"/>
      <c r="E889" s="8"/>
      <c r="F889" s="8"/>
    </row>
    <row r="890" spans="1:6" ht="20.25" customHeight="1">
      <c r="A890" s="20"/>
      <c r="B890" s="21"/>
      <c r="C890" s="22"/>
      <c r="E890" s="8"/>
      <c r="F890" s="8"/>
    </row>
    <row r="891" spans="1:6" ht="20.25" customHeight="1">
      <c r="A891" s="20"/>
      <c r="B891" s="21"/>
      <c r="C891" s="22"/>
      <c r="E891" s="8"/>
      <c r="F891" s="8"/>
    </row>
    <row r="892" spans="1:6" ht="20.25" customHeight="1">
      <c r="A892" s="20"/>
      <c r="B892" s="21"/>
      <c r="C892" s="22"/>
      <c r="E892" s="8"/>
      <c r="F892" s="8"/>
    </row>
    <row r="893" spans="1:6" ht="20.25" customHeight="1">
      <c r="A893" s="20"/>
      <c r="B893" s="21"/>
      <c r="C893" s="22"/>
      <c r="E893" s="8"/>
      <c r="F893" s="8"/>
    </row>
    <row r="894" spans="1:6" ht="20.25" customHeight="1">
      <c r="A894" s="20"/>
      <c r="B894" s="21"/>
      <c r="C894" s="22"/>
      <c r="E894" s="8"/>
      <c r="F894" s="8"/>
    </row>
    <row r="895" spans="1:6" ht="20.25" customHeight="1">
      <c r="A895" s="20"/>
      <c r="B895" s="21"/>
      <c r="C895" s="22"/>
      <c r="E895" s="8"/>
      <c r="F895" s="8"/>
    </row>
    <row r="896" spans="1:6" ht="20.25" customHeight="1">
      <c r="A896" s="20"/>
      <c r="B896" s="21"/>
      <c r="C896" s="22"/>
      <c r="E896" s="8"/>
      <c r="F896" s="8"/>
    </row>
    <row r="897" spans="1:6" ht="20.25" customHeight="1">
      <c r="A897" s="20"/>
      <c r="B897" s="21"/>
      <c r="C897" s="22"/>
      <c r="E897" s="8"/>
      <c r="F897" s="8"/>
    </row>
    <row r="898" spans="1:6" ht="20.25" customHeight="1">
      <c r="A898" s="20"/>
      <c r="B898" s="21"/>
      <c r="C898" s="22"/>
      <c r="E898" s="8"/>
      <c r="F898" s="8"/>
    </row>
    <row r="899" spans="1:6" ht="20.25" customHeight="1">
      <c r="A899" s="20"/>
      <c r="B899" s="21"/>
      <c r="C899" s="22"/>
      <c r="E899" s="8"/>
      <c r="F899" s="8"/>
    </row>
    <row r="900" spans="1:6" ht="20.25" customHeight="1">
      <c r="A900" s="20"/>
      <c r="B900" s="21"/>
      <c r="C900" s="22"/>
      <c r="E900" s="8"/>
      <c r="F900" s="8"/>
    </row>
    <row r="901" spans="1:6" ht="20.25" customHeight="1">
      <c r="A901" s="20"/>
      <c r="B901" s="21"/>
      <c r="C901" s="22"/>
      <c r="E901" s="8"/>
      <c r="F901" s="8"/>
    </row>
    <row r="902" spans="1:6" ht="20.25" customHeight="1">
      <c r="A902" s="20"/>
      <c r="B902" s="21"/>
      <c r="C902" s="22"/>
      <c r="E902" s="8"/>
      <c r="F902" s="8"/>
    </row>
    <row r="903" spans="1:6" ht="20.25" customHeight="1">
      <c r="A903" s="20"/>
      <c r="B903" s="21"/>
      <c r="C903" s="22"/>
      <c r="E903" s="8"/>
      <c r="F903" s="8"/>
    </row>
    <row r="904" spans="1:6" ht="20.25" customHeight="1">
      <c r="A904" s="20"/>
      <c r="B904" s="21"/>
      <c r="C904" s="22"/>
      <c r="E904" s="8"/>
      <c r="F904" s="8"/>
    </row>
    <row r="905" spans="1:6" ht="20.25" customHeight="1">
      <c r="A905" s="20"/>
      <c r="B905" s="21"/>
      <c r="C905" s="22"/>
      <c r="E905" s="8"/>
      <c r="F905" s="8"/>
    </row>
    <row r="906" spans="1:6" ht="20.25" customHeight="1">
      <c r="A906" s="20"/>
      <c r="B906" s="21"/>
      <c r="C906" s="22"/>
      <c r="E906" s="8"/>
      <c r="F906" s="8"/>
    </row>
    <row r="907" spans="1:6" ht="20.25" customHeight="1">
      <c r="A907" s="20"/>
      <c r="B907" s="21"/>
      <c r="C907" s="22"/>
      <c r="E907" s="8"/>
      <c r="F907" s="8"/>
    </row>
    <row r="908" spans="1:6" ht="20.25" customHeight="1">
      <c r="A908" s="20"/>
      <c r="B908" s="21"/>
      <c r="C908" s="22"/>
      <c r="E908" s="8"/>
      <c r="F908" s="8"/>
    </row>
    <row r="909" spans="1:6" ht="20.25" customHeight="1">
      <c r="A909" s="20"/>
      <c r="B909" s="21"/>
      <c r="C909" s="22"/>
      <c r="E909" s="8"/>
      <c r="F909" s="8"/>
    </row>
    <row r="910" spans="1:6" ht="20.25" customHeight="1">
      <c r="A910" s="20"/>
      <c r="B910" s="21"/>
      <c r="C910" s="22"/>
      <c r="E910" s="8"/>
      <c r="F910" s="8"/>
    </row>
    <row r="911" spans="1:6" ht="20.25" customHeight="1">
      <c r="A911" s="20"/>
      <c r="B911" s="21"/>
      <c r="C911" s="22"/>
      <c r="E911" s="8"/>
      <c r="F911" s="8"/>
    </row>
    <row r="912" spans="1:6" ht="20.25" customHeight="1">
      <c r="A912" s="20"/>
      <c r="B912" s="21"/>
      <c r="C912" s="22"/>
      <c r="E912" s="8"/>
      <c r="F912" s="8"/>
    </row>
    <row r="913" spans="1:6" ht="20.25" customHeight="1">
      <c r="A913" s="20"/>
      <c r="B913" s="21"/>
      <c r="C913" s="22"/>
      <c r="E913" s="8"/>
      <c r="F913" s="8"/>
    </row>
    <row r="914" spans="1:6" ht="20.25" customHeight="1">
      <c r="A914" s="20"/>
      <c r="B914" s="21"/>
      <c r="C914" s="22"/>
      <c r="E914" s="8"/>
      <c r="F914" s="8"/>
    </row>
    <row r="915" spans="1:6" ht="20.25" customHeight="1">
      <c r="A915" s="20"/>
      <c r="B915" s="21"/>
      <c r="C915" s="22"/>
      <c r="E915" s="8"/>
      <c r="F915" s="8"/>
    </row>
    <row r="916" spans="1:6" ht="20.25" customHeight="1">
      <c r="A916" s="20"/>
      <c r="B916" s="21"/>
      <c r="C916" s="22"/>
      <c r="E916" s="8"/>
      <c r="F916" s="8"/>
    </row>
    <row r="917" spans="1:6" ht="20.25" customHeight="1">
      <c r="A917" s="20"/>
      <c r="B917" s="21"/>
      <c r="C917" s="22"/>
      <c r="E917" s="8"/>
      <c r="F917" s="8"/>
    </row>
    <row r="918" spans="1:6" ht="20.25" customHeight="1">
      <c r="A918" s="20"/>
      <c r="B918" s="21"/>
      <c r="C918" s="22"/>
      <c r="E918" s="8"/>
      <c r="F918" s="8"/>
    </row>
    <row r="919" spans="1:6" ht="20.25" customHeight="1">
      <c r="A919" s="20"/>
      <c r="B919" s="21"/>
      <c r="C919" s="22"/>
      <c r="E919" s="8"/>
      <c r="F919" s="8"/>
    </row>
    <row r="920" spans="1:6" ht="20.25" customHeight="1">
      <c r="A920" s="20"/>
      <c r="B920" s="21"/>
      <c r="C920" s="22"/>
      <c r="E920" s="8"/>
      <c r="F920" s="8"/>
    </row>
    <row r="921" spans="1:6" ht="20.25" customHeight="1">
      <c r="A921" s="20"/>
      <c r="B921" s="21"/>
      <c r="C921" s="22"/>
      <c r="E921" s="8"/>
      <c r="F921" s="8"/>
    </row>
    <row r="922" spans="1:6" ht="20.25" customHeight="1">
      <c r="A922" s="20"/>
      <c r="B922" s="21"/>
      <c r="C922" s="22"/>
      <c r="E922" s="8"/>
      <c r="F922" s="8"/>
    </row>
    <row r="923" spans="1:6" ht="20.25" customHeight="1">
      <c r="A923" s="20"/>
      <c r="B923" s="21"/>
      <c r="C923" s="22"/>
      <c r="E923" s="8"/>
      <c r="F923" s="8"/>
    </row>
    <row r="924" spans="1:6" ht="20.25" customHeight="1">
      <c r="A924" s="20"/>
      <c r="B924" s="21"/>
      <c r="C924" s="22"/>
      <c r="E924" s="8"/>
      <c r="F924" s="8"/>
    </row>
    <row r="925" spans="1:6" ht="20.25" customHeight="1">
      <c r="A925" s="20"/>
      <c r="B925" s="21"/>
      <c r="C925" s="22"/>
      <c r="E925" s="8"/>
      <c r="F925" s="8"/>
    </row>
    <row r="926" spans="1:6" ht="20.25" customHeight="1">
      <c r="A926" s="20"/>
      <c r="B926" s="21"/>
      <c r="C926" s="22"/>
      <c r="E926" s="8"/>
      <c r="F926" s="8"/>
    </row>
    <row r="927" spans="1:6" ht="20.25" customHeight="1">
      <c r="A927" s="20"/>
      <c r="B927" s="21"/>
      <c r="C927" s="22"/>
      <c r="E927" s="8"/>
      <c r="F927" s="8"/>
    </row>
    <row r="928" spans="1:6" ht="20.25" customHeight="1">
      <c r="A928" s="20"/>
      <c r="B928" s="21"/>
      <c r="C928" s="22"/>
      <c r="E928" s="8"/>
      <c r="F928" s="8"/>
    </row>
    <row r="929" spans="1:6" ht="20.25" customHeight="1">
      <c r="A929" s="20"/>
      <c r="B929" s="21"/>
      <c r="C929" s="22"/>
      <c r="E929" s="8"/>
      <c r="F929" s="8"/>
    </row>
    <row r="930" spans="1:6" ht="20.25" customHeight="1">
      <c r="A930" s="20"/>
      <c r="B930" s="21"/>
      <c r="C930" s="22"/>
      <c r="E930" s="8"/>
      <c r="F930" s="8"/>
    </row>
    <row r="931" spans="1:6" ht="20.25" customHeight="1">
      <c r="A931" s="20"/>
      <c r="B931" s="21"/>
      <c r="C931" s="22"/>
      <c r="E931" s="8"/>
      <c r="F931" s="8"/>
    </row>
    <row r="932" spans="1:6" ht="20.25" customHeight="1">
      <c r="A932" s="20"/>
      <c r="B932" s="21"/>
      <c r="C932" s="22"/>
      <c r="E932" s="8"/>
      <c r="F932" s="8"/>
    </row>
    <row r="933" spans="1:6" ht="20.25" customHeight="1">
      <c r="A933" s="20"/>
      <c r="B933" s="21"/>
      <c r="C933" s="22"/>
      <c r="E933" s="8"/>
      <c r="F933" s="8"/>
    </row>
    <row r="934" spans="1:6" ht="20.25" customHeight="1">
      <c r="A934" s="20"/>
      <c r="B934" s="21"/>
      <c r="C934" s="22"/>
      <c r="E934" s="8"/>
      <c r="F934" s="8"/>
    </row>
    <row r="935" spans="1:6" ht="20.25" customHeight="1">
      <c r="A935" s="20"/>
      <c r="B935" s="21"/>
      <c r="C935" s="22"/>
      <c r="E935" s="8"/>
      <c r="F935" s="8"/>
    </row>
    <row r="936" spans="1:6" ht="20.25" customHeight="1">
      <c r="A936" s="20"/>
      <c r="B936" s="21"/>
      <c r="C936" s="22"/>
      <c r="E936" s="8"/>
      <c r="F936" s="8"/>
    </row>
    <row r="937" spans="1:6" ht="20.25" customHeight="1">
      <c r="A937" s="20"/>
      <c r="B937" s="21"/>
      <c r="C937" s="22"/>
      <c r="E937" s="8"/>
      <c r="F937" s="8"/>
    </row>
    <row r="938" spans="1:6" ht="20.25" customHeight="1">
      <c r="A938" s="20"/>
      <c r="B938" s="21"/>
      <c r="C938" s="22"/>
      <c r="E938" s="8"/>
      <c r="F938" s="8"/>
    </row>
    <row r="939" spans="1:6" ht="20.25" customHeight="1">
      <c r="A939" s="20"/>
      <c r="B939" s="21"/>
      <c r="C939" s="22"/>
      <c r="E939" s="8"/>
      <c r="F939" s="8"/>
    </row>
    <row r="940" spans="1:6" ht="20.25" customHeight="1">
      <c r="A940" s="20"/>
      <c r="B940" s="21"/>
      <c r="C940" s="22"/>
      <c r="E940" s="8"/>
      <c r="F940" s="8"/>
    </row>
    <row r="941" spans="1:6" ht="20.25" customHeight="1">
      <c r="A941" s="20"/>
      <c r="B941" s="21"/>
      <c r="C941" s="22"/>
      <c r="E941" s="8"/>
      <c r="F941" s="8"/>
    </row>
    <row r="942" spans="1:6" ht="20.25" customHeight="1">
      <c r="A942" s="20"/>
      <c r="B942" s="21"/>
      <c r="C942" s="22"/>
      <c r="E942" s="8"/>
      <c r="F942" s="8"/>
    </row>
    <row r="943" spans="1:6" ht="20.25" customHeight="1">
      <c r="A943" s="20"/>
      <c r="B943" s="21"/>
      <c r="C943" s="22"/>
      <c r="E943" s="8"/>
      <c r="F943" s="8"/>
    </row>
    <row r="944" spans="1:6" ht="20.25" customHeight="1">
      <c r="A944" s="20"/>
      <c r="B944" s="21"/>
      <c r="C944" s="22"/>
      <c r="E944" s="8"/>
      <c r="F944" s="8"/>
    </row>
    <row r="945" spans="1:6" ht="20.25" customHeight="1">
      <c r="A945" s="20"/>
      <c r="B945" s="21"/>
      <c r="C945" s="22"/>
      <c r="E945" s="8"/>
      <c r="F945" s="8"/>
    </row>
    <row r="946" spans="1:6" ht="20.25" customHeight="1">
      <c r="A946" s="20"/>
      <c r="B946" s="21"/>
      <c r="C946" s="22"/>
      <c r="E946" s="8"/>
      <c r="F946" s="8"/>
    </row>
    <row r="947" spans="1:6" ht="20.25" customHeight="1">
      <c r="A947" s="20"/>
      <c r="B947" s="21"/>
      <c r="C947" s="22"/>
      <c r="E947" s="8"/>
      <c r="F947" s="8"/>
    </row>
    <row r="948" spans="1:6" ht="20.25" customHeight="1">
      <c r="A948" s="20"/>
      <c r="B948" s="21"/>
      <c r="C948" s="22"/>
      <c r="E948" s="8"/>
      <c r="F948" s="8"/>
    </row>
    <row r="949" spans="1:6" ht="20.25" customHeight="1">
      <c r="A949" s="20"/>
      <c r="B949" s="21"/>
      <c r="C949" s="22"/>
      <c r="E949" s="8"/>
      <c r="F949" s="8"/>
    </row>
    <row r="950" spans="1:6" ht="20.25" customHeight="1">
      <c r="A950" s="20"/>
      <c r="B950" s="21"/>
      <c r="C950" s="22"/>
      <c r="E950" s="8"/>
      <c r="F950" s="8"/>
    </row>
    <row r="951" spans="1:6" ht="20.25" customHeight="1">
      <c r="A951" s="20"/>
      <c r="B951" s="21"/>
      <c r="C951" s="22"/>
      <c r="E951" s="8"/>
      <c r="F951" s="8"/>
    </row>
    <row r="952" spans="1:6" ht="20.25" customHeight="1">
      <c r="A952" s="20"/>
      <c r="B952" s="21"/>
      <c r="C952" s="22"/>
      <c r="E952" s="8"/>
      <c r="F952" s="8"/>
    </row>
    <row r="953" spans="1:6" ht="20.25" customHeight="1">
      <c r="A953" s="20"/>
      <c r="B953" s="21"/>
      <c r="C953" s="22"/>
      <c r="E953" s="8"/>
      <c r="F953" s="8"/>
    </row>
    <row r="954" spans="1:6" ht="20.25" customHeight="1">
      <c r="A954" s="20"/>
      <c r="B954" s="21"/>
      <c r="C954" s="22"/>
      <c r="E954" s="8"/>
      <c r="F954" s="8"/>
    </row>
    <row r="955" spans="1:6" ht="20.25" customHeight="1">
      <c r="A955" s="20"/>
      <c r="B955" s="21"/>
      <c r="C955" s="22"/>
      <c r="E955" s="8"/>
      <c r="F955" s="8"/>
    </row>
    <row r="956" spans="1:6" ht="20.25" customHeight="1">
      <c r="A956" s="20"/>
      <c r="B956" s="21"/>
      <c r="C956" s="22"/>
      <c r="E956" s="8"/>
      <c r="F956" s="8"/>
    </row>
    <row r="957" spans="1:6" ht="20.25" customHeight="1">
      <c r="A957" s="20"/>
      <c r="B957" s="21"/>
      <c r="C957" s="22"/>
      <c r="E957" s="8"/>
      <c r="F957" s="8"/>
    </row>
    <row r="958" spans="1:6" ht="20.25" customHeight="1">
      <c r="A958" s="20"/>
      <c r="B958" s="21"/>
      <c r="C958" s="22"/>
      <c r="E958" s="8"/>
      <c r="F958" s="8"/>
    </row>
    <row r="959" spans="1:6" ht="20.25" customHeight="1">
      <c r="A959" s="20"/>
      <c r="B959" s="21"/>
      <c r="C959" s="22"/>
      <c r="E959" s="8"/>
      <c r="F959" s="8"/>
    </row>
    <row r="960" spans="1:6" ht="20.25" customHeight="1">
      <c r="A960" s="20"/>
      <c r="B960" s="21"/>
      <c r="C960" s="22"/>
      <c r="E960" s="8"/>
      <c r="F960" s="8"/>
    </row>
    <row r="961" spans="1:6" ht="20.25" customHeight="1">
      <c r="A961" s="20"/>
      <c r="B961" s="21"/>
      <c r="C961" s="22"/>
      <c r="E961" s="8"/>
      <c r="F961" s="8"/>
    </row>
    <row r="962" spans="1:6" ht="20.25" customHeight="1">
      <c r="A962" s="20"/>
      <c r="B962" s="21"/>
      <c r="C962" s="22"/>
      <c r="E962" s="8"/>
      <c r="F962" s="8"/>
    </row>
    <row r="963" spans="1:6" ht="20.25" customHeight="1">
      <c r="A963" s="20"/>
      <c r="B963" s="21"/>
      <c r="C963" s="22"/>
      <c r="E963" s="8"/>
      <c r="F963" s="8"/>
    </row>
    <row r="964" spans="1:6" ht="20.25" customHeight="1">
      <c r="A964" s="20"/>
      <c r="B964" s="21"/>
      <c r="C964" s="22"/>
      <c r="E964" s="8"/>
      <c r="F964" s="8"/>
    </row>
    <row r="965" spans="1:6" ht="20.25" customHeight="1">
      <c r="A965" s="20"/>
      <c r="B965" s="21"/>
      <c r="C965" s="22"/>
      <c r="E965" s="8"/>
      <c r="F965" s="8"/>
    </row>
    <row r="966" spans="1:6" ht="20.25" customHeight="1">
      <c r="A966" s="20"/>
      <c r="B966" s="21"/>
      <c r="C966" s="22"/>
      <c r="E966" s="8"/>
      <c r="F966" s="8"/>
    </row>
    <row r="967" spans="1:6" ht="20.25" customHeight="1">
      <c r="A967" s="20"/>
      <c r="B967" s="21"/>
      <c r="C967" s="22"/>
      <c r="E967" s="8"/>
      <c r="F967" s="8"/>
    </row>
    <row r="968" spans="1:6" ht="20.25" customHeight="1">
      <c r="A968" s="20"/>
      <c r="B968" s="21"/>
      <c r="C968" s="22"/>
      <c r="E968" s="8"/>
      <c r="F968" s="8"/>
    </row>
    <row r="969" spans="1:6" ht="20.25" customHeight="1">
      <c r="A969" s="20"/>
      <c r="B969" s="21"/>
      <c r="C969" s="22"/>
      <c r="E969" s="8"/>
      <c r="F969" s="8"/>
    </row>
    <row r="970" spans="1:6" ht="20.25" customHeight="1">
      <c r="A970" s="20"/>
      <c r="B970" s="21"/>
      <c r="C970" s="22"/>
      <c r="E970" s="8"/>
      <c r="F970" s="8"/>
    </row>
    <row r="971" spans="1:6" ht="20.25" customHeight="1">
      <c r="A971" s="20"/>
      <c r="B971" s="21"/>
      <c r="C971" s="22"/>
      <c r="E971" s="8"/>
      <c r="F971" s="8"/>
    </row>
    <row r="972" spans="1:6" ht="20.25" customHeight="1">
      <c r="A972" s="20"/>
      <c r="B972" s="21"/>
      <c r="C972" s="22"/>
      <c r="E972" s="8"/>
      <c r="F972" s="8"/>
    </row>
    <row r="973" spans="1:6" ht="20.25" customHeight="1">
      <c r="A973" s="20"/>
      <c r="B973" s="21"/>
      <c r="C973" s="22"/>
      <c r="E973" s="8"/>
      <c r="F973" s="8"/>
    </row>
    <row r="974" spans="1:6" ht="20.25" customHeight="1">
      <c r="A974" s="20"/>
      <c r="B974" s="21"/>
      <c r="C974" s="22"/>
      <c r="E974" s="8"/>
      <c r="F974" s="8"/>
    </row>
    <row r="975" spans="1:6" ht="20.25" customHeight="1">
      <c r="A975" s="20"/>
      <c r="B975" s="21"/>
      <c r="C975" s="22"/>
      <c r="E975" s="8"/>
      <c r="F975" s="8"/>
    </row>
    <row r="976" spans="1:6" ht="20.25" customHeight="1">
      <c r="A976" s="20"/>
      <c r="B976" s="21"/>
      <c r="C976" s="22"/>
      <c r="E976" s="8"/>
      <c r="F976" s="8"/>
    </row>
    <row r="977" spans="1:6" ht="20.25" customHeight="1">
      <c r="A977" s="20"/>
      <c r="B977" s="21"/>
      <c r="C977" s="22"/>
      <c r="E977" s="8"/>
      <c r="F977" s="8"/>
    </row>
    <row r="978" spans="1:6" ht="20.25" customHeight="1">
      <c r="A978" s="20"/>
      <c r="B978" s="21"/>
      <c r="C978" s="22"/>
      <c r="E978" s="8"/>
      <c r="F978" s="8"/>
    </row>
    <row r="979" spans="1:6" ht="20.25" customHeight="1">
      <c r="A979" s="20"/>
      <c r="B979" s="21"/>
      <c r="C979" s="22"/>
      <c r="E979" s="8"/>
      <c r="F979" s="8"/>
    </row>
    <row r="980" spans="1:6" ht="20.25" customHeight="1">
      <c r="A980" s="20"/>
      <c r="B980" s="21"/>
      <c r="C980" s="22"/>
      <c r="E980" s="8"/>
      <c r="F980" s="8"/>
    </row>
    <row r="981" spans="1:6" ht="20.25" customHeight="1">
      <c r="A981" s="20"/>
      <c r="B981" s="21"/>
      <c r="C981" s="22"/>
      <c r="E981" s="8"/>
      <c r="F981" s="8"/>
    </row>
    <row r="982" spans="1:6" ht="20.25" customHeight="1">
      <c r="A982" s="20"/>
      <c r="B982" s="21"/>
      <c r="C982" s="22"/>
      <c r="E982" s="8"/>
      <c r="F982" s="8"/>
    </row>
    <row r="983" spans="1:6" ht="20.25" customHeight="1">
      <c r="A983" s="20"/>
      <c r="B983" s="21"/>
      <c r="C983" s="22"/>
      <c r="E983" s="8"/>
      <c r="F983" s="8"/>
    </row>
    <row r="984" spans="1:6" ht="20.25" customHeight="1">
      <c r="A984" s="20"/>
      <c r="B984" s="21"/>
      <c r="C984" s="22"/>
      <c r="E984" s="8"/>
      <c r="F984" s="8"/>
    </row>
    <row r="985" spans="1:6" ht="20.25" customHeight="1">
      <c r="A985" s="20"/>
      <c r="B985" s="21"/>
      <c r="C985" s="22"/>
      <c r="E985" s="8"/>
      <c r="F985" s="8"/>
    </row>
    <row r="986" spans="1:6" ht="20.25" customHeight="1">
      <c r="A986" s="20"/>
      <c r="B986" s="21"/>
      <c r="C986" s="22"/>
      <c r="E986" s="8"/>
      <c r="F986" s="8"/>
    </row>
    <row r="987" spans="1:6" ht="20.25" customHeight="1">
      <c r="A987" s="20"/>
      <c r="B987" s="21"/>
      <c r="C987" s="22"/>
      <c r="E987" s="8"/>
      <c r="F987" s="8"/>
    </row>
    <row r="988" spans="1:6" ht="20.25" customHeight="1">
      <c r="A988" s="20"/>
      <c r="B988" s="21"/>
      <c r="C988" s="22"/>
      <c r="E988" s="8"/>
      <c r="F988" s="8"/>
    </row>
    <row r="989" spans="1:6" ht="20.25" customHeight="1">
      <c r="A989" s="20"/>
      <c r="B989" s="21"/>
      <c r="C989" s="22"/>
      <c r="E989" s="8"/>
      <c r="F989" s="8"/>
    </row>
    <row r="990" spans="1:6" ht="20.25" customHeight="1">
      <c r="A990" s="20"/>
      <c r="B990" s="21"/>
      <c r="C990" s="22"/>
      <c r="E990" s="8"/>
      <c r="F990" s="8"/>
    </row>
    <row r="991" spans="1:6" ht="20.25" customHeight="1">
      <c r="A991" s="20"/>
      <c r="B991" s="21"/>
      <c r="C991" s="22"/>
      <c r="E991" s="8"/>
      <c r="F991" s="8"/>
    </row>
    <row r="992" spans="1:6" ht="20.25" customHeight="1">
      <c r="A992" s="20"/>
      <c r="B992" s="21"/>
      <c r="C992" s="22"/>
      <c r="E992" s="8"/>
      <c r="F992" s="8"/>
    </row>
    <row r="993" spans="1:6" ht="20.25" customHeight="1">
      <c r="A993" s="20"/>
      <c r="B993" s="21"/>
      <c r="C993" s="22"/>
      <c r="E993" s="8"/>
      <c r="F993" s="8"/>
    </row>
    <row r="994" spans="1:6" ht="20.25" customHeight="1">
      <c r="A994" s="20"/>
      <c r="B994" s="21"/>
      <c r="C994" s="22"/>
      <c r="E994" s="8"/>
      <c r="F994" s="8"/>
    </row>
    <row r="995" spans="1:6" ht="20.25" customHeight="1">
      <c r="A995" s="20"/>
      <c r="B995" s="21"/>
      <c r="C995" s="22"/>
      <c r="E995" s="8"/>
      <c r="F995" s="8"/>
    </row>
    <row r="996" spans="1:6" ht="20.25" customHeight="1">
      <c r="A996" s="20"/>
      <c r="B996" s="21"/>
      <c r="C996" s="22"/>
      <c r="E996" s="8"/>
      <c r="F996" s="8"/>
    </row>
    <row r="997" spans="1:6" ht="20.25" customHeight="1">
      <c r="A997" s="20"/>
      <c r="B997" s="21"/>
      <c r="C997" s="22"/>
      <c r="E997" s="8"/>
      <c r="F997" s="8"/>
    </row>
    <row r="998" spans="1:6" ht="20.25" customHeight="1">
      <c r="A998" s="20"/>
      <c r="B998" s="21"/>
      <c r="C998" s="22"/>
      <c r="E998" s="8"/>
      <c r="F998" s="8"/>
    </row>
    <row r="999" spans="1:6" ht="20.25" customHeight="1">
      <c r="A999" s="20"/>
      <c r="B999" s="21"/>
      <c r="C999" s="22"/>
      <c r="E999" s="8"/>
      <c r="F999" s="8"/>
    </row>
    <row r="1000" spans="1:6" ht="20.25" customHeight="1">
      <c r="A1000" s="20"/>
      <c r="B1000" s="21"/>
      <c r="C1000" s="22"/>
      <c r="E1000" s="8"/>
      <c r="F1000" s="8"/>
    </row>
    <row r="1001" spans="1:6" ht="20.25" customHeight="1">
      <c r="A1001" s="20"/>
      <c r="B1001" s="21"/>
      <c r="C1001" s="22"/>
      <c r="E1001" s="8"/>
      <c r="F1001" s="8"/>
    </row>
    <row r="1002" spans="1:6" ht="20.25" customHeight="1">
      <c r="A1002" s="20"/>
      <c r="B1002" s="21"/>
      <c r="C1002" s="22"/>
      <c r="E1002" s="8"/>
      <c r="F1002" s="8"/>
    </row>
    <row r="1003" spans="1:6" ht="20.25" customHeight="1">
      <c r="A1003" s="20"/>
      <c r="B1003" s="21"/>
      <c r="C1003" s="22"/>
      <c r="E1003" s="8"/>
      <c r="F1003" s="8"/>
    </row>
    <row r="1004" spans="1:6" ht="20.25" customHeight="1">
      <c r="A1004" s="20"/>
      <c r="B1004" s="21"/>
      <c r="C1004" s="22"/>
      <c r="E1004" s="8"/>
      <c r="F1004" s="8"/>
    </row>
    <row r="1005" spans="1:6" ht="20.25" customHeight="1">
      <c r="A1005" s="20"/>
      <c r="B1005" s="21"/>
      <c r="C1005" s="22"/>
      <c r="E1005" s="8"/>
      <c r="F1005"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V1005"/>
  <sheetViews>
    <sheetView workbookViewId="0"/>
  </sheetViews>
  <sheetFormatPr defaultColWidth="11.20703125" defaultRowHeight="15" customHeight="1"/>
  <cols>
    <col min="1" max="1" width="4.20703125" customWidth="1"/>
    <col min="2" max="2" width="85.125" customWidth="1"/>
    <col min="3" max="3" width="8.20703125" customWidth="1"/>
    <col min="4" max="4" width="29.6640625" customWidth="1"/>
    <col min="5" max="5" width="16" customWidth="1"/>
  </cols>
  <sheetData>
    <row r="1" spans="1:22" ht="20.25" customHeight="1">
      <c r="A1" s="24" t="s">
        <v>0</v>
      </c>
      <c r="B1" s="24" t="s">
        <v>1</v>
      </c>
      <c r="C1" s="24" t="s">
        <v>3</v>
      </c>
      <c r="D1" s="25" t="s">
        <v>4</v>
      </c>
      <c r="E1" s="26" t="s">
        <v>494</v>
      </c>
      <c r="F1" s="27"/>
      <c r="G1" s="27"/>
      <c r="H1" s="27"/>
      <c r="I1" s="27"/>
      <c r="J1" s="27"/>
      <c r="K1" s="27"/>
      <c r="L1" s="27"/>
      <c r="M1" s="27"/>
      <c r="N1" s="27"/>
      <c r="O1" s="27"/>
      <c r="P1" s="27"/>
      <c r="Q1" s="27"/>
      <c r="R1" s="27"/>
      <c r="S1" s="27"/>
      <c r="T1" s="27"/>
      <c r="U1" s="27"/>
      <c r="V1" s="27"/>
    </row>
    <row r="2" spans="1:22" ht="20.25" customHeight="1">
      <c r="A2" s="28" t="s">
        <v>5</v>
      </c>
      <c r="B2" s="5" t="s">
        <v>6</v>
      </c>
      <c r="C2" s="6">
        <v>2015</v>
      </c>
      <c r="D2" s="29" t="s">
        <v>8</v>
      </c>
      <c r="E2" s="29">
        <v>130</v>
      </c>
    </row>
    <row r="3" spans="1:22" ht="20.25" customHeight="1">
      <c r="A3" s="28" t="s">
        <v>159</v>
      </c>
      <c r="B3" s="5" t="s">
        <v>160</v>
      </c>
      <c r="C3" s="6">
        <v>2019</v>
      </c>
      <c r="D3" s="29" t="s">
        <v>12</v>
      </c>
      <c r="E3" s="29">
        <v>87</v>
      </c>
    </row>
    <row r="4" spans="1:22" ht="20.25" customHeight="1">
      <c r="A4" s="28" t="s">
        <v>60</v>
      </c>
      <c r="B4" s="11" t="s">
        <v>61</v>
      </c>
      <c r="C4" s="11">
        <v>2016</v>
      </c>
      <c r="D4" s="29" t="s">
        <v>16</v>
      </c>
      <c r="E4" s="29">
        <v>38</v>
      </c>
    </row>
    <row r="5" spans="1:22" ht="20.25" customHeight="1">
      <c r="A5" s="28" t="s">
        <v>151</v>
      </c>
      <c r="B5" s="11" t="s">
        <v>152</v>
      </c>
      <c r="C5" s="11">
        <v>2018</v>
      </c>
      <c r="D5" s="29" t="s">
        <v>20</v>
      </c>
      <c r="E5" s="29">
        <v>33</v>
      </c>
    </row>
    <row r="6" spans="1:22" ht="20.25" customHeight="1">
      <c r="A6" s="28" t="s">
        <v>179</v>
      </c>
      <c r="B6" s="10" t="s">
        <v>180</v>
      </c>
      <c r="C6" s="6">
        <v>2019</v>
      </c>
      <c r="D6" s="29" t="s">
        <v>24</v>
      </c>
      <c r="E6" s="29">
        <v>29</v>
      </c>
    </row>
    <row r="7" spans="1:22" ht="20.25" customHeight="1">
      <c r="A7" s="28" t="s">
        <v>119</v>
      </c>
      <c r="B7" s="11" t="s">
        <v>120</v>
      </c>
      <c r="C7" s="11">
        <v>2018</v>
      </c>
      <c r="D7" s="29" t="s">
        <v>28</v>
      </c>
      <c r="E7" s="29">
        <v>28</v>
      </c>
    </row>
    <row r="8" spans="1:22" ht="31">
      <c r="A8" s="28" t="s">
        <v>227</v>
      </c>
      <c r="B8" s="11" t="s">
        <v>228</v>
      </c>
      <c r="C8" s="11">
        <v>2020</v>
      </c>
      <c r="D8" s="30" t="s">
        <v>495</v>
      </c>
      <c r="E8" s="29">
        <v>28</v>
      </c>
    </row>
    <row r="9" spans="1:22" ht="20.25" customHeight="1">
      <c r="A9" s="28" t="s">
        <v>175</v>
      </c>
      <c r="B9" s="5" t="s">
        <v>176</v>
      </c>
      <c r="C9" s="6">
        <v>2019</v>
      </c>
      <c r="D9" s="29" t="s">
        <v>35</v>
      </c>
      <c r="E9" s="29">
        <v>26</v>
      </c>
    </row>
    <row r="10" spans="1:22" ht="20.25" customHeight="1">
      <c r="A10" s="28" t="s">
        <v>13</v>
      </c>
      <c r="B10" s="5" t="s">
        <v>14</v>
      </c>
      <c r="C10" s="6">
        <v>2015</v>
      </c>
      <c r="D10" s="29" t="s">
        <v>39</v>
      </c>
      <c r="E10" s="29">
        <v>21</v>
      </c>
    </row>
    <row r="11" spans="1:22" ht="20.25" customHeight="1">
      <c r="A11" s="28" t="s">
        <v>76</v>
      </c>
      <c r="B11" s="5" t="s">
        <v>77</v>
      </c>
      <c r="C11" s="6">
        <v>2017</v>
      </c>
      <c r="D11" s="29" t="s">
        <v>43</v>
      </c>
      <c r="E11" s="29">
        <v>21</v>
      </c>
    </row>
    <row r="12" spans="1:22" ht="20.25" customHeight="1">
      <c r="A12" s="28" t="s">
        <v>80</v>
      </c>
      <c r="B12" s="10" t="s">
        <v>81</v>
      </c>
      <c r="C12" s="6">
        <v>2017</v>
      </c>
      <c r="D12" s="29" t="s">
        <v>47</v>
      </c>
      <c r="E12" s="29">
        <v>21</v>
      </c>
    </row>
    <row r="13" spans="1:22" ht="20.25" customHeight="1">
      <c r="A13" s="28" t="s">
        <v>219</v>
      </c>
      <c r="B13" s="11" t="s">
        <v>220</v>
      </c>
      <c r="C13" s="11">
        <v>2020</v>
      </c>
      <c r="D13" s="29" t="s">
        <v>51</v>
      </c>
      <c r="E13" s="29">
        <v>21</v>
      </c>
    </row>
    <row r="14" spans="1:22" ht="20.25" customHeight="1">
      <c r="A14" s="28" t="s">
        <v>243</v>
      </c>
      <c r="B14" s="16" t="s">
        <v>244</v>
      </c>
      <c r="C14" s="6">
        <v>2021</v>
      </c>
      <c r="D14" s="29" t="s">
        <v>55</v>
      </c>
      <c r="E14" s="29">
        <v>21</v>
      </c>
    </row>
    <row r="15" spans="1:22" ht="20.25" customHeight="1">
      <c r="A15" s="28" t="s">
        <v>167</v>
      </c>
      <c r="B15" s="5" t="s">
        <v>168</v>
      </c>
      <c r="C15" s="6">
        <v>2019</v>
      </c>
      <c r="D15" s="29" t="s">
        <v>59</v>
      </c>
      <c r="E15" s="29">
        <v>19</v>
      </c>
    </row>
    <row r="16" spans="1:22" ht="20.25" customHeight="1">
      <c r="A16" s="28" t="s">
        <v>48</v>
      </c>
      <c r="B16" s="11" t="s">
        <v>49</v>
      </c>
      <c r="C16" s="11">
        <v>2016</v>
      </c>
      <c r="D16" s="29" t="s">
        <v>63</v>
      </c>
      <c r="E16" s="29">
        <v>18</v>
      </c>
    </row>
    <row r="17" spans="1:5" ht="20.25" customHeight="1">
      <c r="A17" s="28" t="s">
        <v>163</v>
      </c>
      <c r="B17" s="10" t="s">
        <v>164</v>
      </c>
      <c r="C17" s="6">
        <v>2019</v>
      </c>
      <c r="D17" s="29" t="s">
        <v>67</v>
      </c>
      <c r="E17" s="29">
        <v>17</v>
      </c>
    </row>
    <row r="18" spans="1:5" ht="20.25" customHeight="1">
      <c r="A18" s="28" t="s">
        <v>100</v>
      </c>
      <c r="B18" s="5" t="s">
        <v>101</v>
      </c>
      <c r="C18" s="6">
        <v>2017</v>
      </c>
      <c r="D18" s="29" t="s">
        <v>71</v>
      </c>
      <c r="E18" s="29">
        <v>16</v>
      </c>
    </row>
    <row r="19" spans="1:5" ht="20.25" customHeight="1">
      <c r="A19" s="28" t="s">
        <v>131</v>
      </c>
      <c r="B19" s="11" t="s">
        <v>132</v>
      </c>
      <c r="C19" s="11">
        <v>2018</v>
      </c>
      <c r="D19" s="29" t="s">
        <v>75</v>
      </c>
      <c r="E19" s="29">
        <v>16</v>
      </c>
    </row>
    <row r="20" spans="1:5" ht="20.25" customHeight="1">
      <c r="A20" s="28" t="s">
        <v>68</v>
      </c>
      <c r="B20" s="11" t="s">
        <v>69</v>
      </c>
      <c r="C20" s="11">
        <v>2016</v>
      </c>
      <c r="D20" s="29" t="s">
        <v>79</v>
      </c>
      <c r="E20" s="29">
        <v>14</v>
      </c>
    </row>
    <row r="21" spans="1:5" ht="20.25" customHeight="1">
      <c r="A21" s="28" t="s">
        <v>223</v>
      </c>
      <c r="B21" s="11" t="s">
        <v>224</v>
      </c>
      <c r="C21" s="11">
        <v>2020</v>
      </c>
      <c r="D21" s="29" t="s">
        <v>83</v>
      </c>
      <c r="E21" s="29">
        <v>14</v>
      </c>
    </row>
    <row r="22" spans="1:5" ht="20.25" customHeight="1">
      <c r="A22" s="28" t="s">
        <v>108</v>
      </c>
      <c r="B22" s="5" t="s">
        <v>109</v>
      </c>
      <c r="C22" s="6">
        <v>2017</v>
      </c>
      <c r="D22" s="29" t="s">
        <v>87</v>
      </c>
      <c r="E22" s="29">
        <v>13</v>
      </c>
    </row>
    <row r="23" spans="1:5" ht="20.25" customHeight="1">
      <c r="A23" s="28" t="s">
        <v>116</v>
      </c>
      <c r="B23" s="11" t="s">
        <v>117</v>
      </c>
      <c r="C23" s="11">
        <v>2018</v>
      </c>
      <c r="D23" s="29" t="s">
        <v>91</v>
      </c>
      <c r="E23" s="29">
        <v>13</v>
      </c>
    </row>
    <row r="24" spans="1:5" ht="20.25" customHeight="1">
      <c r="A24" s="28" t="s">
        <v>231</v>
      </c>
      <c r="B24" s="14" t="s">
        <v>232</v>
      </c>
      <c r="C24" s="6">
        <v>2021</v>
      </c>
      <c r="D24" s="29" t="s">
        <v>95</v>
      </c>
      <c r="E24" s="29">
        <v>12</v>
      </c>
    </row>
    <row r="25" spans="1:5" ht="20.25" customHeight="1">
      <c r="A25" s="28" t="s">
        <v>251</v>
      </c>
      <c r="B25" s="16" t="s">
        <v>252</v>
      </c>
      <c r="C25" s="6">
        <v>2021</v>
      </c>
      <c r="D25" s="29" t="s">
        <v>99</v>
      </c>
      <c r="E25" s="29">
        <v>12</v>
      </c>
    </row>
    <row r="26" spans="1:5" ht="20.25" customHeight="1">
      <c r="A26" s="28" t="s">
        <v>56</v>
      </c>
      <c r="B26" s="11" t="s">
        <v>57</v>
      </c>
      <c r="C26" s="11">
        <v>2016</v>
      </c>
      <c r="D26" s="29" t="s">
        <v>103</v>
      </c>
      <c r="E26" s="29">
        <v>11</v>
      </c>
    </row>
    <row r="27" spans="1:5" ht="20.25" customHeight="1">
      <c r="A27" s="28" t="s">
        <v>283</v>
      </c>
      <c r="B27" s="11" t="s">
        <v>284</v>
      </c>
      <c r="C27" s="11">
        <v>2022</v>
      </c>
      <c r="D27" s="29" t="s">
        <v>107</v>
      </c>
      <c r="E27" s="29">
        <v>11</v>
      </c>
    </row>
    <row r="28" spans="1:5" ht="20.25" customHeight="1">
      <c r="A28" s="28" t="s">
        <v>17</v>
      </c>
      <c r="B28" s="10" t="s">
        <v>18</v>
      </c>
      <c r="C28" s="6">
        <v>2015</v>
      </c>
      <c r="D28" s="29" t="s">
        <v>111</v>
      </c>
      <c r="E28" s="29">
        <v>10</v>
      </c>
    </row>
    <row r="29" spans="1:5" ht="20.25" customHeight="1">
      <c r="A29" s="28" t="s">
        <v>135</v>
      </c>
      <c r="B29" s="11" t="s">
        <v>136</v>
      </c>
      <c r="C29" s="11">
        <v>2018</v>
      </c>
      <c r="D29" s="29" t="s">
        <v>115</v>
      </c>
      <c r="E29" s="29">
        <v>10</v>
      </c>
    </row>
    <row r="30" spans="1:5" ht="20.25" customHeight="1">
      <c r="A30" s="28" t="s">
        <v>259</v>
      </c>
      <c r="B30" s="16" t="s">
        <v>260</v>
      </c>
      <c r="C30" s="6">
        <v>2021</v>
      </c>
      <c r="D30" s="29" t="s">
        <v>118</v>
      </c>
      <c r="E30" s="29">
        <v>10</v>
      </c>
    </row>
    <row r="31" spans="1:5" ht="20.25" customHeight="1">
      <c r="A31" s="28" t="s">
        <v>267</v>
      </c>
      <c r="B31" s="16" t="s">
        <v>268</v>
      </c>
      <c r="C31" s="6">
        <v>2021</v>
      </c>
      <c r="D31" s="29" t="s">
        <v>122</v>
      </c>
      <c r="E31" s="29">
        <v>10</v>
      </c>
    </row>
    <row r="32" spans="1:5" ht="20.25" customHeight="1">
      <c r="A32" s="28" t="s">
        <v>84</v>
      </c>
      <c r="B32" s="5" t="s">
        <v>85</v>
      </c>
      <c r="C32" s="6">
        <v>2017</v>
      </c>
      <c r="D32" s="29" t="s">
        <v>126</v>
      </c>
      <c r="E32" s="29">
        <v>9</v>
      </c>
    </row>
    <row r="33" spans="1:5" ht="20.25" customHeight="1">
      <c r="A33" s="28" t="s">
        <v>215</v>
      </c>
      <c r="B33" s="11" t="s">
        <v>216</v>
      </c>
      <c r="C33" s="11">
        <v>2020</v>
      </c>
      <c r="D33" s="29" t="s">
        <v>130</v>
      </c>
      <c r="E33" s="29">
        <v>9</v>
      </c>
    </row>
    <row r="34" spans="1:5" ht="20.25" customHeight="1">
      <c r="A34" s="28" t="s">
        <v>36</v>
      </c>
      <c r="B34" s="5" t="s">
        <v>37</v>
      </c>
      <c r="C34" s="6">
        <v>2015</v>
      </c>
      <c r="D34" s="29" t="s">
        <v>134</v>
      </c>
      <c r="E34" s="29">
        <v>8</v>
      </c>
    </row>
    <row r="35" spans="1:5" ht="20.25" customHeight="1">
      <c r="A35" s="28" t="s">
        <v>123</v>
      </c>
      <c r="B35" s="11" t="s">
        <v>124</v>
      </c>
      <c r="C35" s="11">
        <v>2018</v>
      </c>
      <c r="D35" s="29" t="s">
        <v>138</v>
      </c>
      <c r="E35" s="29">
        <v>8</v>
      </c>
    </row>
    <row r="36" spans="1:5" ht="20.25" customHeight="1">
      <c r="A36" s="28" t="s">
        <v>143</v>
      </c>
      <c r="B36" s="11" t="s">
        <v>144</v>
      </c>
      <c r="C36" s="11">
        <v>2018</v>
      </c>
      <c r="D36" s="29" t="s">
        <v>142</v>
      </c>
      <c r="E36" s="29">
        <v>8</v>
      </c>
    </row>
    <row r="37" spans="1:5" ht="20.25" customHeight="1">
      <c r="A37" s="28" t="s">
        <v>9</v>
      </c>
      <c r="B37" s="10" t="s">
        <v>10</v>
      </c>
      <c r="C37" s="6">
        <v>2015</v>
      </c>
      <c r="D37" s="29" t="s">
        <v>146</v>
      </c>
      <c r="E37" s="29">
        <v>7</v>
      </c>
    </row>
    <row r="38" spans="1:5" ht="20.25" customHeight="1">
      <c r="A38" s="28" t="s">
        <v>183</v>
      </c>
      <c r="B38" s="11" t="s">
        <v>184</v>
      </c>
      <c r="C38" s="11">
        <v>2020</v>
      </c>
      <c r="D38" s="29" t="s">
        <v>150</v>
      </c>
      <c r="E38" s="29">
        <v>7</v>
      </c>
    </row>
    <row r="39" spans="1:5" ht="20.25" customHeight="1">
      <c r="A39" s="28" t="s">
        <v>307</v>
      </c>
      <c r="B39" s="11" t="s">
        <v>308</v>
      </c>
      <c r="C39" s="11">
        <v>2022</v>
      </c>
      <c r="D39" s="29" t="s">
        <v>154</v>
      </c>
      <c r="E39" s="29">
        <v>7</v>
      </c>
    </row>
    <row r="40" spans="1:5" ht="20.25" customHeight="1">
      <c r="A40" s="28" t="s">
        <v>40</v>
      </c>
      <c r="B40" s="10" t="s">
        <v>41</v>
      </c>
      <c r="C40" s="6">
        <v>2015</v>
      </c>
      <c r="D40" s="29" t="s">
        <v>158</v>
      </c>
      <c r="E40" s="29">
        <v>6</v>
      </c>
    </row>
    <row r="41" spans="1:5" ht="20.25" customHeight="1">
      <c r="A41" s="28" t="s">
        <v>64</v>
      </c>
      <c r="B41" s="11" t="s">
        <v>65</v>
      </c>
      <c r="C41" s="11">
        <v>2016</v>
      </c>
      <c r="D41" s="29" t="s">
        <v>162</v>
      </c>
      <c r="E41" s="29">
        <v>6</v>
      </c>
    </row>
    <row r="42" spans="1:5" ht="20.25" customHeight="1">
      <c r="A42" s="28" t="s">
        <v>127</v>
      </c>
      <c r="B42" s="11" t="s">
        <v>128</v>
      </c>
      <c r="C42" s="11">
        <v>2018</v>
      </c>
      <c r="D42" s="29" t="s">
        <v>166</v>
      </c>
      <c r="E42" s="29">
        <v>6</v>
      </c>
    </row>
    <row r="43" spans="1:5" ht="20.25" customHeight="1">
      <c r="A43" s="28" t="s">
        <v>139</v>
      </c>
      <c r="B43" s="11" t="s">
        <v>140</v>
      </c>
      <c r="C43" s="11">
        <v>2018</v>
      </c>
      <c r="D43" s="29" t="s">
        <v>170</v>
      </c>
      <c r="E43" s="29">
        <v>6</v>
      </c>
    </row>
    <row r="44" spans="1:5" ht="20.25" customHeight="1">
      <c r="A44" s="28" t="s">
        <v>271</v>
      </c>
      <c r="B44" s="14" t="s">
        <v>272</v>
      </c>
      <c r="C44" s="6">
        <v>2021</v>
      </c>
      <c r="D44" s="29" t="s">
        <v>174</v>
      </c>
      <c r="E44" s="29">
        <v>6</v>
      </c>
    </row>
    <row r="45" spans="1:5" ht="20.25" customHeight="1">
      <c r="A45" s="28" t="s">
        <v>299</v>
      </c>
      <c r="B45" s="11" t="s">
        <v>300</v>
      </c>
      <c r="C45" s="11">
        <v>2022</v>
      </c>
      <c r="D45" s="29" t="s">
        <v>178</v>
      </c>
      <c r="E45" s="29">
        <v>6</v>
      </c>
    </row>
    <row r="46" spans="1:5" ht="20.25" customHeight="1">
      <c r="A46" s="28" t="s">
        <v>338</v>
      </c>
      <c r="B46" s="11" t="s">
        <v>339</v>
      </c>
      <c r="C46" s="11">
        <v>2022</v>
      </c>
      <c r="D46" s="29" t="s">
        <v>182</v>
      </c>
      <c r="E46" s="29">
        <v>6</v>
      </c>
    </row>
    <row r="47" spans="1:5" ht="20.25" customHeight="1">
      <c r="A47" s="28" t="s">
        <v>187</v>
      </c>
      <c r="B47" s="11" t="s">
        <v>188</v>
      </c>
      <c r="C47" s="11">
        <v>2020</v>
      </c>
      <c r="D47" s="29" t="s">
        <v>186</v>
      </c>
      <c r="E47" s="29">
        <v>5</v>
      </c>
    </row>
    <row r="48" spans="1:5" ht="20.25" customHeight="1">
      <c r="A48" s="28" t="s">
        <v>191</v>
      </c>
      <c r="B48" s="11" t="s">
        <v>192</v>
      </c>
      <c r="C48" s="11">
        <v>2020</v>
      </c>
      <c r="D48" s="29" t="s">
        <v>190</v>
      </c>
      <c r="E48" s="29">
        <v>5</v>
      </c>
    </row>
    <row r="49" spans="1:5" ht="20.25" customHeight="1">
      <c r="A49" s="28" t="s">
        <v>203</v>
      </c>
      <c r="B49" s="11" t="s">
        <v>204</v>
      </c>
      <c r="C49" s="11">
        <v>2020</v>
      </c>
      <c r="D49" s="29" t="s">
        <v>194</v>
      </c>
      <c r="E49" s="29">
        <v>5</v>
      </c>
    </row>
    <row r="50" spans="1:5" ht="20.25" customHeight="1">
      <c r="A50" s="28" t="s">
        <v>25</v>
      </c>
      <c r="B50" s="10" t="s">
        <v>26</v>
      </c>
      <c r="C50" s="6">
        <v>2015</v>
      </c>
      <c r="D50" s="29" t="s">
        <v>198</v>
      </c>
      <c r="E50" s="29">
        <v>4</v>
      </c>
    </row>
    <row r="51" spans="1:5" ht="20.25" customHeight="1">
      <c r="A51" s="28" t="s">
        <v>29</v>
      </c>
      <c r="B51" s="5" t="s">
        <v>30</v>
      </c>
      <c r="C51" s="6">
        <v>2015</v>
      </c>
      <c r="D51" s="29" t="s">
        <v>202</v>
      </c>
      <c r="E51" s="29">
        <v>4</v>
      </c>
    </row>
    <row r="52" spans="1:5" ht="20.25" customHeight="1">
      <c r="A52" s="28" t="s">
        <v>44</v>
      </c>
      <c r="B52" s="5" t="s">
        <v>45</v>
      </c>
      <c r="C52" s="6">
        <v>2015</v>
      </c>
      <c r="D52" s="29" t="s">
        <v>206</v>
      </c>
      <c r="E52" s="29">
        <v>4</v>
      </c>
    </row>
    <row r="53" spans="1:5" ht="20.25" customHeight="1">
      <c r="A53" s="28" t="s">
        <v>88</v>
      </c>
      <c r="B53" s="10" t="s">
        <v>89</v>
      </c>
      <c r="C53" s="6">
        <v>2017</v>
      </c>
      <c r="D53" s="29" t="s">
        <v>210</v>
      </c>
      <c r="E53" s="29">
        <v>4</v>
      </c>
    </row>
    <row r="54" spans="1:5" ht="20.25" customHeight="1">
      <c r="A54" s="28" t="s">
        <v>104</v>
      </c>
      <c r="B54" s="10" t="s">
        <v>105</v>
      </c>
      <c r="C54" s="6">
        <v>2017</v>
      </c>
      <c r="D54" s="29" t="s">
        <v>214</v>
      </c>
      <c r="E54" s="29">
        <v>4</v>
      </c>
    </row>
    <row r="55" spans="1:5" ht="20.25" customHeight="1">
      <c r="A55" s="28" t="s">
        <v>199</v>
      </c>
      <c r="B55" s="11" t="s">
        <v>200</v>
      </c>
      <c r="C55" s="11">
        <v>2020</v>
      </c>
      <c r="D55" s="29" t="s">
        <v>218</v>
      </c>
      <c r="E55" s="29">
        <v>4</v>
      </c>
    </row>
    <row r="56" spans="1:5" ht="20.25" customHeight="1">
      <c r="A56" s="28" t="s">
        <v>239</v>
      </c>
      <c r="B56" s="14" t="s">
        <v>240</v>
      </c>
      <c r="C56" s="6">
        <v>2021</v>
      </c>
      <c r="D56" s="29" t="s">
        <v>222</v>
      </c>
      <c r="E56" s="29">
        <v>4</v>
      </c>
    </row>
    <row r="57" spans="1:5" ht="20.25" customHeight="1">
      <c r="A57" s="28" t="s">
        <v>354</v>
      </c>
      <c r="B57" s="6" t="s">
        <v>496</v>
      </c>
      <c r="C57" s="6">
        <v>2023</v>
      </c>
      <c r="D57" s="29" t="s">
        <v>226</v>
      </c>
      <c r="E57" s="29">
        <v>4</v>
      </c>
    </row>
    <row r="58" spans="1:5" ht="20.25" customHeight="1">
      <c r="A58" s="28" t="s">
        <v>470</v>
      </c>
      <c r="B58" s="18" t="s">
        <v>471</v>
      </c>
      <c r="C58" s="18">
        <v>2024</v>
      </c>
      <c r="D58" s="29" t="s">
        <v>230</v>
      </c>
      <c r="E58" s="29">
        <v>4</v>
      </c>
    </row>
    <row r="59" spans="1:5" ht="20.25" customHeight="1">
      <c r="A59" s="28" t="s">
        <v>21</v>
      </c>
      <c r="B59" s="5" t="s">
        <v>22</v>
      </c>
      <c r="C59" s="6">
        <v>2015</v>
      </c>
      <c r="D59" s="29" t="s">
        <v>234</v>
      </c>
      <c r="E59" s="29">
        <v>3</v>
      </c>
    </row>
    <row r="60" spans="1:5" ht="20.25" customHeight="1">
      <c r="A60" s="28" t="s">
        <v>171</v>
      </c>
      <c r="B60" s="10" t="s">
        <v>172</v>
      </c>
      <c r="C60" s="6">
        <v>2019</v>
      </c>
      <c r="D60" s="29" t="s">
        <v>238</v>
      </c>
      <c r="E60" s="29">
        <v>3</v>
      </c>
    </row>
    <row r="61" spans="1:5" ht="20.25" customHeight="1">
      <c r="A61" s="28" t="s">
        <v>247</v>
      </c>
      <c r="B61" s="14" t="s">
        <v>248</v>
      </c>
      <c r="C61" s="6">
        <v>2021</v>
      </c>
      <c r="D61" s="29" t="s">
        <v>242</v>
      </c>
      <c r="E61" s="29">
        <v>3</v>
      </c>
    </row>
    <row r="62" spans="1:5" ht="20.25" customHeight="1">
      <c r="A62" s="28" t="s">
        <v>255</v>
      </c>
      <c r="B62" s="14" t="s">
        <v>256</v>
      </c>
      <c r="C62" s="6">
        <v>2021</v>
      </c>
      <c r="D62" s="29" t="s">
        <v>246</v>
      </c>
      <c r="E62" s="29">
        <v>3</v>
      </c>
    </row>
    <row r="63" spans="1:5" ht="20.25" customHeight="1">
      <c r="A63" s="28" t="s">
        <v>291</v>
      </c>
      <c r="B63" s="11" t="s">
        <v>292</v>
      </c>
      <c r="C63" s="11">
        <v>2022</v>
      </c>
      <c r="D63" s="29" t="s">
        <v>250</v>
      </c>
      <c r="E63" s="29">
        <v>3</v>
      </c>
    </row>
    <row r="64" spans="1:5" ht="20.25" customHeight="1">
      <c r="A64" s="28" t="s">
        <v>295</v>
      </c>
      <c r="B64" s="11" t="s">
        <v>296</v>
      </c>
      <c r="C64" s="11">
        <v>2022</v>
      </c>
      <c r="D64" s="29" t="s">
        <v>254</v>
      </c>
      <c r="E64" s="29">
        <v>3</v>
      </c>
    </row>
    <row r="65" spans="1:5" ht="20.25" customHeight="1">
      <c r="A65" s="28" t="s">
        <v>311</v>
      </c>
      <c r="B65" s="11" t="s">
        <v>312</v>
      </c>
      <c r="C65" s="11">
        <v>2022</v>
      </c>
      <c r="D65" s="29" t="s">
        <v>258</v>
      </c>
      <c r="E65" s="29">
        <v>3</v>
      </c>
    </row>
    <row r="66" spans="1:5" ht="20.25" customHeight="1">
      <c r="A66" s="28" t="s">
        <v>335</v>
      </c>
      <c r="B66" s="11" t="s">
        <v>336</v>
      </c>
      <c r="C66" s="11">
        <v>2022</v>
      </c>
      <c r="D66" s="29" t="s">
        <v>262</v>
      </c>
      <c r="E66" s="29">
        <v>3</v>
      </c>
    </row>
    <row r="67" spans="1:5" ht="20.25" customHeight="1">
      <c r="A67" s="28" t="s">
        <v>382</v>
      </c>
      <c r="B67" s="5" t="s">
        <v>383</v>
      </c>
      <c r="C67" s="6">
        <v>2023</v>
      </c>
      <c r="D67" s="29" t="s">
        <v>266</v>
      </c>
      <c r="E67" s="29">
        <v>3</v>
      </c>
    </row>
    <row r="68" spans="1:5" ht="20.25" customHeight="1">
      <c r="A68" s="28" t="s">
        <v>390</v>
      </c>
      <c r="B68" s="5" t="s">
        <v>391</v>
      </c>
      <c r="C68" s="6">
        <v>2023</v>
      </c>
      <c r="D68" s="29" t="s">
        <v>270</v>
      </c>
      <c r="E68" s="29">
        <v>3</v>
      </c>
    </row>
    <row r="69" spans="1:5" ht="20.25" customHeight="1">
      <c r="A69" s="28" t="s">
        <v>406</v>
      </c>
      <c r="B69" s="5" t="s">
        <v>407</v>
      </c>
      <c r="C69" s="6">
        <v>2023</v>
      </c>
      <c r="D69" s="29" t="s">
        <v>274</v>
      </c>
      <c r="E69" s="29">
        <v>3</v>
      </c>
    </row>
    <row r="70" spans="1:5" ht="20.25" customHeight="1">
      <c r="A70" s="28" t="s">
        <v>414</v>
      </c>
      <c r="B70" s="5" t="s">
        <v>415</v>
      </c>
      <c r="C70" s="6">
        <v>2023</v>
      </c>
      <c r="D70" s="29" t="s">
        <v>278</v>
      </c>
      <c r="E70" s="29">
        <v>3</v>
      </c>
    </row>
    <row r="71" spans="1:5" ht="20.25" customHeight="1">
      <c r="A71" s="28" t="s">
        <v>358</v>
      </c>
      <c r="B71" s="5" t="s">
        <v>359</v>
      </c>
      <c r="C71" s="6">
        <v>2023</v>
      </c>
      <c r="D71" s="29" t="s">
        <v>282</v>
      </c>
      <c r="E71" s="29">
        <v>3</v>
      </c>
    </row>
    <row r="72" spans="1:5" ht="20.25" customHeight="1">
      <c r="A72" s="28" t="s">
        <v>96</v>
      </c>
      <c r="B72" s="10" t="s">
        <v>97</v>
      </c>
      <c r="C72" s="6">
        <v>2017</v>
      </c>
      <c r="D72" s="29" t="s">
        <v>286</v>
      </c>
      <c r="E72" s="29">
        <v>2</v>
      </c>
    </row>
    <row r="73" spans="1:5" ht="20.25" customHeight="1">
      <c r="A73" s="28" t="s">
        <v>211</v>
      </c>
      <c r="B73" s="11" t="s">
        <v>212</v>
      </c>
      <c r="C73" s="11">
        <v>2020</v>
      </c>
      <c r="D73" s="29" t="s">
        <v>290</v>
      </c>
      <c r="E73" s="29">
        <v>2</v>
      </c>
    </row>
    <row r="74" spans="1:5" ht="20.25" customHeight="1">
      <c r="A74" s="28" t="s">
        <v>235</v>
      </c>
      <c r="B74" s="16" t="s">
        <v>236</v>
      </c>
      <c r="C74" s="6">
        <v>2021</v>
      </c>
      <c r="D74" s="29" t="s">
        <v>294</v>
      </c>
      <c r="E74" s="29">
        <v>2</v>
      </c>
    </row>
    <row r="75" spans="1:5" ht="20.25" customHeight="1">
      <c r="A75" s="28" t="s">
        <v>287</v>
      </c>
      <c r="B75" s="11" t="s">
        <v>288</v>
      </c>
      <c r="C75" s="11">
        <v>2022</v>
      </c>
      <c r="D75" s="29" t="s">
        <v>298</v>
      </c>
      <c r="E75" s="29">
        <v>2</v>
      </c>
    </row>
    <row r="76" spans="1:5" ht="20.25" customHeight="1">
      <c r="A76" s="28" t="s">
        <v>303</v>
      </c>
      <c r="B76" s="11" t="s">
        <v>304</v>
      </c>
      <c r="C76" s="11">
        <v>2022</v>
      </c>
      <c r="D76" s="29" t="s">
        <v>302</v>
      </c>
      <c r="E76" s="29">
        <v>2</v>
      </c>
    </row>
    <row r="77" spans="1:5" ht="20.25" customHeight="1">
      <c r="A77" s="28" t="s">
        <v>366</v>
      </c>
      <c r="B77" s="5" t="s">
        <v>367</v>
      </c>
      <c r="C77" s="6">
        <v>2023</v>
      </c>
      <c r="D77" s="29" t="s">
        <v>306</v>
      </c>
      <c r="E77" s="29">
        <v>2</v>
      </c>
    </row>
    <row r="78" spans="1:5" ht="20.25" customHeight="1">
      <c r="A78" s="28" t="s">
        <v>370</v>
      </c>
      <c r="B78" s="10" t="s">
        <v>371</v>
      </c>
      <c r="C78" s="6">
        <v>2023</v>
      </c>
      <c r="D78" s="29" t="s">
        <v>310</v>
      </c>
      <c r="E78" s="29">
        <v>2</v>
      </c>
    </row>
    <row r="79" spans="1:5" ht="20.25" customHeight="1">
      <c r="A79" s="28" t="s">
        <v>386</v>
      </c>
      <c r="B79" s="10" t="s">
        <v>387</v>
      </c>
      <c r="C79" s="6">
        <v>2023</v>
      </c>
      <c r="D79" s="29" t="s">
        <v>314</v>
      </c>
      <c r="E79" s="29">
        <v>2</v>
      </c>
    </row>
    <row r="80" spans="1:5" ht="20.25" customHeight="1">
      <c r="A80" s="28" t="s">
        <v>410</v>
      </c>
      <c r="B80" s="10" t="s">
        <v>411</v>
      </c>
      <c r="C80" s="6">
        <v>2023</v>
      </c>
      <c r="D80" s="29" t="s">
        <v>318</v>
      </c>
      <c r="E80" s="29">
        <v>2</v>
      </c>
    </row>
    <row r="81" spans="1:5" ht="20.25" customHeight="1">
      <c r="A81" s="28" t="s">
        <v>32</v>
      </c>
      <c r="B81" s="10" t="s">
        <v>33</v>
      </c>
      <c r="C81" s="6">
        <v>2015</v>
      </c>
      <c r="D81" s="29" t="s">
        <v>322</v>
      </c>
      <c r="E81" s="29">
        <v>1</v>
      </c>
    </row>
    <row r="82" spans="1:5" ht="20.25" customHeight="1">
      <c r="A82" s="28" t="s">
        <v>72</v>
      </c>
      <c r="B82" s="11" t="s">
        <v>73</v>
      </c>
      <c r="C82" s="11">
        <v>2016</v>
      </c>
      <c r="D82" s="29" t="s">
        <v>326</v>
      </c>
      <c r="E82" s="29">
        <v>1</v>
      </c>
    </row>
    <row r="83" spans="1:5" ht="20.25" customHeight="1">
      <c r="A83" s="28" t="s">
        <v>92</v>
      </c>
      <c r="B83" s="5" t="s">
        <v>93</v>
      </c>
      <c r="C83" s="6">
        <v>2017</v>
      </c>
      <c r="D83" s="29" t="s">
        <v>330</v>
      </c>
      <c r="E83" s="29">
        <v>1</v>
      </c>
    </row>
    <row r="84" spans="1:5" ht="20.25" customHeight="1">
      <c r="A84" s="28" t="s">
        <v>112</v>
      </c>
      <c r="B84" s="11" t="s">
        <v>113</v>
      </c>
      <c r="C84" s="11">
        <v>2018</v>
      </c>
      <c r="D84" s="29" t="s">
        <v>334</v>
      </c>
      <c r="E84" s="29">
        <v>1</v>
      </c>
    </row>
    <row r="85" spans="1:5" ht="20.25" customHeight="1">
      <c r="A85" s="28" t="s">
        <v>155</v>
      </c>
      <c r="B85" s="11" t="s">
        <v>156</v>
      </c>
      <c r="C85" s="11">
        <v>2018</v>
      </c>
      <c r="D85" s="29" t="s">
        <v>337</v>
      </c>
      <c r="E85" s="29">
        <v>1</v>
      </c>
    </row>
    <row r="86" spans="1:5" ht="20.25" customHeight="1">
      <c r="A86" s="28" t="s">
        <v>319</v>
      </c>
      <c r="B86" s="11" t="s">
        <v>320</v>
      </c>
      <c r="C86" s="11">
        <v>2022</v>
      </c>
      <c r="D86" s="29" t="s">
        <v>341</v>
      </c>
      <c r="E86" s="29">
        <v>1</v>
      </c>
    </row>
    <row r="87" spans="1:5" ht="20.25" customHeight="1">
      <c r="A87" s="28" t="s">
        <v>323</v>
      </c>
      <c r="B87" s="11" t="s">
        <v>324</v>
      </c>
      <c r="C87" s="11">
        <v>2022</v>
      </c>
      <c r="D87" s="29" t="s">
        <v>345</v>
      </c>
      <c r="E87" s="29">
        <v>1</v>
      </c>
    </row>
    <row r="88" spans="1:5" ht="20.25" customHeight="1">
      <c r="A88" s="28" t="s">
        <v>374</v>
      </c>
      <c r="B88" s="5" t="s">
        <v>375</v>
      </c>
      <c r="C88" s="6">
        <v>2023</v>
      </c>
      <c r="D88" s="29" t="s">
        <v>349</v>
      </c>
      <c r="E88" s="29">
        <v>1</v>
      </c>
    </row>
    <row r="89" spans="1:5" ht="20.25" customHeight="1">
      <c r="A89" s="28" t="s">
        <v>394</v>
      </c>
      <c r="B89" s="10" t="s">
        <v>395</v>
      </c>
      <c r="C89" s="6">
        <v>2023</v>
      </c>
      <c r="D89" s="29" t="s">
        <v>353</v>
      </c>
      <c r="E89" s="29">
        <v>1</v>
      </c>
    </row>
    <row r="90" spans="1:5" ht="20.25" customHeight="1">
      <c r="A90" s="28" t="s">
        <v>398</v>
      </c>
      <c r="B90" s="5" t="s">
        <v>399</v>
      </c>
      <c r="C90" s="6">
        <v>2023</v>
      </c>
      <c r="D90" s="29" t="s">
        <v>357</v>
      </c>
      <c r="E90" s="29">
        <v>1</v>
      </c>
    </row>
    <row r="91" spans="1:5" ht="20.25" customHeight="1">
      <c r="A91" s="28" t="s">
        <v>418</v>
      </c>
      <c r="B91" s="10" t="s">
        <v>419</v>
      </c>
      <c r="C91" s="6">
        <v>2023</v>
      </c>
      <c r="D91" s="29" t="s">
        <v>361</v>
      </c>
      <c r="E91" s="29">
        <v>1</v>
      </c>
    </row>
    <row r="92" spans="1:5" ht="20.25" customHeight="1">
      <c r="A92" s="28" t="s">
        <v>350</v>
      </c>
      <c r="B92" s="5" t="s">
        <v>351</v>
      </c>
      <c r="C92" s="6">
        <v>2023</v>
      </c>
      <c r="D92" s="29" t="s">
        <v>365</v>
      </c>
      <c r="E92" s="29">
        <v>1</v>
      </c>
    </row>
    <row r="93" spans="1:5" ht="20.25" customHeight="1">
      <c r="A93" s="28" t="s">
        <v>362</v>
      </c>
      <c r="B93" s="10" t="s">
        <v>363</v>
      </c>
      <c r="C93" s="6">
        <v>2023</v>
      </c>
      <c r="D93" s="29" t="s">
        <v>369</v>
      </c>
      <c r="E93" s="29">
        <v>1</v>
      </c>
    </row>
    <row r="94" spans="1:5" ht="20.25" customHeight="1">
      <c r="A94" s="28" t="s">
        <v>438</v>
      </c>
      <c r="B94" s="18" t="s">
        <v>439</v>
      </c>
      <c r="C94" s="18">
        <v>2024</v>
      </c>
      <c r="D94" s="29" t="s">
        <v>373</v>
      </c>
      <c r="E94" s="29">
        <v>1</v>
      </c>
    </row>
    <row r="95" spans="1:5" ht="20.25" customHeight="1">
      <c r="A95" s="28" t="s">
        <v>450</v>
      </c>
      <c r="B95" s="18" t="s">
        <v>451</v>
      </c>
      <c r="C95" s="18">
        <v>2024</v>
      </c>
      <c r="D95" s="29" t="s">
        <v>377</v>
      </c>
      <c r="E95" s="29">
        <v>1</v>
      </c>
    </row>
    <row r="96" spans="1:5" ht="20.25" customHeight="1">
      <c r="A96" s="28" t="s">
        <v>458</v>
      </c>
      <c r="B96" s="18" t="s">
        <v>459</v>
      </c>
      <c r="C96" s="18">
        <v>2024</v>
      </c>
      <c r="D96" s="29" t="s">
        <v>381</v>
      </c>
      <c r="E96" s="29">
        <v>1</v>
      </c>
    </row>
    <row r="97" spans="1:5" ht="20.25" customHeight="1">
      <c r="A97" s="28" t="s">
        <v>474</v>
      </c>
      <c r="B97" s="18" t="s">
        <v>475</v>
      </c>
      <c r="C97" s="18">
        <v>2024</v>
      </c>
      <c r="D97" s="29" t="s">
        <v>385</v>
      </c>
      <c r="E97" s="29">
        <v>1</v>
      </c>
    </row>
    <row r="98" spans="1:5" ht="20.25" customHeight="1">
      <c r="A98" s="28" t="s">
        <v>52</v>
      </c>
      <c r="B98" s="11" t="s">
        <v>53</v>
      </c>
      <c r="C98" s="11">
        <v>2016</v>
      </c>
      <c r="D98" s="29" t="s">
        <v>389</v>
      </c>
      <c r="E98" s="29">
        <v>0</v>
      </c>
    </row>
    <row r="99" spans="1:5" ht="20.25" customHeight="1">
      <c r="A99" s="28" t="s">
        <v>147</v>
      </c>
      <c r="B99" s="11" t="s">
        <v>148</v>
      </c>
      <c r="C99" s="11">
        <v>2018</v>
      </c>
      <c r="D99" s="29" t="s">
        <v>393</v>
      </c>
      <c r="E99" s="29">
        <v>0</v>
      </c>
    </row>
    <row r="100" spans="1:5" ht="20.25" customHeight="1">
      <c r="A100" s="28" t="s">
        <v>195</v>
      </c>
      <c r="B100" s="11" t="s">
        <v>196</v>
      </c>
      <c r="C100" s="11">
        <v>2020</v>
      </c>
      <c r="D100" s="29" t="s">
        <v>397</v>
      </c>
      <c r="E100" s="29">
        <v>0</v>
      </c>
    </row>
    <row r="101" spans="1:5" ht="20.25" customHeight="1">
      <c r="A101" s="28" t="s">
        <v>207</v>
      </c>
      <c r="B101" s="11" t="s">
        <v>208</v>
      </c>
      <c r="C101" s="11">
        <v>2020</v>
      </c>
      <c r="D101" s="29" t="s">
        <v>401</v>
      </c>
      <c r="E101" s="29">
        <v>0</v>
      </c>
    </row>
    <row r="102" spans="1:5" ht="20.25" customHeight="1">
      <c r="A102" s="28" t="s">
        <v>263</v>
      </c>
      <c r="B102" s="14" t="s">
        <v>264</v>
      </c>
      <c r="C102" s="6">
        <v>2021</v>
      </c>
      <c r="D102" s="29" t="s">
        <v>405</v>
      </c>
      <c r="E102" s="29">
        <v>0</v>
      </c>
    </row>
    <row r="103" spans="1:5" ht="20.25" customHeight="1">
      <c r="A103" s="28" t="s">
        <v>275</v>
      </c>
      <c r="B103" s="11" t="s">
        <v>276</v>
      </c>
      <c r="C103" s="11">
        <v>2022</v>
      </c>
      <c r="D103" s="29" t="s">
        <v>409</v>
      </c>
      <c r="E103" s="29">
        <v>0</v>
      </c>
    </row>
    <row r="104" spans="1:5" ht="20.25" customHeight="1">
      <c r="A104" s="28" t="s">
        <v>279</v>
      </c>
      <c r="B104" s="11" t="s">
        <v>280</v>
      </c>
      <c r="C104" s="11">
        <v>2022</v>
      </c>
      <c r="D104" s="29" t="s">
        <v>413</v>
      </c>
      <c r="E104" s="29">
        <v>0</v>
      </c>
    </row>
    <row r="105" spans="1:5" ht="20.25" customHeight="1">
      <c r="A105" s="28" t="s">
        <v>315</v>
      </c>
      <c r="B105" s="11" t="s">
        <v>316</v>
      </c>
      <c r="C105" s="11">
        <v>2022</v>
      </c>
      <c r="D105" s="29" t="s">
        <v>417</v>
      </c>
      <c r="E105" s="29">
        <v>0</v>
      </c>
    </row>
    <row r="106" spans="1:5" ht="20.25" customHeight="1">
      <c r="A106" s="28" t="s">
        <v>327</v>
      </c>
      <c r="B106" s="11" t="s">
        <v>328</v>
      </c>
      <c r="C106" s="11">
        <v>2022</v>
      </c>
      <c r="D106" s="29" t="s">
        <v>421</v>
      </c>
      <c r="E106" s="29">
        <v>0</v>
      </c>
    </row>
    <row r="107" spans="1:5" ht="20.25" customHeight="1">
      <c r="A107" s="28" t="s">
        <v>331</v>
      </c>
      <c r="B107" s="11" t="s">
        <v>332</v>
      </c>
      <c r="C107" s="11">
        <v>2022</v>
      </c>
      <c r="D107" s="29" t="s">
        <v>425</v>
      </c>
      <c r="E107" s="29">
        <v>0</v>
      </c>
    </row>
    <row r="108" spans="1:5" ht="20.25" customHeight="1">
      <c r="A108" s="28" t="s">
        <v>378</v>
      </c>
      <c r="B108" s="10" t="s">
        <v>379</v>
      </c>
      <c r="C108" s="6">
        <v>2023</v>
      </c>
      <c r="D108" s="29" t="s">
        <v>429</v>
      </c>
      <c r="E108" s="29">
        <v>0</v>
      </c>
    </row>
    <row r="109" spans="1:5" ht="20.25" customHeight="1">
      <c r="A109" s="28" t="s">
        <v>402</v>
      </c>
      <c r="B109" s="10" t="s">
        <v>403</v>
      </c>
      <c r="C109" s="6">
        <v>2023</v>
      </c>
      <c r="D109" s="29" t="s">
        <v>433</v>
      </c>
      <c r="E109" s="29">
        <v>0</v>
      </c>
    </row>
    <row r="110" spans="1:5" ht="20.25" customHeight="1">
      <c r="A110" s="28" t="s">
        <v>342</v>
      </c>
      <c r="B110" s="5" t="s">
        <v>343</v>
      </c>
      <c r="C110" s="6">
        <v>2023</v>
      </c>
      <c r="D110" s="29" t="s">
        <v>437</v>
      </c>
      <c r="E110" s="29">
        <v>0</v>
      </c>
    </row>
    <row r="111" spans="1:5" ht="20.25" customHeight="1">
      <c r="A111" s="28" t="s">
        <v>346</v>
      </c>
      <c r="B111" s="10" t="s">
        <v>347</v>
      </c>
      <c r="C111" s="6">
        <v>2023</v>
      </c>
      <c r="D111" s="29" t="s">
        <v>441</v>
      </c>
      <c r="E111" s="29">
        <v>0</v>
      </c>
    </row>
    <row r="112" spans="1:5" ht="20.25" customHeight="1">
      <c r="A112" s="28" t="s">
        <v>422</v>
      </c>
      <c r="B112" s="18" t="s">
        <v>423</v>
      </c>
      <c r="C112" s="18">
        <v>2024</v>
      </c>
      <c r="D112" s="29" t="s">
        <v>445</v>
      </c>
      <c r="E112" s="29">
        <v>0</v>
      </c>
    </row>
    <row r="113" spans="1:5" ht="20.25" customHeight="1">
      <c r="A113" s="28" t="s">
        <v>426</v>
      </c>
      <c r="B113" s="18" t="s">
        <v>427</v>
      </c>
      <c r="C113" s="18">
        <v>2024</v>
      </c>
      <c r="D113" s="29" t="s">
        <v>449</v>
      </c>
      <c r="E113" s="29">
        <v>0</v>
      </c>
    </row>
    <row r="114" spans="1:5" ht="20.25" customHeight="1">
      <c r="A114" s="28" t="s">
        <v>430</v>
      </c>
      <c r="B114" s="18" t="s">
        <v>431</v>
      </c>
      <c r="C114" s="18">
        <v>2024</v>
      </c>
      <c r="D114" s="29" t="s">
        <v>453</v>
      </c>
      <c r="E114" s="29">
        <v>0</v>
      </c>
    </row>
    <row r="115" spans="1:5" ht="20.25" customHeight="1">
      <c r="A115" s="28" t="s">
        <v>434</v>
      </c>
      <c r="B115" s="18" t="s">
        <v>435</v>
      </c>
      <c r="C115" s="18">
        <v>2024</v>
      </c>
      <c r="D115" s="29" t="s">
        <v>457</v>
      </c>
      <c r="E115" s="29">
        <v>0</v>
      </c>
    </row>
    <row r="116" spans="1:5" ht="20.25" customHeight="1">
      <c r="A116" s="28" t="s">
        <v>442</v>
      </c>
      <c r="B116" s="18" t="s">
        <v>443</v>
      </c>
      <c r="C116" s="18">
        <v>2024</v>
      </c>
      <c r="D116" s="29" t="s">
        <v>461</v>
      </c>
      <c r="E116" s="29">
        <v>0</v>
      </c>
    </row>
    <row r="117" spans="1:5" ht="20.25" customHeight="1">
      <c r="A117" s="28" t="s">
        <v>446</v>
      </c>
      <c r="B117" s="18" t="s">
        <v>447</v>
      </c>
      <c r="C117" s="18">
        <v>2024</v>
      </c>
      <c r="D117" s="29" t="s">
        <v>465</v>
      </c>
      <c r="E117" s="29">
        <v>0</v>
      </c>
    </row>
    <row r="118" spans="1:5" ht="20.25" customHeight="1">
      <c r="A118" s="28" t="s">
        <v>454</v>
      </c>
      <c r="B118" s="18" t="s">
        <v>455</v>
      </c>
      <c r="C118" s="18">
        <v>2024</v>
      </c>
      <c r="D118" s="29" t="s">
        <v>469</v>
      </c>
      <c r="E118" s="29">
        <v>0</v>
      </c>
    </row>
    <row r="119" spans="1:5" ht="20.25" customHeight="1">
      <c r="A119" s="28" t="s">
        <v>462</v>
      </c>
      <c r="B119" s="18" t="s">
        <v>463</v>
      </c>
      <c r="C119" s="18">
        <v>2024</v>
      </c>
      <c r="D119" s="29" t="s">
        <v>473</v>
      </c>
      <c r="E119" s="29">
        <v>0</v>
      </c>
    </row>
    <row r="120" spans="1:5" ht="20.25" customHeight="1">
      <c r="A120" s="28" t="s">
        <v>466</v>
      </c>
      <c r="B120" s="18" t="s">
        <v>467</v>
      </c>
      <c r="C120" s="18">
        <v>2024</v>
      </c>
      <c r="D120" s="29" t="s">
        <v>477</v>
      </c>
      <c r="E120" s="29">
        <v>0</v>
      </c>
    </row>
    <row r="121" spans="1:5" ht="20.25" customHeight="1">
      <c r="A121" s="28" t="s">
        <v>478</v>
      </c>
      <c r="B121" s="18" t="s">
        <v>479</v>
      </c>
      <c r="C121" s="18">
        <v>2024</v>
      </c>
      <c r="D121" s="29" t="s">
        <v>481</v>
      </c>
      <c r="E121" s="29">
        <v>0</v>
      </c>
    </row>
    <row r="122" spans="1:5" ht="20.25" customHeight="1">
      <c r="A122" s="28" t="s">
        <v>482</v>
      </c>
      <c r="B122" s="18" t="s">
        <v>483</v>
      </c>
      <c r="C122" s="18">
        <v>2024</v>
      </c>
      <c r="D122" s="29" t="s">
        <v>485</v>
      </c>
      <c r="E122" s="29">
        <v>0</v>
      </c>
    </row>
    <row r="123" spans="1:5" ht="20.25" customHeight="1">
      <c r="A123" s="28" t="s">
        <v>486</v>
      </c>
      <c r="B123" s="18" t="s">
        <v>487</v>
      </c>
      <c r="C123" s="18">
        <v>2024</v>
      </c>
      <c r="D123" s="29" t="s">
        <v>489</v>
      </c>
      <c r="E123" s="29">
        <v>0</v>
      </c>
    </row>
    <row r="124" spans="1:5" ht="20.25" customHeight="1">
      <c r="A124" s="28" t="s">
        <v>490</v>
      </c>
      <c r="B124" s="18" t="s">
        <v>491</v>
      </c>
      <c r="C124" s="18">
        <v>2024</v>
      </c>
      <c r="D124" s="29" t="s">
        <v>493</v>
      </c>
      <c r="E124" s="29">
        <v>0</v>
      </c>
    </row>
    <row r="125" spans="1:5" ht="20.25" customHeight="1">
      <c r="A125" s="20"/>
      <c r="B125" s="21"/>
      <c r="D125" s="8"/>
      <c r="E125" s="8"/>
    </row>
    <row r="126" spans="1:5" ht="20.25" customHeight="1">
      <c r="A126" s="20"/>
      <c r="B126" s="21"/>
      <c r="D126" s="8"/>
      <c r="E126" s="8"/>
    </row>
    <row r="127" spans="1:5" ht="20.25" customHeight="1">
      <c r="A127" s="20"/>
      <c r="B127" s="21"/>
      <c r="D127" s="8"/>
      <c r="E127" s="8"/>
    </row>
    <row r="128" spans="1:5" ht="20.25" customHeight="1">
      <c r="A128" s="20"/>
      <c r="B128" s="21"/>
      <c r="D128" s="8"/>
      <c r="E128" s="8"/>
    </row>
    <row r="129" spans="1:5" ht="20.25" customHeight="1">
      <c r="A129" s="20"/>
      <c r="B129" s="21"/>
      <c r="D129" s="8"/>
      <c r="E129" s="8"/>
    </row>
    <row r="130" spans="1:5" ht="20.25" customHeight="1">
      <c r="A130" s="20"/>
      <c r="B130" s="21"/>
      <c r="D130" s="8"/>
      <c r="E130" s="8"/>
    </row>
    <row r="131" spans="1:5" ht="20.25" customHeight="1">
      <c r="A131" s="20"/>
      <c r="B131" s="21"/>
      <c r="D131" s="8"/>
      <c r="E131" s="8"/>
    </row>
    <row r="132" spans="1:5" ht="20.25" customHeight="1">
      <c r="A132" s="20"/>
      <c r="B132" s="21"/>
      <c r="D132" s="8"/>
      <c r="E132" s="8"/>
    </row>
    <row r="133" spans="1:5" ht="20.25" customHeight="1">
      <c r="A133" s="20"/>
      <c r="B133" s="21"/>
      <c r="D133" s="8"/>
      <c r="E133" s="8"/>
    </row>
    <row r="134" spans="1:5" ht="20.25" customHeight="1">
      <c r="A134" s="20"/>
      <c r="B134" s="21"/>
      <c r="D134" s="8"/>
      <c r="E134" s="8"/>
    </row>
    <row r="135" spans="1:5" ht="20.25" customHeight="1">
      <c r="A135" s="20"/>
      <c r="B135" s="21"/>
      <c r="D135" s="8"/>
      <c r="E135" s="8"/>
    </row>
    <row r="136" spans="1:5" ht="20.25" customHeight="1">
      <c r="A136" s="20"/>
      <c r="B136" s="21"/>
      <c r="D136" s="8"/>
      <c r="E136" s="8"/>
    </row>
    <row r="137" spans="1:5" ht="20.25" customHeight="1">
      <c r="A137" s="20"/>
      <c r="B137" s="21"/>
      <c r="D137" s="8"/>
      <c r="E137" s="8"/>
    </row>
    <row r="138" spans="1:5" ht="20.25" customHeight="1">
      <c r="A138" s="20"/>
      <c r="B138" s="21"/>
      <c r="D138" s="8"/>
      <c r="E138" s="8"/>
    </row>
    <row r="139" spans="1:5" ht="20.25" customHeight="1">
      <c r="A139" s="20"/>
      <c r="B139" s="21"/>
      <c r="D139" s="8"/>
      <c r="E139" s="8"/>
    </row>
    <row r="140" spans="1:5" ht="20.25" customHeight="1">
      <c r="A140" s="20"/>
      <c r="B140" s="21"/>
      <c r="D140" s="8"/>
      <c r="E140" s="8"/>
    </row>
    <row r="141" spans="1:5" ht="20.25" customHeight="1">
      <c r="A141" s="20"/>
      <c r="B141" s="21"/>
      <c r="D141" s="8"/>
      <c r="E141" s="8"/>
    </row>
    <row r="142" spans="1:5" ht="20.25" customHeight="1">
      <c r="A142" s="20"/>
      <c r="B142" s="21"/>
      <c r="D142" s="8"/>
      <c r="E142" s="8"/>
    </row>
    <row r="143" spans="1:5" ht="20.25" customHeight="1">
      <c r="A143" s="20"/>
      <c r="B143" s="21"/>
      <c r="D143" s="8"/>
      <c r="E143" s="8"/>
    </row>
    <row r="144" spans="1:5" ht="20.25" customHeight="1">
      <c r="A144" s="20"/>
      <c r="B144" s="21"/>
      <c r="D144" s="8"/>
      <c r="E144" s="8"/>
    </row>
    <row r="145" spans="1:5" ht="20.25" customHeight="1">
      <c r="A145" s="20"/>
      <c r="B145" s="21"/>
      <c r="D145" s="8"/>
      <c r="E145" s="8"/>
    </row>
    <row r="146" spans="1:5" ht="20.25" customHeight="1">
      <c r="A146" s="20"/>
      <c r="B146" s="21"/>
      <c r="D146" s="8"/>
      <c r="E146" s="8"/>
    </row>
    <row r="147" spans="1:5" ht="20.25" customHeight="1">
      <c r="A147" s="20"/>
      <c r="B147" s="21"/>
      <c r="D147" s="8"/>
      <c r="E147" s="8"/>
    </row>
    <row r="148" spans="1:5" ht="20.25" customHeight="1">
      <c r="A148" s="20"/>
      <c r="B148" s="21"/>
      <c r="D148" s="8"/>
      <c r="E148" s="8"/>
    </row>
    <row r="149" spans="1:5" ht="20.25" customHeight="1">
      <c r="A149" s="20"/>
      <c r="B149" s="21"/>
      <c r="D149" s="8"/>
      <c r="E149" s="8"/>
    </row>
    <row r="150" spans="1:5" ht="20.25" customHeight="1">
      <c r="A150" s="20"/>
      <c r="B150" s="21"/>
      <c r="D150" s="8"/>
      <c r="E150" s="8"/>
    </row>
    <row r="151" spans="1:5" ht="20.25" customHeight="1">
      <c r="A151" s="20"/>
      <c r="B151" s="21"/>
      <c r="D151" s="8"/>
      <c r="E151" s="8"/>
    </row>
    <row r="152" spans="1:5" ht="20.25" customHeight="1">
      <c r="A152" s="20"/>
      <c r="B152" s="21"/>
      <c r="D152" s="8"/>
      <c r="E152" s="8"/>
    </row>
    <row r="153" spans="1:5" ht="20.25" customHeight="1">
      <c r="A153" s="20"/>
      <c r="B153" s="21"/>
      <c r="D153" s="8"/>
      <c r="E153" s="8"/>
    </row>
    <row r="154" spans="1:5" ht="20.25" customHeight="1">
      <c r="A154" s="20"/>
      <c r="B154" s="21"/>
      <c r="D154" s="8"/>
      <c r="E154" s="8"/>
    </row>
    <row r="155" spans="1:5" ht="20.25" customHeight="1">
      <c r="A155" s="20"/>
      <c r="B155" s="21"/>
      <c r="D155" s="8"/>
      <c r="E155" s="8"/>
    </row>
    <row r="156" spans="1:5" ht="20.25" customHeight="1">
      <c r="A156" s="20"/>
      <c r="B156" s="21"/>
      <c r="D156" s="8"/>
      <c r="E156" s="8"/>
    </row>
    <row r="157" spans="1:5" ht="20.25" customHeight="1">
      <c r="A157" s="20"/>
      <c r="B157" s="21"/>
      <c r="D157" s="8"/>
      <c r="E157" s="8"/>
    </row>
    <row r="158" spans="1:5" ht="20.25" customHeight="1">
      <c r="A158" s="20"/>
      <c r="B158" s="23"/>
      <c r="D158" s="8"/>
      <c r="E158" s="8"/>
    </row>
    <row r="159" spans="1:5" ht="20.25" customHeight="1">
      <c r="A159" s="20"/>
      <c r="B159" s="23"/>
      <c r="D159" s="8"/>
      <c r="E159" s="8"/>
    </row>
    <row r="160" spans="1:5" ht="20.25" customHeight="1">
      <c r="A160" s="20"/>
      <c r="B160" s="21"/>
      <c r="D160" s="8"/>
      <c r="E160" s="8"/>
    </row>
    <row r="161" spans="1:5" ht="20.25" customHeight="1">
      <c r="A161" s="20"/>
      <c r="B161" s="21"/>
      <c r="D161" s="8"/>
      <c r="E161" s="8"/>
    </row>
    <row r="162" spans="1:5" ht="20.25" customHeight="1">
      <c r="A162" s="20"/>
      <c r="B162" s="21"/>
      <c r="D162" s="8"/>
      <c r="E162" s="8"/>
    </row>
    <row r="163" spans="1:5" ht="20.25" customHeight="1">
      <c r="A163" s="20"/>
      <c r="B163" s="21"/>
      <c r="D163" s="8"/>
      <c r="E163" s="8"/>
    </row>
    <row r="164" spans="1:5" ht="20.25" customHeight="1">
      <c r="A164" s="20"/>
      <c r="B164" s="21"/>
      <c r="D164" s="8"/>
      <c r="E164" s="8"/>
    </row>
    <row r="165" spans="1:5" ht="20.25" customHeight="1">
      <c r="A165" s="20"/>
      <c r="B165" s="21"/>
      <c r="D165" s="8"/>
      <c r="E165" s="8"/>
    </row>
    <row r="166" spans="1:5" ht="20.25" customHeight="1">
      <c r="A166" s="20"/>
      <c r="B166" s="21"/>
      <c r="D166" s="8"/>
      <c r="E166" s="8"/>
    </row>
    <row r="167" spans="1:5" ht="20.25" customHeight="1">
      <c r="A167" s="20"/>
      <c r="B167" s="21"/>
      <c r="D167" s="8"/>
      <c r="E167" s="8"/>
    </row>
    <row r="168" spans="1:5" ht="20.25" customHeight="1">
      <c r="A168" s="20"/>
      <c r="B168" s="21"/>
      <c r="D168" s="8"/>
      <c r="E168" s="8"/>
    </row>
    <row r="169" spans="1:5" ht="20.25" customHeight="1">
      <c r="A169" s="20"/>
      <c r="B169" s="21"/>
      <c r="D169" s="8"/>
      <c r="E169" s="8"/>
    </row>
    <row r="170" spans="1:5" ht="20.25" customHeight="1">
      <c r="A170" s="20"/>
      <c r="B170" s="21"/>
      <c r="D170" s="8"/>
      <c r="E170" s="8"/>
    </row>
    <row r="171" spans="1:5" ht="20.25" customHeight="1">
      <c r="A171" s="20"/>
      <c r="B171" s="21"/>
      <c r="D171" s="8"/>
      <c r="E171" s="8"/>
    </row>
    <row r="172" spans="1:5" ht="20.25" customHeight="1">
      <c r="A172" s="20"/>
      <c r="B172" s="21"/>
      <c r="D172" s="8"/>
      <c r="E172" s="8"/>
    </row>
    <row r="173" spans="1:5" ht="20.25" customHeight="1">
      <c r="A173" s="20"/>
      <c r="B173" s="21"/>
      <c r="D173" s="8"/>
      <c r="E173" s="8"/>
    </row>
    <row r="174" spans="1:5" ht="20.25" customHeight="1">
      <c r="A174" s="20"/>
      <c r="B174" s="21"/>
      <c r="D174" s="8"/>
      <c r="E174" s="8"/>
    </row>
    <row r="175" spans="1:5" ht="20.25" customHeight="1">
      <c r="A175" s="20"/>
      <c r="B175" s="21"/>
      <c r="D175" s="8"/>
      <c r="E175" s="8"/>
    </row>
    <row r="176" spans="1:5" ht="20.25" customHeight="1">
      <c r="A176" s="20"/>
      <c r="B176" s="21"/>
      <c r="D176" s="8"/>
      <c r="E176" s="8"/>
    </row>
    <row r="177" spans="1:5" ht="20.25" customHeight="1">
      <c r="A177" s="20"/>
      <c r="B177" s="21"/>
      <c r="D177" s="8"/>
      <c r="E177" s="8"/>
    </row>
    <row r="178" spans="1:5" ht="20.25" customHeight="1">
      <c r="A178" s="20"/>
      <c r="B178" s="21"/>
      <c r="D178" s="8"/>
      <c r="E178" s="8"/>
    </row>
    <row r="179" spans="1:5" ht="20.25" customHeight="1">
      <c r="A179" s="20"/>
      <c r="B179" s="21"/>
      <c r="D179" s="8"/>
      <c r="E179" s="8"/>
    </row>
    <row r="180" spans="1:5" ht="20.25" customHeight="1">
      <c r="A180" s="20"/>
      <c r="B180" s="21"/>
      <c r="D180" s="8"/>
      <c r="E180" s="8"/>
    </row>
    <row r="181" spans="1:5" ht="20.25" customHeight="1">
      <c r="A181" s="20"/>
      <c r="B181" s="21"/>
      <c r="D181" s="8"/>
      <c r="E181" s="8"/>
    </row>
    <row r="182" spans="1:5" ht="20.25" customHeight="1">
      <c r="A182" s="20"/>
      <c r="B182" s="21"/>
      <c r="D182" s="8"/>
      <c r="E182" s="8"/>
    </row>
    <row r="183" spans="1:5" ht="20.25" customHeight="1">
      <c r="A183" s="20"/>
      <c r="B183" s="21"/>
      <c r="D183" s="8"/>
      <c r="E183" s="8"/>
    </row>
    <row r="184" spans="1:5" ht="20.25" customHeight="1">
      <c r="A184" s="20"/>
      <c r="B184" s="21"/>
      <c r="D184" s="8"/>
      <c r="E184" s="8"/>
    </row>
    <row r="185" spans="1:5" ht="20.25" customHeight="1">
      <c r="A185" s="20"/>
      <c r="B185" s="21"/>
      <c r="D185" s="8"/>
      <c r="E185" s="8"/>
    </row>
    <row r="186" spans="1:5" ht="20.25" customHeight="1">
      <c r="A186" s="20"/>
      <c r="B186" s="21"/>
      <c r="D186" s="8"/>
      <c r="E186" s="8"/>
    </row>
    <row r="187" spans="1:5" ht="20.25" customHeight="1">
      <c r="A187" s="20"/>
      <c r="B187" s="21"/>
      <c r="D187" s="8"/>
      <c r="E187" s="8"/>
    </row>
    <row r="188" spans="1:5" ht="20.25" customHeight="1">
      <c r="A188" s="20"/>
      <c r="B188" s="21"/>
      <c r="D188" s="8"/>
      <c r="E188" s="8"/>
    </row>
    <row r="189" spans="1:5" ht="20.25" customHeight="1">
      <c r="A189" s="20"/>
      <c r="B189" s="21"/>
      <c r="D189" s="8"/>
      <c r="E189" s="8"/>
    </row>
    <row r="190" spans="1:5" ht="20.25" customHeight="1">
      <c r="A190" s="20"/>
      <c r="B190" s="21"/>
      <c r="D190" s="8"/>
      <c r="E190" s="8"/>
    </row>
    <row r="191" spans="1:5" ht="20.25" customHeight="1">
      <c r="A191" s="20"/>
      <c r="B191" s="21"/>
      <c r="D191" s="8"/>
      <c r="E191" s="8"/>
    </row>
    <row r="192" spans="1:5" ht="20.25" customHeight="1">
      <c r="A192" s="20"/>
      <c r="B192" s="21"/>
      <c r="D192" s="8"/>
      <c r="E192" s="8"/>
    </row>
    <row r="193" spans="1:5" ht="20.25" customHeight="1">
      <c r="A193" s="20"/>
      <c r="B193" s="21"/>
      <c r="D193" s="8"/>
      <c r="E193" s="8"/>
    </row>
    <row r="194" spans="1:5" ht="20.25" customHeight="1">
      <c r="A194" s="20"/>
      <c r="B194" s="21"/>
      <c r="D194" s="8"/>
      <c r="E194" s="8"/>
    </row>
    <row r="195" spans="1:5" ht="20.25" customHeight="1">
      <c r="A195" s="20"/>
      <c r="B195" s="21"/>
      <c r="D195" s="8"/>
      <c r="E195" s="8"/>
    </row>
    <row r="196" spans="1:5" ht="20.25" customHeight="1">
      <c r="A196" s="20"/>
      <c r="B196" s="21"/>
      <c r="D196" s="8"/>
      <c r="E196" s="8"/>
    </row>
    <row r="197" spans="1:5" ht="20.25" customHeight="1">
      <c r="A197" s="20"/>
      <c r="B197" s="21"/>
      <c r="D197" s="8"/>
      <c r="E197" s="8"/>
    </row>
    <row r="198" spans="1:5" ht="20.25" customHeight="1">
      <c r="A198" s="20"/>
      <c r="B198" s="21"/>
      <c r="D198" s="8"/>
      <c r="E198" s="8"/>
    </row>
    <row r="199" spans="1:5" ht="20.25" customHeight="1">
      <c r="A199" s="20"/>
      <c r="B199" s="21"/>
      <c r="D199" s="8"/>
      <c r="E199" s="8"/>
    </row>
    <row r="200" spans="1:5" ht="20.25" customHeight="1">
      <c r="A200" s="20"/>
      <c r="B200" s="21"/>
      <c r="D200" s="8"/>
      <c r="E200" s="8"/>
    </row>
    <row r="201" spans="1:5" ht="20.25" customHeight="1">
      <c r="A201" s="20"/>
      <c r="B201" s="21"/>
      <c r="D201" s="8"/>
      <c r="E201" s="8"/>
    </row>
    <row r="202" spans="1:5" ht="20.25" customHeight="1">
      <c r="A202" s="20"/>
      <c r="B202" s="21"/>
      <c r="D202" s="8"/>
      <c r="E202" s="8"/>
    </row>
    <row r="203" spans="1:5" ht="20.25" customHeight="1">
      <c r="A203" s="20"/>
      <c r="B203" s="21"/>
      <c r="D203" s="8"/>
      <c r="E203" s="8"/>
    </row>
    <row r="204" spans="1:5" ht="20.25" customHeight="1">
      <c r="A204" s="20"/>
      <c r="B204" s="21"/>
      <c r="D204" s="8"/>
      <c r="E204" s="8"/>
    </row>
    <row r="205" spans="1:5" ht="20.25" customHeight="1">
      <c r="A205" s="20"/>
      <c r="B205" s="21"/>
      <c r="D205" s="8"/>
      <c r="E205" s="8"/>
    </row>
    <row r="206" spans="1:5" ht="20.25" customHeight="1">
      <c r="A206" s="20"/>
      <c r="B206" s="21"/>
      <c r="D206" s="8"/>
      <c r="E206" s="8"/>
    </row>
    <row r="207" spans="1:5" ht="20.25" customHeight="1">
      <c r="A207" s="20"/>
      <c r="B207" s="21"/>
      <c r="D207" s="8"/>
      <c r="E207" s="8"/>
    </row>
    <row r="208" spans="1:5" ht="20.25" customHeight="1">
      <c r="A208" s="20"/>
      <c r="B208" s="21"/>
      <c r="D208" s="8"/>
      <c r="E208" s="8"/>
    </row>
    <row r="209" spans="1:5" ht="20.25" customHeight="1">
      <c r="A209" s="20"/>
      <c r="B209" s="21"/>
      <c r="D209" s="8"/>
      <c r="E209" s="8"/>
    </row>
    <row r="210" spans="1:5" ht="20.25" customHeight="1">
      <c r="A210" s="20"/>
      <c r="B210" s="21"/>
      <c r="D210" s="8"/>
      <c r="E210" s="8"/>
    </row>
    <row r="211" spans="1:5" ht="20.25" customHeight="1">
      <c r="A211" s="20"/>
      <c r="B211" s="21"/>
      <c r="D211" s="8"/>
      <c r="E211" s="8"/>
    </row>
    <row r="212" spans="1:5" ht="20.25" customHeight="1">
      <c r="A212" s="20"/>
      <c r="B212" s="21"/>
      <c r="D212" s="8"/>
      <c r="E212" s="8"/>
    </row>
    <row r="213" spans="1:5" ht="20.25" customHeight="1">
      <c r="A213" s="20"/>
      <c r="B213" s="21"/>
      <c r="D213" s="8"/>
      <c r="E213" s="8"/>
    </row>
    <row r="214" spans="1:5" ht="20.25" customHeight="1">
      <c r="A214" s="20"/>
      <c r="B214" s="21"/>
      <c r="D214" s="8"/>
      <c r="E214" s="8"/>
    </row>
    <row r="215" spans="1:5" ht="20.25" customHeight="1">
      <c r="A215" s="20"/>
      <c r="B215" s="21"/>
      <c r="D215" s="8"/>
      <c r="E215" s="8"/>
    </row>
    <row r="216" spans="1:5" ht="20.25" customHeight="1">
      <c r="A216" s="20"/>
      <c r="B216" s="21"/>
      <c r="D216" s="8"/>
      <c r="E216" s="8"/>
    </row>
    <row r="217" spans="1:5" ht="20.25" customHeight="1">
      <c r="A217" s="20"/>
      <c r="B217" s="21"/>
      <c r="D217" s="8"/>
      <c r="E217" s="8"/>
    </row>
    <row r="218" spans="1:5" ht="20.25" customHeight="1">
      <c r="A218" s="20"/>
      <c r="B218" s="21"/>
      <c r="D218" s="8"/>
      <c r="E218" s="8"/>
    </row>
    <row r="219" spans="1:5" ht="20.25" customHeight="1">
      <c r="A219" s="20"/>
      <c r="B219" s="21"/>
      <c r="D219" s="8"/>
      <c r="E219" s="8"/>
    </row>
    <row r="220" spans="1:5" ht="20.25" customHeight="1">
      <c r="A220" s="20"/>
      <c r="B220" s="21"/>
      <c r="D220" s="8"/>
      <c r="E220" s="8"/>
    </row>
    <row r="221" spans="1:5" ht="20.25" customHeight="1">
      <c r="A221" s="20"/>
      <c r="B221" s="21"/>
      <c r="D221" s="8"/>
      <c r="E221" s="8"/>
    </row>
    <row r="222" spans="1:5" ht="20.25" customHeight="1">
      <c r="A222" s="20"/>
      <c r="B222" s="21"/>
      <c r="D222" s="8"/>
      <c r="E222" s="8"/>
    </row>
    <row r="223" spans="1:5" ht="20.25" customHeight="1">
      <c r="A223" s="20"/>
      <c r="B223" s="21"/>
      <c r="D223" s="8"/>
      <c r="E223" s="8"/>
    </row>
    <row r="224" spans="1:5" ht="20.25" customHeight="1">
      <c r="A224" s="20"/>
      <c r="B224" s="21"/>
      <c r="D224" s="8"/>
      <c r="E224" s="8"/>
    </row>
    <row r="225" spans="1:5" ht="20.25" customHeight="1">
      <c r="A225" s="20"/>
      <c r="B225" s="21"/>
      <c r="D225" s="8"/>
      <c r="E225" s="8"/>
    </row>
    <row r="226" spans="1:5" ht="20.25" customHeight="1">
      <c r="A226" s="20"/>
      <c r="B226" s="21"/>
      <c r="D226" s="8"/>
      <c r="E226" s="8"/>
    </row>
    <row r="227" spans="1:5" ht="20.25" customHeight="1">
      <c r="A227" s="20"/>
      <c r="B227" s="21"/>
      <c r="D227" s="8"/>
      <c r="E227" s="8"/>
    </row>
    <row r="228" spans="1:5" ht="20.25" customHeight="1">
      <c r="A228" s="20"/>
      <c r="B228" s="21"/>
      <c r="D228" s="8"/>
      <c r="E228" s="8"/>
    </row>
    <row r="229" spans="1:5" ht="20.25" customHeight="1">
      <c r="A229" s="20"/>
      <c r="B229" s="21"/>
      <c r="D229" s="8"/>
      <c r="E229" s="8"/>
    </row>
    <row r="230" spans="1:5" ht="20.25" customHeight="1">
      <c r="A230" s="20"/>
      <c r="B230" s="21"/>
      <c r="D230" s="8"/>
      <c r="E230" s="8"/>
    </row>
    <row r="231" spans="1:5" ht="20.25" customHeight="1">
      <c r="A231" s="20"/>
      <c r="B231" s="21"/>
      <c r="D231" s="8"/>
      <c r="E231" s="8"/>
    </row>
    <row r="232" spans="1:5" ht="20.25" customHeight="1">
      <c r="A232" s="20"/>
      <c r="B232" s="21"/>
      <c r="D232" s="8"/>
      <c r="E232" s="8"/>
    </row>
    <row r="233" spans="1:5" ht="20.25" customHeight="1">
      <c r="A233" s="20"/>
      <c r="B233" s="21"/>
      <c r="D233" s="8"/>
      <c r="E233" s="8"/>
    </row>
    <row r="234" spans="1:5" ht="20.25" customHeight="1">
      <c r="A234" s="20"/>
      <c r="B234" s="21"/>
      <c r="D234" s="8"/>
      <c r="E234" s="8"/>
    </row>
    <row r="235" spans="1:5" ht="20.25" customHeight="1">
      <c r="A235" s="20"/>
      <c r="B235" s="21"/>
      <c r="D235" s="8"/>
      <c r="E235" s="8"/>
    </row>
    <row r="236" spans="1:5" ht="20.25" customHeight="1">
      <c r="A236" s="20"/>
      <c r="B236" s="21"/>
      <c r="D236" s="8"/>
      <c r="E236" s="8"/>
    </row>
    <row r="237" spans="1:5" ht="20.25" customHeight="1">
      <c r="A237" s="20"/>
      <c r="B237" s="21"/>
      <c r="D237" s="8"/>
      <c r="E237" s="8"/>
    </row>
    <row r="238" spans="1:5" ht="20.25" customHeight="1">
      <c r="A238" s="20"/>
      <c r="B238" s="21"/>
      <c r="D238" s="8"/>
      <c r="E238" s="8"/>
    </row>
    <row r="239" spans="1:5" ht="20.25" customHeight="1">
      <c r="A239" s="20"/>
      <c r="B239" s="21"/>
      <c r="D239" s="8"/>
      <c r="E239" s="8"/>
    </row>
    <row r="240" spans="1:5" ht="20.25" customHeight="1">
      <c r="A240" s="20"/>
      <c r="B240" s="21"/>
      <c r="D240" s="8"/>
      <c r="E240" s="8"/>
    </row>
    <row r="241" spans="1:5" ht="20.25" customHeight="1">
      <c r="A241" s="20"/>
      <c r="B241" s="21"/>
      <c r="D241" s="8"/>
      <c r="E241" s="8"/>
    </row>
    <row r="242" spans="1:5" ht="20.25" customHeight="1">
      <c r="A242" s="20"/>
      <c r="B242" s="21"/>
      <c r="D242" s="8"/>
      <c r="E242" s="8"/>
    </row>
    <row r="243" spans="1:5" ht="20.25" customHeight="1">
      <c r="A243" s="20"/>
      <c r="B243" s="21"/>
      <c r="D243" s="8"/>
      <c r="E243" s="8"/>
    </row>
    <row r="244" spans="1:5" ht="20.25" customHeight="1">
      <c r="A244" s="20"/>
      <c r="B244" s="21"/>
      <c r="D244" s="8"/>
      <c r="E244" s="8"/>
    </row>
    <row r="245" spans="1:5" ht="20.25" customHeight="1">
      <c r="A245" s="20"/>
      <c r="B245" s="21"/>
      <c r="D245" s="8"/>
      <c r="E245" s="8"/>
    </row>
    <row r="246" spans="1:5" ht="20.25" customHeight="1">
      <c r="A246" s="20"/>
      <c r="B246" s="21"/>
      <c r="D246" s="8"/>
      <c r="E246" s="8"/>
    </row>
    <row r="247" spans="1:5" ht="20.25" customHeight="1">
      <c r="A247" s="20"/>
      <c r="B247" s="21"/>
      <c r="D247" s="8"/>
      <c r="E247" s="8"/>
    </row>
    <row r="248" spans="1:5" ht="20.25" customHeight="1">
      <c r="A248" s="20"/>
      <c r="B248" s="21"/>
      <c r="D248" s="8"/>
      <c r="E248" s="8"/>
    </row>
    <row r="249" spans="1:5" ht="20.25" customHeight="1">
      <c r="A249" s="20"/>
      <c r="B249" s="21"/>
      <c r="D249" s="8"/>
      <c r="E249" s="8"/>
    </row>
    <row r="250" spans="1:5" ht="20.25" customHeight="1">
      <c r="A250" s="20"/>
      <c r="B250" s="21"/>
      <c r="D250" s="8"/>
      <c r="E250" s="8"/>
    </row>
    <row r="251" spans="1:5" ht="20.25" customHeight="1">
      <c r="A251" s="20"/>
      <c r="B251" s="21"/>
      <c r="D251" s="8"/>
      <c r="E251" s="8"/>
    </row>
    <row r="252" spans="1:5" ht="20.25" customHeight="1">
      <c r="A252" s="20"/>
      <c r="B252" s="21"/>
      <c r="D252" s="8"/>
      <c r="E252" s="8"/>
    </row>
    <row r="253" spans="1:5" ht="20.25" customHeight="1">
      <c r="A253" s="20"/>
      <c r="B253" s="21"/>
      <c r="D253" s="8"/>
      <c r="E253" s="8"/>
    </row>
    <row r="254" spans="1:5" ht="20.25" customHeight="1">
      <c r="A254" s="20"/>
      <c r="B254" s="21"/>
      <c r="D254" s="8"/>
      <c r="E254" s="8"/>
    </row>
    <row r="255" spans="1:5" ht="20.25" customHeight="1">
      <c r="A255" s="20"/>
      <c r="B255" s="21"/>
      <c r="D255" s="8"/>
      <c r="E255" s="8"/>
    </row>
    <row r="256" spans="1:5" ht="20.25" customHeight="1">
      <c r="A256" s="20"/>
      <c r="B256" s="21"/>
      <c r="D256" s="8"/>
      <c r="E256" s="8"/>
    </row>
    <row r="257" spans="1:5" ht="20.25" customHeight="1">
      <c r="A257" s="20"/>
      <c r="B257" s="21"/>
      <c r="D257" s="8"/>
      <c r="E257" s="8"/>
    </row>
    <row r="258" spans="1:5" ht="20.25" customHeight="1">
      <c r="A258" s="20"/>
      <c r="B258" s="21"/>
      <c r="D258" s="8"/>
      <c r="E258" s="8"/>
    </row>
    <row r="259" spans="1:5" ht="20.25" customHeight="1">
      <c r="A259" s="20"/>
      <c r="B259" s="21"/>
      <c r="D259" s="8"/>
      <c r="E259" s="8"/>
    </row>
    <row r="260" spans="1:5" ht="20.25" customHeight="1">
      <c r="A260" s="20"/>
      <c r="B260" s="21"/>
      <c r="D260" s="8"/>
      <c r="E260" s="8"/>
    </row>
    <row r="261" spans="1:5" ht="20.25" customHeight="1">
      <c r="A261" s="20"/>
      <c r="B261" s="21"/>
      <c r="D261" s="8"/>
      <c r="E261" s="8"/>
    </row>
    <row r="262" spans="1:5" ht="20.25" customHeight="1">
      <c r="A262" s="20"/>
      <c r="B262" s="21"/>
      <c r="D262" s="8"/>
      <c r="E262" s="8"/>
    </row>
    <row r="263" spans="1:5" ht="20.25" customHeight="1">
      <c r="A263" s="20"/>
      <c r="B263" s="21"/>
      <c r="D263" s="8"/>
      <c r="E263" s="8"/>
    </row>
    <row r="264" spans="1:5" ht="20.25" customHeight="1">
      <c r="A264" s="20"/>
      <c r="B264" s="21"/>
      <c r="D264" s="8"/>
      <c r="E264" s="8"/>
    </row>
    <row r="265" spans="1:5" ht="20.25" customHeight="1">
      <c r="A265" s="20"/>
      <c r="B265" s="21"/>
      <c r="D265" s="8"/>
      <c r="E265" s="8"/>
    </row>
    <row r="266" spans="1:5" ht="20.25" customHeight="1">
      <c r="A266" s="20"/>
      <c r="B266" s="21"/>
      <c r="D266" s="8"/>
      <c r="E266" s="8"/>
    </row>
    <row r="267" spans="1:5" ht="20.25" customHeight="1">
      <c r="A267" s="20"/>
      <c r="B267" s="21"/>
      <c r="D267" s="8"/>
      <c r="E267" s="8"/>
    </row>
    <row r="268" spans="1:5" ht="20.25" customHeight="1">
      <c r="A268" s="20"/>
      <c r="B268" s="21"/>
      <c r="D268" s="8"/>
      <c r="E268" s="8"/>
    </row>
    <row r="269" spans="1:5" ht="20.25" customHeight="1">
      <c r="A269" s="20"/>
      <c r="B269" s="21"/>
      <c r="D269" s="8"/>
      <c r="E269" s="8"/>
    </row>
    <row r="270" spans="1:5" ht="20.25" customHeight="1">
      <c r="A270" s="20"/>
      <c r="B270" s="21"/>
      <c r="D270" s="8"/>
      <c r="E270" s="8"/>
    </row>
    <row r="271" spans="1:5" ht="20.25" customHeight="1">
      <c r="A271" s="20"/>
      <c r="B271" s="21"/>
      <c r="D271" s="8"/>
      <c r="E271" s="8"/>
    </row>
    <row r="272" spans="1:5" ht="20.25" customHeight="1">
      <c r="A272" s="20"/>
      <c r="B272" s="21"/>
      <c r="D272" s="8"/>
      <c r="E272" s="8"/>
    </row>
    <row r="273" spans="1:5" ht="20.25" customHeight="1">
      <c r="A273" s="20"/>
      <c r="B273" s="21"/>
      <c r="D273" s="8"/>
      <c r="E273" s="8"/>
    </row>
    <row r="274" spans="1:5" ht="20.25" customHeight="1">
      <c r="A274" s="20"/>
      <c r="B274" s="21"/>
      <c r="D274" s="8"/>
      <c r="E274" s="8"/>
    </row>
    <row r="275" spans="1:5" ht="20.25" customHeight="1">
      <c r="A275" s="20"/>
      <c r="B275" s="21"/>
      <c r="D275" s="8"/>
      <c r="E275" s="8"/>
    </row>
    <row r="276" spans="1:5" ht="20.25" customHeight="1">
      <c r="A276" s="20"/>
      <c r="B276" s="21"/>
      <c r="D276" s="8"/>
      <c r="E276" s="8"/>
    </row>
    <row r="277" spans="1:5" ht="20.25" customHeight="1">
      <c r="A277" s="20"/>
      <c r="B277" s="21"/>
      <c r="D277" s="8"/>
      <c r="E277" s="8"/>
    </row>
    <row r="278" spans="1:5" ht="20.25" customHeight="1">
      <c r="A278" s="20"/>
      <c r="B278" s="21"/>
      <c r="D278" s="8"/>
      <c r="E278" s="8"/>
    </row>
    <row r="279" spans="1:5" ht="20.25" customHeight="1">
      <c r="A279" s="20"/>
      <c r="B279" s="21"/>
      <c r="D279" s="8"/>
      <c r="E279" s="8"/>
    </row>
    <row r="280" spans="1:5" ht="20.25" customHeight="1">
      <c r="A280" s="20"/>
      <c r="B280" s="21"/>
      <c r="D280" s="8"/>
      <c r="E280" s="8"/>
    </row>
    <row r="281" spans="1:5" ht="20.25" customHeight="1">
      <c r="A281" s="20"/>
      <c r="B281" s="21"/>
      <c r="D281" s="8"/>
      <c r="E281" s="8"/>
    </row>
    <row r="282" spans="1:5" ht="20.25" customHeight="1">
      <c r="A282" s="20"/>
      <c r="B282" s="21"/>
      <c r="D282" s="8"/>
      <c r="E282" s="8"/>
    </row>
    <row r="283" spans="1:5" ht="20.25" customHeight="1">
      <c r="A283" s="20"/>
      <c r="B283" s="21"/>
      <c r="D283" s="8"/>
      <c r="E283" s="8"/>
    </row>
    <row r="284" spans="1:5" ht="20.25" customHeight="1">
      <c r="A284" s="20"/>
      <c r="B284" s="21"/>
      <c r="D284" s="8"/>
      <c r="E284" s="8"/>
    </row>
    <row r="285" spans="1:5" ht="20.25" customHeight="1">
      <c r="A285" s="20"/>
      <c r="B285" s="21"/>
      <c r="D285" s="8"/>
      <c r="E285" s="8"/>
    </row>
    <row r="286" spans="1:5" ht="20.25" customHeight="1">
      <c r="A286" s="20"/>
      <c r="B286" s="21"/>
      <c r="D286" s="8"/>
      <c r="E286" s="8"/>
    </row>
    <row r="287" spans="1:5" ht="20.25" customHeight="1">
      <c r="A287" s="20"/>
      <c r="B287" s="21"/>
      <c r="D287" s="8"/>
      <c r="E287" s="8"/>
    </row>
    <row r="288" spans="1:5" ht="20.25" customHeight="1">
      <c r="A288" s="20"/>
      <c r="B288" s="21"/>
      <c r="D288" s="8"/>
      <c r="E288" s="8"/>
    </row>
    <row r="289" spans="1:5" ht="20.25" customHeight="1">
      <c r="A289" s="20"/>
      <c r="B289" s="21"/>
      <c r="D289" s="8"/>
      <c r="E289" s="8"/>
    </row>
    <row r="290" spans="1:5" ht="20.25" customHeight="1">
      <c r="A290" s="20"/>
      <c r="B290" s="21"/>
      <c r="D290" s="8"/>
      <c r="E290" s="8"/>
    </row>
    <row r="291" spans="1:5" ht="20.25" customHeight="1">
      <c r="A291" s="20"/>
      <c r="B291" s="21"/>
      <c r="D291" s="8"/>
      <c r="E291" s="8"/>
    </row>
    <row r="292" spans="1:5" ht="20.25" customHeight="1">
      <c r="A292" s="20"/>
      <c r="B292" s="21"/>
      <c r="D292" s="8"/>
      <c r="E292" s="8"/>
    </row>
    <row r="293" spans="1:5" ht="20.25" customHeight="1">
      <c r="A293" s="20"/>
      <c r="B293" s="21"/>
      <c r="D293" s="8"/>
      <c r="E293" s="8"/>
    </row>
    <row r="294" spans="1:5" ht="20.25" customHeight="1">
      <c r="A294" s="20"/>
      <c r="B294" s="21"/>
      <c r="D294" s="8"/>
      <c r="E294" s="8"/>
    </row>
    <row r="295" spans="1:5" ht="20.25" customHeight="1">
      <c r="A295" s="20"/>
      <c r="B295" s="21"/>
      <c r="D295" s="8"/>
      <c r="E295" s="8"/>
    </row>
    <row r="296" spans="1:5" ht="20.25" customHeight="1">
      <c r="A296" s="20"/>
      <c r="B296" s="21"/>
      <c r="D296" s="8"/>
      <c r="E296" s="8"/>
    </row>
    <row r="297" spans="1:5" ht="20.25" customHeight="1">
      <c r="A297" s="20"/>
      <c r="B297" s="21"/>
      <c r="D297" s="8"/>
      <c r="E297" s="8"/>
    </row>
    <row r="298" spans="1:5" ht="20.25" customHeight="1">
      <c r="A298" s="20"/>
      <c r="B298" s="21"/>
      <c r="D298" s="8"/>
      <c r="E298" s="8"/>
    </row>
    <row r="299" spans="1:5" ht="20.25" customHeight="1">
      <c r="A299" s="20"/>
      <c r="B299" s="21"/>
      <c r="D299" s="8"/>
      <c r="E299" s="8"/>
    </row>
    <row r="300" spans="1:5" ht="20.25" customHeight="1">
      <c r="A300" s="20"/>
      <c r="B300" s="21"/>
      <c r="D300" s="8"/>
      <c r="E300" s="8"/>
    </row>
    <row r="301" spans="1:5" ht="20.25" customHeight="1">
      <c r="A301" s="20"/>
      <c r="B301" s="21"/>
      <c r="D301" s="8"/>
      <c r="E301" s="8"/>
    </row>
    <row r="302" spans="1:5" ht="20.25" customHeight="1">
      <c r="A302" s="20"/>
      <c r="B302" s="21"/>
      <c r="D302" s="8"/>
      <c r="E302" s="8"/>
    </row>
    <row r="303" spans="1:5" ht="20.25" customHeight="1">
      <c r="A303" s="20"/>
      <c r="B303" s="21"/>
      <c r="D303" s="8"/>
      <c r="E303" s="8"/>
    </row>
    <row r="304" spans="1:5" ht="20.25" customHeight="1">
      <c r="A304" s="20"/>
      <c r="B304" s="21"/>
      <c r="D304" s="8"/>
      <c r="E304" s="8"/>
    </row>
    <row r="305" spans="1:5" ht="20.25" customHeight="1">
      <c r="A305" s="20"/>
      <c r="B305" s="21"/>
      <c r="D305" s="8"/>
      <c r="E305" s="8"/>
    </row>
    <row r="306" spans="1:5" ht="20.25" customHeight="1">
      <c r="A306" s="20"/>
      <c r="B306" s="21"/>
      <c r="D306" s="8"/>
      <c r="E306" s="8"/>
    </row>
    <row r="307" spans="1:5" ht="20.25" customHeight="1">
      <c r="A307" s="20"/>
      <c r="B307" s="21"/>
      <c r="D307" s="8"/>
      <c r="E307" s="8"/>
    </row>
    <row r="308" spans="1:5" ht="20.25" customHeight="1">
      <c r="A308" s="20"/>
      <c r="B308" s="21"/>
      <c r="D308" s="8"/>
      <c r="E308" s="8"/>
    </row>
    <row r="309" spans="1:5" ht="20.25" customHeight="1">
      <c r="A309" s="20"/>
      <c r="B309" s="21"/>
      <c r="D309" s="8"/>
      <c r="E309" s="8"/>
    </row>
    <row r="310" spans="1:5" ht="20.25" customHeight="1">
      <c r="A310" s="20"/>
      <c r="B310" s="21"/>
      <c r="D310" s="8"/>
      <c r="E310" s="8"/>
    </row>
    <row r="311" spans="1:5" ht="20.25" customHeight="1">
      <c r="A311" s="20"/>
      <c r="B311" s="21"/>
      <c r="D311" s="8"/>
      <c r="E311" s="8"/>
    </row>
    <row r="312" spans="1:5" ht="20.25" customHeight="1">
      <c r="A312" s="20"/>
      <c r="B312" s="21"/>
      <c r="D312" s="8"/>
      <c r="E312" s="8"/>
    </row>
    <row r="313" spans="1:5" ht="20.25" customHeight="1">
      <c r="A313" s="20"/>
      <c r="B313" s="21"/>
      <c r="D313" s="8"/>
      <c r="E313" s="8"/>
    </row>
    <row r="314" spans="1:5" ht="20.25" customHeight="1">
      <c r="A314" s="20"/>
      <c r="B314" s="21"/>
      <c r="D314" s="8"/>
      <c r="E314" s="8"/>
    </row>
    <row r="315" spans="1:5" ht="20.25" customHeight="1">
      <c r="A315" s="20"/>
      <c r="B315" s="21"/>
      <c r="D315" s="8"/>
      <c r="E315" s="8"/>
    </row>
    <row r="316" spans="1:5" ht="20.25" customHeight="1">
      <c r="A316" s="20"/>
      <c r="B316" s="21"/>
      <c r="D316" s="8"/>
      <c r="E316" s="8"/>
    </row>
    <row r="317" spans="1:5" ht="20.25" customHeight="1">
      <c r="A317" s="20"/>
      <c r="B317" s="21"/>
      <c r="D317" s="8"/>
      <c r="E317" s="8"/>
    </row>
    <row r="318" spans="1:5" ht="20.25" customHeight="1">
      <c r="A318" s="20"/>
      <c r="B318" s="21"/>
      <c r="D318" s="8"/>
      <c r="E318" s="8"/>
    </row>
    <row r="319" spans="1:5" ht="20.25" customHeight="1">
      <c r="A319" s="20"/>
      <c r="B319" s="21"/>
      <c r="D319" s="8"/>
      <c r="E319" s="8"/>
    </row>
    <row r="320" spans="1:5" ht="20.25" customHeight="1">
      <c r="A320" s="20"/>
      <c r="B320" s="21"/>
      <c r="D320" s="8"/>
      <c r="E320" s="8"/>
    </row>
    <row r="321" spans="1:5" ht="20.25" customHeight="1">
      <c r="A321" s="20"/>
      <c r="B321" s="21"/>
      <c r="D321" s="8"/>
      <c r="E321" s="8"/>
    </row>
    <row r="322" spans="1:5" ht="20.25" customHeight="1">
      <c r="A322" s="20"/>
      <c r="B322" s="21"/>
      <c r="D322" s="8"/>
      <c r="E322" s="8"/>
    </row>
    <row r="323" spans="1:5" ht="20.25" customHeight="1">
      <c r="A323" s="20"/>
      <c r="B323" s="21"/>
      <c r="D323" s="8"/>
      <c r="E323" s="8"/>
    </row>
    <row r="324" spans="1:5" ht="20.25" customHeight="1">
      <c r="A324" s="20"/>
      <c r="B324" s="21"/>
      <c r="D324" s="8"/>
      <c r="E324" s="8"/>
    </row>
    <row r="325" spans="1:5" ht="20.25" customHeight="1">
      <c r="A325" s="20"/>
      <c r="B325" s="21"/>
      <c r="D325" s="8"/>
      <c r="E325" s="8"/>
    </row>
    <row r="326" spans="1:5" ht="20.25" customHeight="1">
      <c r="A326" s="20"/>
      <c r="B326" s="21"/>
      <c r="D326" s="8"/>
      <c r="E326" s="8"/>
    </row>
    <row r="327" spans="1:5" ht="20.25" customHeight="1">
      <c r="A327" s="20"/>
      <c r="B327" s="21"/>
      <c r="D327" s="8"/>
      <c r="E327" s="8"/>
    </row>
    <row r="328" spans="1:5" ht="20.25" customHeight="1">
      <c r="A328" s="20"/>
      <c r="B328" s="21"/>
      <c r="D328" s="8"/>
      <c r="E328" s="8"/>
    </row>
    <row r="329" spans="1:5" ht="20.25" customHeight="1">
      <c r="A329" s="20"/>
      <c r="B329" s="21"/>
      <c r="D329" s="8"/>
      <c r="E329" s="8"/>
    </row>
    <row r="330" spans="1:5" ht="20.25" customHeight="1">
      <c r="A330" s="20"/>
      <c r="B330" s="21"/>
      <c r="D330" s="8"/>
      <c r="E330" s="8"/>
    </row>
    <row r="331" spans="1:5" ht="20.25" customHeight="1">
      <c r="A331" s="20"/>
      <c r="B331" s="21"/>
      <c r="D331" s="8"/>
      <c r="E331" s="8"/>
    </row>
    <row r="332" spans="1:5" ht="20.25" customHeight="1">
      <c r="A332" s="20"/>
      <c r="B332" s="21"/>
      <c r="D332" s="8"/>
      <c r="E332" s="8"/>
    </row>
    <row r="333" spans="1:5" ht="20.25" customHeight="1">
      <c r="A333" s="20"/>
      <c r="B333" s="21"/>
      <c r="D333" s="8"/>
      <c r="E333" s="8"/>
    </row>
    <row r="334" spans="1:5" ht="20.25" customHeight="1">
      <c r="A334" s="20"/>
      <c r="B334" s="21"/>
      <c r="D334" s="8"/>
      <c r="E334" s="8"/>
    </row>
    <row r="335" spans="1:5" ht="20.25" customHeight="1">
      <c r="A335" s="20"/>
      <c r="B335" s="21"/>
      <c r="D335" s="8"/>
      <c r="E335" s="8"/>
    </row>
    <row r="336" spans="1:5" ht="20.25" customHeight="1">
      <c r="A336" s="20"/>
      <c r="B336" s="21"/>
      <c r="D336" s="8"/>
      <c r="E336" s="8"/>
    </row>
    <row r="337" spans="1:5" ht="20.25" customHeight="1">
      <c r="A337" s="20"/>
      <c r="B337" s="21"/>
      <c r="D337" s="8"/>
      <c r="E337" s="8"/>
    </row>
    <row r="338" spans="1:5" ht="20.25" customHeight="1">
      <c r="A338" s="20"/>
      <c r="B338" s="21"/>
      <c r="D338" s="8"/>
      <c r="E338" s="8"/>
    </row>
    <row r="339" spans="1:5" ht="20.25" customHeight="1">
      <c r="A339" s="20"/>
      <c r="B339" s="21"/>
      <c r="D339" s="8"/>
      <c r="E339" s="8"/>
    </row>
    <row r="340" spans="1:5" ht="20.25" customHeight="1">
      <c r="A340" s="20"/>
      <c r="B340" s="21"/>
      <c r="D340" s="8"/>
      <c r="E340" s="8"/>
    </row>
    <row r="341" spans="1:5" ht="20.25" customHeight="1">
      <c r="A341" s="20"/>
      <c r="B341" s="21"/>
      <c r="D341" s="8"/>
      <c r="E341" s="8"/>
    </row>
    <row r="342" spans="1:5" ht="20.25" customHeight="1">
      <c r="A342" s="20"/>
      <c r="B342" s="21"/>
      <c r="D342" s="8"/>
      <c r="E342" s="8"/>
    </row>
    <row r="343" spans="1:5" ht="20.25" customHeight="1">
      <c r="A343" s="20"/>
      <c r="B343" s="21"/>
      <c r="D343" s="8"/>
      <c r="E343" s="8"/>
    </row>
    <row r="344" spans="1:5" ht="20.25" customHeight="1">
      <c r="A344" s="20"/>
      <c r="B344" s="21"/>
      <c r="D344" s="8"/>
      <c r="E344" s="8"/>
    </row>
    <row r="345" spans="1:5" ht="20.25" customHeight="1">
      <c r="A345" s="20"/>
      <c r="B345" s="21"/>
      <c r="D345" s="8"/>
      <c r="E345" s="8"/>
    </row>
    <row r="346" spans="1:5" ht="20.25" customHeight="1">
      <c r="A346" s="20"/>
      <c r="B346" s="21"/>
      <c r="D346" s="8"/>
      <c r="E346" s="8"/>
    </row>
    <row r="347" spans="1:5" ht="20.25" customHeight="1">
      <c r="A347" s="20"/>
      <c r="B347" s="21"/>
      <c r="D347" s="8"/>
      <c r="E347" s="8"/>
    </row>
    <row r="348" spans="1:5" ht="20.25" customHeight="1">
      <c r="A348" s="20"/>
      <c r="B348" s="21"/>
      <c r="D348" s="8"/>
      <c r="E348" s="8"/>
    </row>
    <row r="349" spans="1:5" ht="20.25" customHeight="1">
      <c r="A349" s="20"/>
      <c r="B349" s="21"/>
      <c r="D349" s="8"/>
      <c r="E349" s="8"/>
    </row>
    <row r="350" spans="1:5" ht="20.25" customHeight="1">
      <c r="A350" s="20"/>
      <c r="B350" s="21"/>
      <c r="D350" s="8"/>
      <c r="E350" s="8"/>
    </row>
    <row r="351" spans="1:5" ht="20.25" customHeight="1">
      <c r="A351" s="20"/>
      <c r="B351" s="21"/>
      <c r="D351" s="8"/>
      <c r="E351" s="8"/>
    </row>
    <row r="352" spans="1:5" ht="20.25" customHeight="1">
      <c r="A352" s="20"/>
      <c r="B352" s="21"/>
      <c r="D352" s="8"/>
      <c r="E352" s="8"/>
    </row>
    <row r="353" spans="1:5" ht="20.25" customHeight="1">
      <c r="A353" s="20"/>
      <c r="B353" s="21"/>
      <c r="D353" s="8"/>
      <c r="E353" s="8"/>
    </row>
    <row r="354" spans="1:5" ht="20.25" customHeight="1">
      <c r="A354" s="20"/>
      <c r="B354" s="21"/>
      <c r="D354" s="8"/>
      <c r="E354" s="8"/>
    </row>
    <row r="355" spans="1:5" ht="20.25" customHeight="1">
      <c r="A355" s="20"/>
      <c r="B355" s="21"/>
      <c r="D355" s="8"/>
      <c r="E355" s="8"/>
    </row>
    <row r="356" spans="1:5" ht="20.25" customHeight="1">
      <c r="A356" s="20"/>
      <c r="B356" s="21"/>
      <c r="D356" s="8"/>
      <c r="E356" s="8"/>
    </row>
    <row r="357" spans="1:5" ht="20.25" customHeight="1">
      <c r="A357" s="20"/>
      <c r="B357" s="21"/>
      <c r="D357" s="8"/>
      <c r="E357" s="8"/>
    </row>
    <row r="358" spans="1:5" ht="20.25" customHeight="1">
      <c r="A358" s="20"/>
      <c r="B358" s="21"/>
      <c r="D358" s="8"/>
      <c r="E358" s="8"/>
    </row>
    <row r="359" spans="1:5" ht="20.25" customHeight="1">
      <c r="A359" s="20"/>
      <c r="B359" s="21"/>
      <c r="D359" s="8"/>
      <c r="E359" s="8"/>
    </row>
    <row r="360" spans="1:5" ht="20.25" customHeight="1">
      <c r="A360" s="20"/>
      <c r="B360" s="21"/>
      <c r="D360" s="8"/>
      <c r="E360" s="8"/>
    </row>
    <row r="361" spans="1:5" ht="20.25" customHeight="1">
      <c r="A361" s="20"/>
      <c r="B361" s="21"/>
      <c r="D361" s="8"/>
      <c r="E361" s="8"/>
    </row>
    <row r="362" spans="1:5" ht="20.25" customHeight="1">
      <c r="A362" s="20"/>
      <c r="B362" s="21"/>
      <c r="D362" s="8"/>
      <c r="E362" s="8"/>
    </row>
    <row r="363" spans="1:5" ht="20.25" customHeight="1">
      <c r="A363" s="20"/>
      <c r="B363" s="21"/>
      <c r="D363" s="8"/>
      <c r="E363" s="8"/>
    </row>
    <row r="364" spans="1:5" ht="20.25" customHeight="1">
      <c r="A364" s="20"/>
      <c r="B364" s="21"/>
      <c r="D364" s="8"/>
      <c r="E364" s="8"/>
    </row>
    <row r="365" spans="1:5" ht="20.25" customHeight="1">
      <c r="A365" s="20"/>
      <c r="B365" s="21"/>
      <c r="D365" s="8"/>
      <c r="E365" s="8"/>
    </row>
    <row r="366" spans="1:5" ht="20.25" customHeight="1">
      <c r="A366" s="20"/>
      <c r="B366" s="21"/>
      <c r="D366" s="8"/>
      <c r="E366" s="8"/>
    </row>
    <row r="367" spans="1:5" ht="20.25" customHeight="1">
      <c r="A367" s="20"/>
      <c r="B367" s="21"/>
      <c r="D367" s="8"/>
      <c r="E367" s="8"/>
    </row>
    <row r="368" spans="1:5" ht="20.25" customHeight="1">
      <c r="A368" s="20"/>
      <c r="B368" s="21"/>
      <c r="D368" s="8"/>
      <c r="E368" s="8"/>
    </row>
    <row r="369" spans="1:5" ht="20.25" customHeight="1">
      <c r="A369" s="20"/>
      <c r="B369" s="21"/>
      <c r="D369" s="8"/>
      <c r="E369" s="8"/>
    </row>
    <row r="370" spans="1:5" ht="20.25" customHeight="1">
      <c r="A370" s="20"/>
      <c r="B370" s="21"/>
      <c r="D370" s="8"/>
      <c r="E370" s="8"/>
    </row>
    <row r="371" spans="1:5" ht="20.25" customHeight="1">
      <c r="A371" s="20"/>
      <c r="B371" s="21"/>
      <c r="D371" s="8"/>
      <c r="E371" s="8"/>
    </row>
    <row r="372" spans="1:5" ht="20.25" customHeight="1">
      <c r="A372" s="20"/>
      <c r="B372" s="21"/>
      <c r="D372" s="8"/>
      <c r="E372" s="8"/>
    </row>
    <row r="373" spans="1:5" ht="20.25" customHeight="1">
      <c r="A373" s="20"/>
      <c r="B373" s="21"/>
      <c r="D373" s="8"/>
      <c r="E373" s="8"/>
    </row>
    <row r="374" spans="1:5" ht="20.25" customHeight="1">
      <c r="A374" s="20"/>
      <c r="B374" s="21"/>
      <c r="D374" s="8"/>
      <c r="E374" s="8"/>
    </row>
    <row r="375" spans="1:5" ht="20.25" customHeight="1">
      <c r="A375" s="20"/>
      <c r="B375" s="21"/>
      <c r="D375" s="8"/>
      <c r="E375" s="8"/>
    </row>
    <row r="376" spans="1:5" ht="20.25" customHeight="1">
      <c r="A376" s="20"/>
      <c r="B376" s="21"/>
      <c r="D376" s="8"/>
      <c r="E376" s="8"/>
    </row>
    <row r="377" spans="1:5" ht="20.25" customHeight="1">
      <c r="A377" s="20"/>
      <c r="B377" s="21"/>
      <c r="D377" s="8"/>
      <c r="E377" s="8"/>
    </row>
    <row r="378" spans="1:5" ht="20.25" customHeight="1">
      <c r="A378" s="20"/>
      <c r="B378" s="21"/>
      <c r="D378" s="8"/>
      <c r="E378" s="8"/>
    </row>
    <row r="379" spans="1:5" ht="20.25" customHeight="1">
      <c r="A379" s="20"/>
      <c r="B379" s="21"/>
      <c r="D379" s="8"/>
      <c r="E379" s="8"/>
    </row>
    <row r="380" spans="1:5" ht="20.25" customHeight="1">
      <c r="A380" s="20"/>
      <c r="B380" s="21"/>
      <c r="D380" s="8"/>
      <c r="E380" s="8"/>
    </row>
    <row r="381" spans="1:5" ht="20.25" customHeight="1">
      <c r="A381" s="20"/>
      <c r="B381" s="21"/>
      <c r="D381" s="8"/>
      <c r="E381" s="8"/>
    </row>
    <row r="382" spans="1:5" ht="20.25" customHeight="1">
      <c r="A382" s="20"/>
      <c r="B382" s="21"/>
      <c r="D382" s="8"/>
      <c r="E382" s="8"/>
    </row>
    <row r="383" spans="1:5" ht="20.25" customHeight="1">
      <c r="A383" s="20"/>
      <c r="B383" s="21"/>
      <c r="D383" s="8"/>
      <c r="E383" s="8"/>
    </row>
    <row r="384" spans="1:5" ht="20.25" customHeight="1">
      <c r="A384" s="20"/>
      <c r="B384" s="21"/>
      <c r="D384" s="8"/>
      <c r="E384" s="8"/>
    </row>
    <row r="385" spans="1:5" ht="20.25" customHeight="1">
      <c r="A385" s="20"/>
      <c r="B385" s="21"/>
      <c r="D385" s="8"/>
      <c r="E385" s="8"/>
    </row>
    <row r="386" spans="1:5" ht="20.25" customHeight="1">
      <c r="A386" s="20"/>
      <c r="B386" s="21"/>
      <c r="D386" s="8"/>
      <c r="E386" s="8"/>
    </row>
    <row r="387" spans="1:5" ht="20.25" customHeight="1">
      <c r="A387" s="20"/>
      <c r="B387" s="21"/>
      <c r="D387" s="8"/>
      <c r="E387" s="8"/>
    </row>
    <row r="388" spans="1:5" ht="20.25" customHeight="1">
      <c r="A388" s="20"/>
      <c r="B388" s="21"/>
      <c r="D388" s="8"/>
      <c r="E388" s="8"/>
    </row>
    <row r="389" spans="1:5" ht="20.25" customHeight="1">
      <c r="A389" s="20"/>
      <c r="B389" s="21"/>
      <c r="D389" s="8"/>
      <c r="E389" s="8"/>
    </row>
    <row r="390" spans="1:5" ht="20.25" customHeight="1">
      <c r="A390" s="20"/>
      <c r="B390" s="21"/>
      <c r="D390" s="8"/>
      <c r="E390" s="8"/>
    </row>
    <row r="391" spans="1:5" ht="20.25" customHeight="1">
      <c r="A391" s="20"/>
      <c r="B391" s="21"/>
      <c r="D391" s="8"/>
      <c r="E391" s="8"/>
    </row>
    <row r="392" spans="1:5" ht="20.25" customHeight="1">
      <c r="A392" s="20"/>
      <c r="B392" s="21"/>
      <c r="D392" s="8"/>
      <c r="E392" s="8"/>
    </row>
    <row r="393" spans="1:5" ht="20.25" customHeight="1">
      <c r="A393" s="20"/>
      <c r="B393" s="21"/>
      <c r="D393" s="8"/>
      <c r="E393" s="8"/>
    </row>
    <row r="394" spans="1:5" ht="20.25" customHeight="1">
      <c r="A394" s="20"/>
      <c r="B394" s="21"/>
      <c r="D394" s="8"/>
      <c r="E394" s="8"/>
    </row>
    <row r="395" spans="1:5" ht="20.25" customHeight="1">
      <c r="A395" s="20"/>
      <c r="B395" s="21"/>
      <c r="D395" s="8"/>
      <c r="E395" s="8"/>
    </row>
    <row r="396" spans="1:5" ht="20.25" customHeight="1">
      <c r="A396" s="20"/>
      <c r="B396" s="21"/>
      <c r="D396" s="8"/>
      <c r="E396" s="8"/>
    </row>
    <row r="397" spans="1:5" ht="20.25" customHeight="1">
      <c r="A397" s="20"/>
      <c r="B397" s="21"/>
      <c r="D397" s="8"/>
      <c r="E397" s="8"/>
    </row>
    <row r="398" spans="1:5" ht="20.25" customHeight="1">
      <c r="A398" s="20"/>
      <c r="B398" s="21"/>
      <c r="D398" s="8"/>
      <c r="E398" s="8"/>
    </row>
    <row r="399" spans="1:5" ht="20.25" customHeight="1">
      <c r="A399" s="20"/>
      <c r="B399" s="21"/>
      <c r="D399" s="8"/>
      <c r="E399" s="8"/>
    </row>
    <row r="400" spans="1:5" ht="20.25" customHeight="1">
      <c r="A400" s="20"/>
      <c r="B400" s="21"/>
      <c r="D400" s="8"/>
      <c r="E400" s="8"/>
    </row>
    <row r="401" spans="1:5" ht="20.25" customHeight="1">
      <c r="A401" s="20"/>
      <c r="B401" s="21"/>
      <c r="D401" s="8"/>
      <c r="E401" s="8"/>
    </row>
    <row r="402" spans="1:5" ht="20.25" customHeight="1">
      <c r="A402" s="20"/>
      <c r="B402" s="21"/>
      <c r="D402" s="8"/>
      <c r="E402" s="8"/>
    </row>
    <row r="403" spans="1:5" ht="20.25" customHeight="1">
      <c r="A403" s="20"/>
      <c r="B403" s="21"/>
      <c r="D403" s="8"/>
      <c r="E403" s="8"/>
    </row>
    <row r="404" spans="1:5" ht="20.25" customHeight="1">
      <c r="A404" s="20"/>
      <c r="B404" s="21"/>
      <c r="D404" s="8"/>
      <c r="E404" s="8"/>
    </row>
    <row r="405" spans="1:5" ht="20.25" customHeight="1">
      <c r="A405" s="20"/>
      <c r="B405" s="21"/>
      <c r="D405" s="8"/>
      <c r="E405" s="8"/>
    </row>
    <row r="406" spans="1:5" ht="20.25" customHeight="1">
      <c r="A406" s="20"/>
      <c r="B406" s="21"/>
      <c r="D406" s="8"/>
      <c r="E406" s="8"/>
    </row>
    <row r="407" spans="1:5" ht="20.25" customHeight="1">
      <c r="A407" s="20"/>
      <c r="B407" s="21"/>
      <c r="D407" s="8"/>
      <c r="E407" s="8"/>
    </row>
    <row r="408" spans="1:5" ht="20.25" customHeight="1">
      <c r="A408" s="20"/>
      <c r="B408" s="21"/>
      <c r="D408" s="8"/>
      <c r="E408" s="8"/>
    </row>
    <row r="409" spans="1:5" ht="20.25" customHeight="1">
      <c r="A409" s="20"/>
      <c r="B409" s="21"/>
      <c r="D409" s="8"/>
      <c r="E409" s="8"/>
    </row>
    <row r="410" spans="1:5" ht="20.25" customHeight="1">
      <c r="A410" s="20"/>
      <c r="B410" s="21"/>
      <c r="D410" s="8"/>
      <c r="E410" s="8"/>
    </row>
    <row r="411" spans="1:5" ht="20.25" customHeight="1">
      <c r="A411" s="20"/>
      <c r="B411" s="21"/>
      <c r="D411" s="8"/>
      <c r="E411" s="8"/>
    </row>
    <row r="412" spans="1:5" ht="20.25" customHeight="1">
      <c r="A412" s="20"/>
      <c r="B412" s="21"/>
      <c r="D412" s="8"/>
      <c r="E412" s="8"/>
    </row>
    <row r="413" spans="1:5" ht="20.25" customHeight="1">
      <c r="A413" s="20"/>
      <c r="B413" s="21"/>
      <c r="D413" s="8"/>
      <c r="E413" s="8"/>
    </row>
    <row r="414" spans="1:5" ht="20.25" customHeight="1">
      <c r="A414" s="20"/>
      <c r="B414" s="21"/>
      <c r="D414" s="8"/>
      <c r="E414" s="8"/>
    </row>
    <row r="415" spans="1:5" ht="20.25" customHeight="1">
      <c r="A415" s="20"/>
      <c r="B415" s="21"/>
      <c r="D415" s="8"/>
      <c r="E415" s="8"/>
    </row>
    <row r="416" spans="1:5" ht="20.25" customHeight="1">
      <c r="A416" s="20"/>
      <c r="B416" s="21"/>
      <c r="D416" s="8"/>
      <c r="E416" s="8"/>
    </row>
    <row r="417" spans="1:5" ht="20.25" customHeight="1">
      <c r="A417" s="20"/>
      <c r="B417" s="21"/>
      <c r="D417" s="8"/>
      <c r="E417" s="8"/>
    </row>
    <row r="418" spans="1:5" ht="20.25" customHeight="1">
      <c r="A418" s="20"/>
      <c r="B418" s="21"/>
      <c r="D418" s="8"/>
      <c r="E418" s="8"/>
    </row>
    <row r="419" spans="1:5" ht="20.25" customHeight="1">
      <c r="A419" s="20"/>
      <c r="B419" s="21"/>
      <c r="D419" s="8"/>
      <c r="E419" s="8"/>
    </row>
    <row r="420" spans="1:5" ht="20.25" customHeight="1">
      <c r="A420" s="20"/>
      <c r="B420" s="21"/>
      <c r="D420" s="8"/>
      <c r="E420" s="8"/>
    </row>
    <row r="421" spans="1:5" ht="20.25" customHeight="1">
      <c r="A421" s="20"/>
      <c r="B421" s="21"/>
      <c r="D421" s="8"/>
      <c r="E421" s="8"/>
    </row>
    <row r="422" spans="1:5" ht="20.25" customHeight="1">
      <c r="A422" s="20"/>
      <c r="B422" s="21"/>
      <c r="D422" s="8"/>
      <c r="E422" s="8"/>
    </row>
    <row r="423" spans="1:5" ht="20.25" customHeight="1">
      <c r="A423" s="20"/>
      <c r="B423" s="21"/>
      <c r="D423" s="8"/>
      <c r="E423" s="8"/>
    </row>
    <row r="424" spans="1:5" ht="20.25" customHeight="1">
      <c r="A424" s="20"/>
      <c r="B424" s="21"/>
      <c r="D424" s="8"/>
      <c r="E424" s="8"/>
    </row>
    <row r="425" spans="1:5" ht="20.25" customHeight="1">
      <c r="A425" s="20"/>
      <c r="B425" s="21"/>
      <c r="D425" s="8"/>
      <c r="E425" s="8"/>
    </row>
    <row r="426" spans="1:5" ht="20.25" customHeight="1">
      <c r="A426" s="20"/>
      <c r="B426" s="21"/>
      <c r="D426" s="8"/>
      <c r="E426" s="8"/>
    </row>
    <row r="427" spans="1:5" ht="20.25" customHeight="1">
      <c r="A427" s="20"/>
      <c r="B427" s="21"/>
      <c r="D427" s="8"/>
      <c r="E427" s="8"/>
    </row>
    <row r="428" spans="1:5" ht="20.25" customHeight="1">
      <c r="A428" s="20"/>
      <c r="B428" s="21"/>
      <c r="D428" s="8"/>
      <c r="E428" s="8"/>
    </row>
    <row r="429" spans="1:5" ht="20.25" customHeight="1">
      <c r="A429" s="20"/>
      <c r="B429" s="21"/>
      <c r="D429" s="8"/>
      <c r="E429" s="8"/>
    </row>
    <row r="430" spans="1:5" ht="20.25" customHeight="1">
      <c r="A430" s="20"/>
      <c r="B430" s="21"/>
      <c r="D430" s="8"/>
      <c r="E430" s="8"/>
    </row>
    <row r="431" spans="1:5" ht="20.25" customHeight="1">
      <c r="A431" s="20"/>
      <c r="B431" s="21"/>
      <c r="D431" s="8"/>
      <c r="E431" s="8"/>
    </row>
    <row r="432" spans="1:5" ht="20.25" customHeight="1">
      <c r="A432" s="20"/>
      <c r="B432" s="21"/>
      <c r="D432" s="8"/>
      <c r="E432" s="8"/>
    </row>
    <row r="433" spans="1:5" ht="20.25" customHeight="1">
      <c r="A433" s="20"/>
      <c r="B433" s="21"/>
      <c r="D433" s="8"/>
      <c r="E433" s="8"/>
    </row>
    <row r="434" spans="1:5" ht="20.25" customHeight="1">
      <c r="A434" s="20"/>
      <c r="B434" s="21"/>
      <c r="D434" s="8"/>
      <c r="E434" s="8"/>
    </row>
    <row r="435" spans="1:5" ht="20.25" customHeight="1">
      <c r="A435" s="20"/>
      <c r="B435" s="21"/>
      <c r="D435" s="8"/>
      <c r="E435" s="8"/>
    </row>
    <row r="436" spans="1:5" ht="20.25" customHeight="1">
      <c r="A436" s="20"/>
      <c r="B436" s="21"/>
      <c r="D436" s="8"/>
      <c r="E436" s="8"/>
    </row>
    <row r="437" spans="1:5" ht="20.25" customHeight="1">
      <c r="A437" s="20"/>
      <c r="B437" s="21"/>
      <c r="D437" s="8"/>
      <c r="E437" s="8"/>
    </row>
    <row r="438" spans="1:5" ht="20.25" customHeight="1">
      <c r="A438" s="20"/>
      <c r="B438" s="21"/>
      <c r="D438" s="8"/>
      <c r="E438" s="8"/>
    </row>
    <row r="439" spans="1:5" ht="20.25" customHeight="1">
      <c r="A439" s="20"/>
      <c r="B439" s="21"/>
      <c r="D439" s="8"/>
      <c r="E439" s="8"/>
    </row>
    <row r="440" spans="1:5" ht="20.25" customHeight="1">
      <c r="A440" s="20"/>
      <c r="B440" s="21"/>
      <c r="D440" s="8"/>
      <c r="E440" s="8"/>
    </row>
    <row r="441" spans="1:5" ht="20.25" customHeight="1">
      <c r="A441" s="20"/>
      <c r="B441" s="21"/>
      <c r="D441" s="8"/>
      <c r="E441" s="8"/>
    </row>
    <row r="442" spans="1:5" ht="20.25" customHeight="1">
      <c r="A442" s="20"/>
      <c r="B442" s="21"/>
      <c r="D442" s="8"/>
      <c r="E442" s="8"/>
    </row>
    <row r="443" spans="1:5" ht="20.25" customHeight="1">
      <c r="A443" s="20"/>
      <c r="B443" s="21"/>
      <c r="D443" s="8"/>
      <c r="E443" s="8"/>
    </row>
    <row r="444" spans="1:5" ht="20.25" customHeight="1">
      <c r="A444" s="20"/>
      <c r="B444" s="21"/>
      <c r="D444" s="8"/>
      <c r="E444" s="8"/>
    </row>
    <row r="445" spans="1:5" ht="20.25" customHeight="1">
      <c r="A445" s="20"/>
      <c r="B445" s="21"/>
      <c r="D445" s="8"/>
      <c r="E445" s="8"/>
    </row>
    <row r="446" spans="1:5" ht="20.25" customHeight="1">
      <c r="A446" s="20"/>
      <c r="B446" s="21"/>
      <c r="D446" s="8"/>
      <c r="E446" s="8"/>
    </row>
    <row r="447" spans="1:5" ht="20.25" customHeight="1">
      <c r="A447" s="20"/>
      <c r="B447" s="21"/>
      <c r="D447" s="8"/>
      <c r="E447" s="8"/>
    </row>
    <row r="448" spans="1:5" ht="20.25" customHeight="1">
      <c r="A448" s="20"/>
      <c r="B448" s="21"/>
      <c r="D448" s="8"/>
      <c r="E448" s="8"/>
    </row>
    <row r="449" spans="1:5" ht="20.25" customHeight="1">
      <c r="A449" s="20"/>
      <c r="B449" s="21"/>
      <c r="D449" s="8"/>
      <c r="E449" s="8"/>
    </row>
    <row r="450" spans="1:5" ht="20.25" customHeight="1">
      <c r="A450" s="20"/>
      <c r="B450" s="21"/>
      <c r="D450" s="8"/>
      <c r="E450" s="8"/>
    </row>
    <row r="451" spans="1:5" ht="20.25" customHeight="1">
      <c r="A451" s="20"/>
      <c r="B451" s="21"/>
      <c r="D451" s="8"/>
      <c r="E451" s="8"/>
    </row>
    <row r="452" spans="1:5" ht="20.25" customHeight="1">
      <c r="A452" s="20"/>
      <c r="B452" s="21"/>
      <c r="D452" s="8"/>
      <c r="E452" s="8"/>
    </row>
    <row r="453" spans="1:5" ht="20.25" customHeight="1">
      <c r="A453" s="20"/>
      <c r="B453" s="21"/>
      <c r="D453" s="8"/>
      <c r="E453" s="8"/>
    </row>
    <row r="454" spans="1:5" ht="20.25" customHeight="1">
      <c r="A454" s="20"/>
      <c r="B454" s="21"/>
      <c r="D454" s="8"/>
      <c r="E454" s="8"/>
    </row>
    <row r="455" spans="1:5" ht="20.25" customHeight="1">
      <c r="A455" s="20"/>
      <c r="B455" s="21"/>
      <c r="D455" s="8"/>
      <c r="E455" s="8"/>
    </row>
    <row r="456" spans="1:5" ht="20.25" customHeight="1">
      <c r="A456" s="20"/>
      <c r="B456" s="21"/>
      <c r="D456" s="8"/>
      <c r="E456" s="8"/>
    </row>
    <row r="457" spans="1:5" ht="20.25" customHeight="1">
      <c r="A457" s="20"/>
      <c r="B457" s="21"/>
      <c r="D457" s="8"/>
      <c r="E457" s="8"/>
    </row>
    <row r="458" spans="1:5" ht="20.25" customHeight="1">
      <c r="A458" s="20"/>
      <c r="B458" s="21"/>
      <c r="D458" s="8"/>
      <c r="E458" s="8"/>
    </row>
    <row r="459" spans="1:5" ht="20.25" customHeight="1">
      <c r="A459" s="20"/>
      <c r="B459" s="21"/>
      <c r="D459" s="8"/>
      <c r="E459" s="8"/>
    </row>
    <row r="460" spans="1:5" ht="20.25" customHeight="1">
      <c r="A460" s="20"/>
      <c r="B460" s="21"/>
      <c r="D460" s="8"/>
      <c r="E460" s="8"/>
    </row>
    <row r="461" spans="1:5" ht="20.25" customHeight="1">
      <c r="A461" s="20"/>
      <c r="B461" s="21"/>
      <c r="D461" s="8"/>
      <c r="E461" s="8"/>
    </row>
    <row r="462" spans="1:5" ht="20.25" customHeight="1">
      <c r="A462" s="20"/>
      <c r="B462" s="21"/>
      <c r="D462" s="8"/>
      <c r="E462" s="8"/>
    </row>
    <row r="463" spans="1:5" ht="20.25" customHeight="1">
      <c r="A463" s="20"/>
      <c r="B463" s="21"/>
      <c r="D463" s="8"/>
      <c r="E463" s="8"/>
    </row>
    <row r="464" spans="1:5" ht="20.25" customHeight="1">
      <c r="A464" s="20"/>
      <c r="B464" s="21"/>
      <c r="D464" s="8"/>
      <c r="E464" s="8"/>
    </row>
    <row r="465" spans="1:5" ht="20.25" customHeight="1">
      <c r="A465" s="20"/>
      <c r="B465" s="21"/>
      <c r="D465" s="8"/>
      <c r="E465" s="8"/>
    </row>
    <row r="466" spans="1:5" ht="20.25" customHeight="1">
      <c r="A466" s="20"/>
      <c r="B466" s="21"/>
      <c r="D466" s="8"/>
      <c r="E466" s="8"/>
    </row>
    <row r="467" spans="1:5" ht="20.25" customHeight="1">
      <c r="A467" s="20"/>
      <c r="B467" s="21"/>
      <c r="D467" s="8"/>
      <c r="E467" s="8"/>
    </row>
    <row r="468" spans="1:5" ht="20.25" customHeight="1">
      <c r="A468" s="20"/>
      <c r="B468" s="21"/>
      <c r="D468" s="8"/>
      <c r="E468" s="8"/>
    </row>
    <row r="469" spans="1:5" ht="20.25" customHeight="1">
      <c r="A469" s="20"/>
      <c r="B469" s="21"/>
      <c r="D469" s="8"/>
      <c r="E469" s="8"/>
    </row>
    <row r="470" spans="1:5" ht="20.25" customHeight="1">
      <c r="A470" s="20"/>
      <c r="B470" s="21"/>
      <c r="D470" s="8"/>
      <c r="E470" s="8"/>
    </row>
    <row r="471" spans="1:5" ht="20.25" customHeight="1">
      <c r="A471" s="20"/>
      <c r="B471" s="21"/>
      <c r="D471" s="8"/>
      <c r="E471" s="8"/>
    </row>
    <row r="472" spans="1:5" ht="20.25" customHeight="1">
      <c r="A472" s="20"/>
      <c r="B472" s="21"/>
      <c r="D472" s="8"/>
      <c r="E472" s="8"/>
    </row>
    <row r="473" spans="1:5" ht="20.25" customHeight="1">
      <c r="A473" s="20"/>
      <c r="B473" s="21"/>
      <c r="D473" s="8"/>
      <c r="E473" s="8"/>
    </row>
    <row r="474" spans="1:5" ht="20.25" customHeight="1">
      <c r="A474" s="20"/>
      <c r="B474" s="21"/>
      <c r="D474" s="8"/>
      <c r="E474" s="8"/>
    </row>
    <row r="475" spans="1:5" ht="20.25" customHeight="1">
      <c r="A475" s="20"/>
      <c r="B475" s="21"/>
      <c r="D475" s="8"/>
      <c r="E475" s="8"/>
    </row>
    <row r="476" spans="1:5" ht="20.25" customHeight="1">
      <c r="A476" s="20"/>
      <c r="B476" s="21"/>
      <c r="D476" s="8"/>
      <c r="E476" s="8"/>
    </row>
    <row r="477" spans="1:5" ht="20.25" customHeight="1">
      <c r="A477" s="20"/>
      <c r="B477" s="21"/>
      <c r="D477" s="8"/>
      <c r="E477" s="8"/>
    </row>
    <row r="478" spans="1:5" ht="20.25" customHeight="1">
      <c r="A478" s="20"/>
      <c r="B478" s="21"/>
      <c r="D478" s="8"/>
      <c r="E478" s="8"/>
    </row>
    <row r="479" spans="1:5" ht="20.25" customHeight="1">
      <c r="A479" s="20"/>
      <c r="B479" s="21"/>
      <c r="D479" s="8"/>
      <c r="E479" s="8"/>
    </row>
    <row r="480" spans="1:5" ht="20.25" customHeight="1">
      <c r="A480" s="20"/>
      <c r="B480" s="21"/>
      <c r="D480" s="8"/>
      <c r="E480" s="8"/>
    </row>
    <row r="481" spans="1:5" ht="20.25" customHeight="1">
      <c r="A481" s="20"/>
      <c r="B481" s="21"/>
      <c r="D481" s="8"/>
      <c r="E481" s="8"/>
    </row>
    <row r="482" spans="1:5" ht="20.25" customHeight="1">
      <c r="A482" s="20"/>
      <c r="B482" s="21"/>
      <c r="D482" s="8"/>
      <c r="E482" s="8"/>
    </row>
    <row r="483" spans="1:5" ht="20.25" customHeight="1">
      <c r="A483" s="20"/>
      <c r="B483" s="21"/>
      <c r="D483" s="8"/>
      <c r="E483" s="8"/>
    </row>
    <row r="484" spans="1:5" ht="20.25" customHeight="1">
      <c r="A484" s="20"/>
      <c r="B484" s="21"/>
      <c r="D484" s="8"/>
      <c r="E484" s="8"/>
    </row>
    <row r="485" spans="1:5" ht="20.25" customHeight="1">
      <c r="A485" s="20"/>
      <c r="B485" s="21"/>
      <c r="D485" s="8"/>
      <c r="E485" s="8"/>
    </row>
    <row r="486" spans="1:5" ht="20.25" customHeight="1">
      <c r="A486" s="20"/>
      <c r="B486" s="21"/>
      <c r="D486" s="8"/>
      <c r="E486" s="8"/>
    </row>
    <row r="487" spans="1:5" ht="20.25" customHeight="1">
      <c r="A487" s="20"/>
      <c r="B487" s="21"/>
      <c r="D487" s="8"/>
      <c r="E487" s="8"/>
    </row>
    <row r="488" spans="1:5" ht="20.25" customHeight="1">
      <c r="A488" s="20"/>
      <c r="B488" s="21"/>
      <c r="D488" s="8"/>
      <c r="E488" s="8"/>
    </row>
    <row r="489" spans="1:5" ht="20.25" customHeight="1">
      <c r="A489" s="20"/>
      <c r="B489" s="21"/>
      <c r="D489" s="8"/>
      <c r="E489" s="8"/>
    </row>
    <row r="490" spans="1:5" ht="20.25" customHeight="1">
      <c r="A490" s="20"/>
      <c r="B490" s="21"/>
      <c r="D490" s="8"/>
      <c r="E490" s="8"/>
    </row>
    <row r="491" spans="1:5" ht="20.25" customHeight="1">
      <c r="A491" s="20"/>
      <c r="B491" s="21"/>
      <c r="D491" s="8"/>
      <c r="E491" s="8"/>
    </row>
    <row r="492" spans="1:5" ht="20.25" customHeight="1">
      <c r="A492" s="20"/>
      <c r="B492" s="21"/>
      <c r="D492" s="8"/>
      <c r="E492" s="8"/>
    </row>
    <row r="493" spans="1:5" ht="20.25" customHeight="1">
      <c r="A493" s="20"/>
      <c r="B493" s="21"/>
      <c r="D493" s="8"/>
      <c r="E493" s="8"/>
    </row>
    <row r="494" spans="1:5" ht="20.25" customHeight="1">
      <c r="A494" s="20"/>
      <c r="B494" s="21"/>
      <c r="D494" s="8"/>
      <c r="E494" s="8"/>
    </row>
    <row r="495" spans="1:5" ht="20.25" customHeight="1">
      <c r="A495" s="20"/>
      <c r="B495" s="21"/>
      <c r="D495" s="8"/>
      <c r="E495" s="8"/>
    </row>
    <row r="496" spans="1:5" ht="20.25" customHeight="1">
      <c r="A496" s="20"/>
      <c r="B496" s="21"/>
      <c r="D496" s="8"/>
      <c r="E496" s="8"/>
    </row>
    <row r="497" spans="1:5" ht="20.25" customHeight="1">
      <c r="A497" s="20"/>
      <c r="B497" s="21"/>
      <c r="D497" s="8"/>
      <c r="E497" s="8"/>
    </row>
    <row r="498" spans="1:5" ht="20.25" customHeight="1">
      <c r="A498" s="20"/>
      <c r="B498" s="21"/>
      <c r="D498" s="8"/>
      <c r="E498" s="8"/>
    </row>
    <row r="499" spans="1:5" ht="20.25" customHeight="1">
      <c r="A499" s="20"/>
      <c r="B499" s="21"/>
      <c r="D499" s="8"/>
      <c r="E499" s="8"/>
    </row>
    <row r="500" spans="1:5" ht="20.25" customHeight="1">
      <c r="A500" s="20"/>
      <c r="B500" s="21"/>
      <c r="D500" s="8"/>
      <c r="E500" s="8"/>
    </row>
    <row r="501" spans="1:5" ht="20.25" customHeight="1">
      <c r="A501" s="20"/>
      <c r="B501" s="21"/>
      <c r="D501" s="8"/>
      <c r="E501" s="8"/>
    </row>
    <row r="502" spans="1:5" ht="20.25" customHeight="1">
      <c r="A502" s="20"/>
      <c r="B502" s="21"/>
      <c r="D502" s="8"/>
      <c r="E502" s="8"/>
    </row>
    <row r="503" spans="1:5" ht="20.25" customHeight="1">
      <c r="A503" s="20"/>
      <c r="B503" s="21"/>
      <c r="D503" s="8"/>
      <c r="E503" s="8"/>
    </row>
    <row r="504" spans="1:5" ht="20.25" customHeight="1">
      <c r="A504" s="20"/>
      <c r="B504" s="21"/>
      <c r="D504" s="8"/>
      <c r="E504" s="8"/>
    </row>
    <row r="505" spans="1:5" ht="20.25" customHeight="1">
      <c r="A505" s="20"/>
      <c r="B505" s="21"/>
      <c r="D505" s="8"/>
      <c r="E505" s="8"/>
    </row>
    <row r="506" spans="1:5" ht="20.25" customHeight="1">
      <c r="A506" s="20"/>
      <c r="B506" s="21"/>
      <c r="D506" s="8"/>
      <c r="E506" s="8"/>
    </row>
    <row r="507" spans="1:5" ht="20.25" customHeight="1">
      <c r="A507" s="20"/>
      <c r="B507" s="21"/>
      <c r="D507" s="8"/>
      <c r="E507" s="8"/>
    </row>
    <row r="508" spans="1:5" ht="20.25" customHeight="1">
      <c r="A508" s="20"/>
      <c r="B508" s="21"/>
      <c r="D508" s="8"/>
      <c r="E508" s="8"/>
    </row>
    <row r="509" spans="1:5" ht="20.25" customHeight="1">
      <c r="A509" s="20"/>
      <c r="B509" s="21"/>
      <c r="D509" s="8"/>
      <c r="E509" s="8"/>
    </row>
    <row r="510" spans="1:5" ht="20.25" customHeight="1">
      <c r="A510" s="20"/>
      <c r="B510" s="21"/>
      <c r="D510" s="8"/>
      <c r="E510" s="8"/>
    </row>
    <row r="511" spans="1:5" ht="20.25" customHeight="1">
      <c r="A511" s="20"/>
      <c r="B511" s="21"/>
      <c r="D511" s="8"/>
      <c r="E511" s="8"/>
    </row>
    <row r="512" spans="1:5" ht="20.25" customHeight="1">
      <c r="A512" s="20"/>
      <c r="B512" s="21"/>
      <c r="D512" s="8"/>
      <c r="E512" s="8"/>
    </row>
    <row r="513" spans="1:5" ht="20.25" customHeight="1">
      <c r="A513" s="20"/>
      <c r="B513" s="21"/>
      <c r="D513" s="8"/>
      <c r="E513" s="8"/>
    </row>
    <row r="514" spans="1:5" ht="20.25" customHeight="1">
      <c r="A514" s="20"/>
      <c r="B514" s="21"/>
      <c r="D514" s="8"/>
      <c r="E514" s="8"/>
    </row>
    <row r="515" spans="1:5" ht="20.25" customHeight="1">
      <c r="A515" s="20"/>
      <c r="B515" s="21"/>
      <c r="D515" s="8"/>
      <c r="E515" s="8"/>
    </row>
    <row r="516" spans="1:5" ht="20.25" customHeight="1">
      <c r="A516" s="20"/>
      <c r="B516" s="21"/>
      <c r="D516" s="8"/>
      <c r="E516" s="8"/>
    </row>
    <row r="517" spans="1:5" ht="20.25" customHeight="1">
      <c r="A517" s="20"/>
      <c r="B517" s="21"/>
      <c r="D517" s="8"/>
      <c r="E517" s="8"/>
    </row>
    <row r="518" spans="1:5" ht="20.25" customHeight="1">
      <c r="A518" s="20"/>
      <c r="B518" s="21"/>
      <c r="D518" s="8"/>
      <c r="E518" s="8"/>
    </row>
    <row r="519" spans="1:5" ht="20.25" customHeight="1">
      <c r="A519" s="20"/>
      <c r="B519" s="21"/>
      <c r="D519" s="8"/>
      <c r="E519" s="8"/>
    </row>
    <row r="520" spans="1:5" ht="20.25" customHeight="1">
      <c r="A520" s="20"/>
      <c r="B520" s="21"/>
      <c r="D520" s="8"/>
      <c r="E520" s="8"/>
    </row>
    <row r="521" spans="1:5" ht="20.25" customHeight="1">
      <c r="A521" s="20"/>
      <c r="B521" s="21"/>
      <c r="D521" s="8"/>
      <c r="E521" s="8"/>
    </row>
    <row r="522" spans="1:5" ht="20.25" customHeight="1">
      <c r="A522" s="20"/>
      <c r="B522" s="21"/>
      <c r="D522" s="8"/>
      <c r="E522" s="8"/>
    </row>
    <row r="523" spans="1:5" ht="20.25" customHeight="1">
      <c r="A523" s="20"/>
      <c r="B523" s="21"/>
      <c r="D523" s="8"/>
      <c r="E523" s="8"/>
    </row>
    <row r="524" spans="1:5" ht="20.25" customHeight="1">
      <c r="A524" s="20"/>
      <c r="B524" s="21"/>
      <c r="D524" s="8"/>
      <c r="E524" s="8"/>
    </row>
    <row r="525" spans="1:5" ht="20.25" customHeight="1">
      <c r="A525" s="20"/>
      <c r="B525" s="21"/>
      <c r="D525" s="8"/>
      <c r="E525" s="8"/>
    </row>
    <row r="526" spans="1:5" ht="20.25" customHeight="1">
      <c r="A526" s="20"/>
      <c r="B526" s="21"/>
      <c r="D526" s="8"/>
      <c r="E526" s="8"/>
    </row>
    <row r="527" spans="1:5" ht="20.25" customHeight="1">
      <c r="A527" s="20"/>
      <c r="B527" s="21"/>
      <c r="D527" s="8"/>
      <c r="E527" s="8"/>
    </row>
    <row r="528" spans="1:5" ht="20.25" customHeight="1">
      <c r="A528" s="20"/>
      <c r="B528" s="21"/>
      <c r="D528" s="8"/>
      <c r="E528" s="8"/>
    </row>
    <row r="529" spans="1:5" ht="20.25" customHeight="1">
      <c r="A529" s="20"/>
      <c r="B529" s="21"/>
      <c r="D529" s="8"/>
      <c r="E529" s="8"/>
    </row>
    <row r="530" spans="1:5" ht="20.25" customHeight="1">
      <c r="A530" s="20"/>
      <c r="B530" s="21"/>
      <c r="D530" s="8"/>
      <c r="E530" s="8"/>
    </row>
    <row r="531" spans="1:5" ht="20.25" customHeight="1">
      <c r="A531" s="20"/>
      <c r="B531" s="21"/>
      <c r="D531" s="8"/>
      <c r="E531" s="8"/>
    </row>
    <row r="532" spans="1:5" ht="20.25" customHeight="1">
      <c r="A532" s="20"/>
      <c r="B532" s="21"/>
      <c r="D532" s="8"/>
      <c r="E532" s="8"/>
    </row>
    <row r="533" spans="1:5" ht="20.25" customHeight="1">
      <c r="A533" s="20"/>
      <c r="B533" s="21"/>
      <c r="D533" s="8"/>
      <c r="E533" s="8"/>
    </row>
    <row r="534" spans="1:5" ht="20.25" customHeight="1">
      <c r="A534" s="20"/>
      <c r="B534" s="21"/>
      <c r="D534" s="8"/>
      <c r="E534" s="8"/>
    </row>
    <row r="535" spans="1:5" ht="20.25" customHeight="1">
      <c r="A535" s="20"/>
      <c r="B535" s="21"/>
      <c r="D535" s="8"/>
      <c r="E535" s="8"/>
    </row>
    <row r="536" spans="1:5" ht="20.25" customHeight="1">
      <c r="A536" s="20"/>
      <c r="B536" s="21"/>
      <c r="D536" s="8"/>
      <c r="E536" s="8"/>
    </row>
    <row r="537" spans="1:5" ht="20.25" customHeight="1">
      <c r="A537" s="20"/>
      <c r="B537" s="21"/>
      <c r="D537" s="8"/>
      <c r="E537" s="8"/>
    </row>
    <row r="538" spans="1:5" ht="20.25" customHeight="1">
      <c r="A538" s="20"/>
      <c r="B538" s="21"/>
      <c r="D538" s="8"/>
      <c r="E538" s="8"/>
    </row>
    <row r="539" spans="1:5" ht="20.25" customHeight="1">
      <c r="A539" s="20"/>
      <c r="B539" s="21"/>
      <c r="D539" s="8"/>
      <c r="E539" s="8"/>
    </row>
    <row r="540" spans="1:5" ht="20.25" customHeight="1">
      <c r="A540" s="20"/>
      <c r="B540" s="21"/>
      <c r="D540" s="8"/>
      <c r="E540" s="8"/>
    </row>
    <row r="541" spans="1:5" ht="20.25" customHeight="1">
      <c r="A541" s="20"/>
      <c r="B541" s="21"/>
      <c r="D541" s="8"/>
      <c r="E541" s="8"/>
    </row>
    <row r="542" spans="1:5" ht="20.25" customHeight="1">
      <c r="A542" s="20"/>
      <c r="B542" s="21"/>
      <c r="D542" s="8"/>
      <c r="E542" s="8"/>
    </row>
    <row r="543" spans="1:5" ht="20.25" customHeight="1">
      <c r="A543" s="20"/>
      <c r="B543" s="21"/>
      <c r="D543" s="8"/>
      <c r="E543" s="8"/>
    </row>
    <row r="544" spans="1:5" ht="20.25" customHeight="1">
      <c r="A544" s="20"/>
      <c r="B544" s="21"/>
      <c r="D544" s="8"/>
      <c r="E544" s="8"/>
    </row>
    <row r="545" spans="1:5" ht="20.25" customHeight="1">
      <c r="A545" s="20"/>
      <c r="B545" s="21"/>
      <c r="D545" s="8"/>
      <c r="E545" s="8"/>
    </row>
    <row r="546" spans="1:5" ht="20.25" customHeight="1">
      <c r="A546" s="20"/>
      <c r="B546" s="21"/>
      <c r="D546" s="8"/>
      <c r="E546" s="8"/>
    </row>
    <row r="547" spans="1:5" ht="20.25" customHeight="1">
      <c r="A547" s="20"/>
      <c r="B547" s="21"/>
      <c r="D547" s="8"/>
      <c r="E547" s="8"/>
    </row>
    <row r="548" spans="1:5" ht="20.25" customHeight="1">
      <c r="A548" s="20"/>
      <c r="B548" s="21"/>
      <c r="D548" s="8"/>
      <c r="E548" s="8"/>
    </row>
    <row r="549" spans="1:5" ht="20.25" customHeight="1">
      <c r="A549" s="20"/>
      <c r="B549" s="21"/>
      <c r="D549" s="8"/>
      <c r="E549" s="8"/>
    </row>
    <row r="550" spans="1:5" ht="20.25" customHeight="1">
      <c r="A550" s="20"/>
      <c r="B550" s="21"/>
      <c r="D550" s="8"/>
      <c r="E550" s="8"/>
    </row>
    <row r="551" spans="1:5" ht="20.25" customHeight="1">
      <c r="A551" s="20"/>
      <c r="B551" s="21"/>
      <c r="D551" s="8"/>
      <c r="E551" s="8"/>
    </row>
    <row r="552" spans="1:5" ht="20.25" customHeight="1">
      <c r="A552" s="20"/>
      <c r="B552" s="21"/>
      <c r="D552" s="8"/>
      <c r="E552" s="8"/>
    </row>
    <row r="553" spans="1:5" ht="20.25" customHeight="1">
      <c r="A553" s="20"/>
      <c r="B553" s="21"/>
      <c r="D553" s="8"/>
      <c r="E553" s="8"/>
    </row>
    <row r="554" spans="1:5" ht="20.25" customHeight="1">
      <c r="A554" s="20"/>
      <c r="B554" s="21"/>
      <c r="D554" s="8"/>
      <c r="E554" s="8"/>
    </row>
    <row r="555" spans="1:5" ht="20.25" customHeight="1">
      <c r="A555" s="20"/>
      <c r="B555" s="21"/>
      <c r="D555" s="8"/>
      <c r="E555" s="8"/>
    </row>
    <row r="556" spans="1:5" ht="20.25" customHeight="1">
      <c r="A556" s="20"/>
      <c r="B556" s="21"/>
      <c r="D556" s="8"/>
      <c r="E556" s="8"/>
    </row>
    <row r="557" spans="1:5" ht="20.25" customHeight="1">
      <c r="A557" s="20"/>
      <c r="B557" s="21"/>
      <c r="D557" s="8"/>
      <c r="E557" s="8"/>
    </row>
    <row r="558" spans="1:5" ht="20.25" customHeight="1">
      <c r="A558" s="20"/>
      <c r="B558" s="21"/>
      <c r="D558" s="8"/>
      <c r="E558" s="8"/>
    </row>
    <row r="559" spans="1:5" ht="20.25" customHeight="1">
      <c r="A559" s="20"/>
      <c r="B559" s="21"/>
      <c r="D559" s="8"/>
      <c r="E559" s="8"/>
    </row>
    <row r="560" spans="1:5" ht="20.25" customHeight="1">
      <c r="A560" s="20"/>
      <c r="B560" s="21"/>
      <c r="D560" s="8"/>
      <c r="E560" s="8"/>
    </row>
    <row r="561" spans="1:5" ht="20.25" customHeight="1">
      <c r="A561" s="20"/>
      <c r="B561" s="21"/>
      <c r="D561" s="8"/>
      <c r="E561" s="8"/>
    </row>
    <row r="562" spans="1:5" ht="20.25" customHeight="1">
      <c r="A562" s="20"/>
      <c r="B562" s="21"/>
      <c r="D562" s="8"/>
      <c r="E562" s="8"/>
    </row>
    <row r="563" spans="1:5" ht="20.25" customHeight="1">
      <c r="A563" s="20"/>
      <c r="B563" s="21"/>
      <c r="D563" s="8"/>
      <c r="E563" s="8"/>
    </row>
    <row r="564" spans="1:5" ht="20.25" customHeight="1">
      <c r="A564" s="20"/>
      <c r="B564" s="21"/>
      <c r="D564" s="8"/>
      <c r="E564" s="8"/>
    </row>
    <row r="565" spans="1:5" ht="20.25" customHeight="1">
      <c r="A565" s="20"/>
      <c r="B565" s="21"/>
      <c r="D565" s="8"/>
      <c r="E565" s="8"/>
    </row>
    <row r="566" spans="1:5" ht="20.25" customHeight="1">
      <c r="A566" s="20"/>
      <c r="B566" s="21"/>
      <c r="D566" s="8"/>
      <c r="E566" s="8"/>
    </row>
    <row r="567" spans="1:5" ht="20.25" customHeight="1">
      <c r="A567" s="20"/>
      <c r="B567" s="21"/>
      <c r="D567" s="8"/>
      <c r="E567" s="8"/>
    </row>
    <row r="568" spans="1:5" ht="20.25" customHeight="1">
      <c r="A568" s="20"/>
      <c r="B568" s="21"/>
      <c r="D568" s="8"/>
      <c r="E568" s="8"/>
    </row>
    <row r="569" spans="1:5" ht="20.25" customHeight="1">
      <c r="A569" s="20"/>
      <c r="B569" s="21"/>
      <c r="D569" s="8"/>
      <c r="E569" s="8"/>
    </row>
    <row r="570" spans="1:5" ht="20.25" customHeight="1">
      <c r="A570" s="20"/>
      <c r="B570" s="21"/>
      <c r="D570" s="8"/>
      <c r="E570" s="8"/>
    </row>
    <row r="571" spans="1:5" ht="20.25" customHeight="1">
      <c r="A571" s="20"/>
      <c r="B571" s="21"/>
      <c r="D571" s="8"/>
      <c r="E571" s="8"/>
    </row>
    <row r="572" spans="1:5" ht="20.25" customHeight="1">
      <c r="A572" s="20"/>
      <c r="B572" s="21"/>
      <c r="D572" s="8"/>
      <c r="E572" s="8"/>
    </row>
    <row r="573" spans="1:5" ht="20.25" customHeight="1">
      <c r="A573" s="20"/>
      <c r="B573" s="21"/>
      <c r="D573" s="8"/>
      <c r="E573" s="8"/>
    </row>
    <row r="574" spans="1:5" ht="20.25" customHeight="1">
      <c r="A574" s="20"/>
      <c r="B574" s="21"/>
      <c r="D574" s="8"/>
      <c r="E574" s="8"/>
    </row>
    <row r="575" spans="1:5" ht="20.25" customHeight="1">
      <c r="A575" s="20"/>
      <c r="B575" s="21"/>
      <c r="D575" s="8"/>
      <c r="E575" s="8"/>
    </row>
    <row r="576" spans="1:5" ht="20.25" customHeight="1">
      <c r="A576" s="20"/>
      <c r="B576" s="21"/>
      <c r="D576" s="8"/>
      <c r="E576" s="8"/>
    </row>
    <row r="577" spans="1:5" ht="20.25" customHeight="1">
      <c r="A577" s="20"/>
      <c r="B577" s="21"/>
      <c r="D577" s="8"/>
      <c r="E577" s="8"/>
    </row>
    <row r="578" spans="1:5" ht="20.25" customHeight="1">
      <c r="A578" s="20"/>
      <c r="B578" s="21"/>
      <c r="D578" s="8"/>
      <c r="E578" s="8"/>
    </row>
    <row r="579" spans="1:5" ht="20.25" customHeight="1">
      <c r="A579" s="20"/>
      <c r="B579" s="21"/>
      <c r="D579" s="8"/>
      <c r="E579" s="8"/>
    </row>
    <row r="580" spans="1:5" ht="20.25" customHeight="1">
      <c r="A580" s="20"/>
      <c r="B580" s="21"/>
      <c r="D580" s="8"/>
      <c r="E580" s="8"/>
    </row>
    <row r="581" spans="1:5" ht="20.25" customHeight="1">
      <c r="A581" s="20"/>
      <c r="B581" s="21"/>
      <c r="D581" s="8"/>
      <c r="E581" s="8"/>
    </row>
    <row r="582" spans="1:5" ht="20.25" customHeight="1">
      <c r="A582" s="20"/>
      <c r="B582" s="21"/>
      <c r="D582" s="8"/>
      <c r="E582" s="8"/>
    </row>
    <row r="583" spans="1:5" ht="20.25" customHeight="1">
      <c r="A583" s="20"/>
      <c r="B583" s="21"/>
      <c r="D583" s="8"/>
      <c r="E583" s="8"/>
    </row>
    <row r="584" spans="1:5" ht="20.25" customHeight="1">
      <c r="A584" s="20"/>
      <c r="B584" s="21"/>
      <c r="D584" s="8"/>
      <c r="E584" s="8"/>
    </row>
    <row r="585" spans="1:5" ht="20.25" customHeight="1">
      <c r="A585" s="20"/>
      <c r="B585" s="21"/>
      <c r="D585" s="8"/>
      <c r="E585" s="8"/>
    </row>
    <row r="586" spans="1:5" ht="20.25" customHeight="1">
      <c r="A586" s="20"/>
      <c r="B586" s="21"/>
      <c r="D586" s="8"/>
      <c r="E586" s="8"/>
    </row>
    <row r="587" spans="1:5" ht="20.25" customHeight="1">
      <c r="A587" s="20"/>
      <c r="B587" s="21"/>
      <c r="D587" s="8"/>
      <c r="E587" s="8"/>
    </row>
    <row r="588" spans="1:5" ht="20.25" customHeight="1">
      <c r="A588" s="20"/>
      <c r="B588" s="21"/>
      <c r="D588" s="8"/>
      <c r="E588" s="8"/>
    </row>
    <row r="589" spans="1:5" ht="20.25" customHeight="1">
      <c r="A589" s="20"/>
      <c r="B589" s="21"/>
      <c r="D589" s="8"/>
      <c r="E589" s="8"/>
    </row>
    <row r="590" spans="1:5" ht="20.25" customHeight="1">
      <c r="A590" s="20"/>
      <c r="B590" s="21"/>
      <c r="D590" s="8"/>
      <c r="E590" s="8"/>
    </row>
    <row r="591" spans="1:5" ht="20.25" customHeight="1">
      <c r="A591" s="20"/>
      <c r="B591" s="21"/>
      <c r="D591" s="8"/>
      <c r="E591" s="8"/>
    </row>
    <row r="592" spans="1:5" ht="20.25" customHeight="1">
      <c r="A592" s="20"/>
      <c r="B592" s="21"/>
      <c r="D592" s="8"/>
      <c r="E592" s="8"/>
    </row>
    <row r="593" spans="1:5" ht="20.25" customHeight="1">
      <c r="A593" s="20"/>
      <c r="B593" s="21"/>
      <c r="D593" s="8"/>
      <c r="E593" s="8"/>
    </row>
    <row r="594" spans="1:5" ht="20.25" customHeight="1">
      <c r="A594" s="20"/>
      <c r="B594" s="21"/>
      <c r="D594" s="8"/>
      <c r="E594" s="8"/>
    </row>
    <row r="595" spans="1:5" ht="20.25" customHeight="1">
      <c r="A595" s="20"/>
      <c r="B595" s="21"/>
      <c r="D595" s="8"/>
      <c r="E595" s="8"/>
    </row>
    <row r="596" spans="1:5" ht="20.25" customHeight="1">
      <c r="A596" s="20"/>
      <c r="B596" s="21"/>
      <c r="D596" s="8"/>
      <c r="E596" s="8"/>
    </row>
    <row r="597" spans="1:5" ht="20.25" customHeight="1">
      <c r="A597" s="20"/>
      <c r="B597" s="21"/>
      <c r="D597" s="8"/>
      <c r="E597" s="8"/>
    </row>
    <row r="598" spans="1:5" ht="20.25" customHeight="1">
      <c r="A598" s="20"/>
      <c r="B598" s="21"/>
      <c r="D598" s="8"/>
      <c r="E598" s="8"/>
    </row>
    <row r="599" spans="1:5" ht="20.25" customHeight="1">
      <c r="A599" s="20"/>
      <c r="B599" s="21"/>
      <c r="D599" s="8"/>
      <c r="E599" s="8"/>
    </row>
    <row r="600" spans="1:5" ht="20.25" customHeight="1">
      <c r="A600" s="20"/>
      <c r="B600" s="21"/>
      <c r="D600" s="8"/>
      <c r="E600" s="8"/>
    </row>
    <row r="601" spans="1:5" ht="20.25" customHeight="1">
      <c r="A601" s="20"/>
      <c r="B601" s="21"/>
      <c r="D601" s="8"/>
      <c r="E601" s="8"/>
    </row>
    <row r="602" spans="1:5" ht="20.25" customHeight="1">
      <c r="A602" s="20"/>
      <c r="B602" s="21"/>
      <c r="D602" s="8"/>
      <c r="E602" s="8"/>
    </row>
    <row r="603" spans="1:5" ht="20.25" customHeight="1">
      <c r="A603" s="20"/>
      <c r="B603" s="21"/>
      <c r="D603" s="8"/>
      <c r="E603" s="8"/>
    </row>
    <row r="604" spans="1:5" ht="20.25" customHeight="1">
      <c r="A604" s="20"/>
      <c r="B604" s="21"/>
      <c r="D604" s="8"/>
      <c r="E604" s="8"/>
    </row>
    <row r="605" spans="1:5" ht="20.25" customHeight="1">
      <c r="A605" s="20"/>
      <c r="B605" s="21"/>
      <c r="D605" s="8"/>
      <c r="E605" s="8"/>
    </row>
    <row r="606" spans="1:5" ht="20.25" customHeight="1">
      <c r="A606" s="20"/>
      <c r="B606" s="21"/>
      <c r="D606" s="8"/>
      <c r="E606" s="8"/>
    </row>
    <row r="607" spans="1:5" ht="20.25" customHeight="1">
      <c r="A607" s="20"/>
      <c r="B607" s="21"/>
      <c r="D607" s="8"/>
      <c r="E607" s="8"/>
    </row>
    <row r="608" spans="1:5" ht="20.25" customHeight="1">
      <c r="A608" s="20"/>
      <c r="B608" s="21"/>
      <c r="D608" s="8"/>
      <c r="E608" s="8"/>
    </row>
    <row r="609" spans="1:5" ht="20.25" customHeight="1">
      <c r="A609" s="20"/>
      <c r="B609" s="21"/>
      <c r="D609" s="8"/>
      <c r="E609" s="8"/>
    </row>
    <row r="610" spans="1:5" ht="20.25" customHeight="1">
      <c r="A610" s="20"/>
      <c r="B610" s="21"/>
      <c r="D610" s="8"/>
      <c r="E610" s="8"/>
    </row>
    <row r="611" spans="1:5" ht="20.25" customHeight="1">
      <c r="A611" s="20"/>
      <c r="B611" s="21"/>
      <c r="D611" s="8"/>
      <c r="E611" s="8"/>
    </row>
    <row r="612" spans="1:5" ht="20.25" customHeight="1">
      <c r="A612" s="20"/>
      <c r="B612" s="21"/>
      <c r="D612" s="8"/>
      <c r="E612" s="8"/>
    </row>
    <row r="613" spans="1:5" ht="20.25" customHeight="1">
      <c r="A613" s="20"/>
      <c r="B613" s="21"/>
      <c r="D613" s="8"/>
      <c r="E613" s="8"/>
    </row>
    <row r="614" spans="1:5" ht="20.25" customHeight="1">
      <c r="A614" s="20"/>
      <c r="B614" s="21"/>
      <c r="D614" s="8"/>
      <c r="E614" s="8"/>
    </row>
    <row r="615" spans="1:5" ht="20.25" customHeight="1">
      <c r="A615" s="20"/>
      <c r="B615" s="21"/>
      <c r="D615" s="8"/>
      <c r="E615" s="8"/>
    </row>
    <row r="616" spans="1:5" ht="20.25" customHeight="1">
      <c r="A616" s="20"/>
      <c r="B616" s="21"/>
      <c r="D616" s="8"/>
      <c r="E616" s="8"/>
    </row>
    <row r="617" spans="1:5" ht="20.25" customHeight="1">
      <c r="A617" s="20"/>
      <c r="B617" s="21"/>
      <c r="D617" s="8"/>
      <c r="E617" s="8"/>
    </row>
    <row r="618" spans="1:5" ht="20.25" customHeight="1">
      <c r="A618" s="20"/>
      <c r="B618" s="21"/>
      <c r="D618" s="8"/>
      <c r="E618" s="8"/>
    </row>
    <row r="619" spans="1:5" ht="20.25" customHeight="1">
      <c r="A619" s="20"/>
      <c r="B619" s="21"/>
      <c r="D619" s="8"/>
      <c r="E619" s="8"/>
    </row>
    <row r="620" spans="1:5" ht="20.25" customHeight="1">
      <c r="A620" s="20"/>
      <c r="B620" s="21"/>
      <c r="D620" s="8"/>
      <c r="E620" s="8"/>
    </row>
    <row r="621" spans="1:5" ht="20.25" customHeight="1">
      <c r="A621" s="20"/>
      <c r="B621" s="21"/>
      <c r="D621" s="8"/>
      <c r="E621" s="8"/>
    </row>
    <row r="622" spans="1:5" ht="20.25" customHeight="1">
      <c r="A622" s="20"/>
      <c r="B622" s="21"/>
      <c r="D622" s="8"/>
      <c r="E622" s="8"/>
    </row>
    <row r="623" spans="1:5" ht="20.25" customHeight="1">
      <c r="A623" s="20"/>
      <c r="B623" s="21"/>
      <c r="D623" s="8"/>
      <c r="E623" s="8"/>
    </row>
    <row r="624" spans="1:5" ht="20.25" customHeight="1">
      <c r="A624" s="20"/>
      <c r="B624" s="21"/>
      <c r="D624" s="8"/>
      <c r="E624" s="8"/>
    </row>
    <row r="625" spans="1:5" ht="20.25" customHeight="1">
      <c r="A625" s="20"/>
      <c r="B625" s="21"/>
      <c r="D625" s="8"/>
      <c r="E625" s="8"/>
    </row>
    <row r="626" spans="1:5" ht="20.25" customHeight="1">
      <c r="A626" s="20"/>
      <c r="B626" s="21"/>
      <c r="D626" s="8"/>
      <c r="E626" s="8"/>
    </row>
    <row r="627" spans="1:5" ht="20.25" customHeight="1">
      <c r="A627" s="20"/>
      <c r="B627" s="21"/>
      <c r="D627" s="8"/>
      <c r="E627" s="8"/>
    </row>
    <row r="628" spans="1:5" ht="20.25" customHeight="1">
      <c r="A628" s="20"/>
      <c r="B628" s="21"/>
      <c r="D628" s="8"/>
      <c r="E628" s="8"/>
    </row>
    <row r="629" spans="1:5" ht="20.25" customHeight="1">
      <c r="A629" s="20"/>
      <c r="B629" s="21"/>
      <c r="D629" s="8"/>
      <c r="E629" s="8"/>
    </row>
    <row r="630" spans="1:5" ht="20.25" customHeight="1">
      <c r="A630" s="20"/>
      <c r="B630" s="21"/>
      <c r="D630" s="8"/>
      <c r="E630" s="8"/>
    </row>
    <row r="631" spans="1:5" ht="20.25" customHeight="1">
      <c r="A631" s="20"/>
      <c r="B631" s="21"/>
      <c r="D631" s="8"/>
      <c r="E631" s="8"/>
    </row>
    <row r="632" spans="1:5" ht="20.25" customHeight="1">
      <c r="A632" s="20"/>
      <c r="B632" s="21"/>
      <c r="D632" s="8"/>
      <c r="E632" s="8"/>
    </row>
    <row r="633" spans="1:5" ht="20.25" customHeight="1">
      <c r="A633" s="20"/>
      <c r="B633" s="21"/>
      <c r="D633" s="8"/>
      <c r="E633" s="8"/>
    </row>
    <row r="634" spans="1:5" ht="20.25" customHeight="1">
      <c r="A634" s="20"/>
      <c r="B634" s="21"/>
      <c r="D634" s="8"/>
      <c r="E634" s="8"/>
    </row>
    <row r="635" spans="1:5" ht="20.25" customHeight="1">
      <c r="A635" s="20"/>
      <c r="B635" s="21"/>
      <c r="D635" s="8"/>
      <c r="E635" s="8"/>
    </row>
    <row r="636" spans="1:5" ht="20.25" customHeight="1">
      <c r="A636" s="20"/>
      <c r="B636" s="21"/>
      <c r="D636" s="8"/>
      <c r="E636" s="8"/>
    </row>
    <row r="637" spans="1:5" ht="20.25" customHeight="1">
      <c r="A637" s="20"/>
      <c r="B637" s="21"/>
      <c r="D637" s="8"/>
      <c r="E637" s="8"/>
    </row>
    <row r="638" spans="1:5" ht="20.25" customHeight="1">
      <c r="A638" s="20"/>
      <c r="B638" s="21"/>
      <c r="D638" s="8"/>
      <c r="E638" s="8"/>
    </row>
    <row r="639" spans="1:5" ht="20.25" customHeight="1">
      <c r="A639" s="20"/>
      <c r="B639" s="21"/>
      <c r="D639" s="8"/>
      <c r="E639" s="8"/>
    </row>
    <row r="640" spans="1:5" ht="20.25" customHeight="1">
      <c r="A640" s="20"/>
      <c r="B640" s="21"/>
      <c r="D640" s="8"/>
      <c r="E640" s="8"/>
    </row>
    <row r="641" spans="1:5" ht="20.25" customHeight="1">
      <c r="A641" s="20"/>
      <c r="B641" s="21"/>
      <c r="D641" s="8"/>
      <c r="E641" s="8"/>
    </row>
    <row r="642" spans="1:5" ht="20.25" customHeight="1">
      <c r="A642" s="20"/>
      <c r="B642" s="21"/>
      <c r="D642" s="8"/>
      <c r="E642" s="8"/>
    </row>
    <row r="643" spans="1:5" ht="20.25" customHeight="1">
      <c r="A643" s="20"/>
      <c r="B643" s="21"/>
      <c r="D643" s="8"/>
      <c r="E643" s="8"/>
    </row>
    <row r="644" spans="1:5" ht="20.25" customHeight="1">
      <c r="A644" s="20"/>
      <c r="B644" s="21"/>
      <c r="D644" s="8"/>
      <c r="E644" s="8"/>
    </row>
    <row r="645" spans="1:5" ht="20.25" customHeight="1">
      <c r="A645" s="20"/>
      <c r="B645" s="21"/>
      <c r="D645" s="8"/>
      <c r="E645" s="8"/>
    </row>
    <row r="646" spans="1:5" ht="20.25" customHeight="1">
      <c r="A646" s="20"/>
      <c r="B646" s="21"/>
      <c r="D646" s="8"/>
      <c r="E646" s="8"/>
    </row>
    <row r="647" spans="1:5" ht="20.25" customHeight="1">
      <c r="A647" s="20"/>
      <c r="B647" s="21"/>
      <c r="D647" s="8"/>
      <c r="E647" s="8"/>
    </row>
    <row r="648" spans="1:5" ht="20.25" customHeight="1">
      <c r="A648" s="20"/>
      <c r="B648" s="21"/>
      <c r="D648" s="8"/>
      <c r="E648" s="8"/>
    </row>
    <row r="649" spans="1:5" ht="20.25" customHeight="1">
      <c r="A649" s="20"/>
      <c r="B649" s="21"/>
      <c r="D649" s="8"/>
      <c r="E649" s="8"/>
    </row>
    <row r="650" spans="1:5" ht="20.25" customHeight="1">
      <c r="A650" s="20"/>
      <c r="B650" s="21"/>
      <c r="D650" s="8"/>
      <c r="E650" s="8"/>
    </row>
    <row r="651" spans="1:5" ht="20.25" customHeight="1">
      <c r="A651" s="20"/>
      <c r="B651" s="21"/>
      <c r="D651" s="8"/>
      <c r="E651" s="8"/>
    </row>
    <row r="652" spans="1:5" ht="20.25" customHeight="1">
      <c r="A652" s="20"/>
      <c r="B652" s="21"/>
      <c r="D652" s="8"/>
      <c r="E652" s="8"/>
    </row>
    <row r="653" spans="1:5" ht="20.25" customHeight="1">
      <c r="A653" s="20"/>
      <c r="B653" s="21"/>
      <c r="D653" s="8"/>
      <c r="E653" s="8"/>
    </row>
    <row r="654" spans="1:5" ht="20.25" customHeight="1">
      <c r="A654" s="20"/>
      <c r="B654" s="21"/>
      <c r="D654" s="8"/>
      <c r="E654" s="8"/>
    </row>
    <row r="655" spans="1:5" ht="20.25" customHeight="1">
      <c r="A655" s="20"/>
      <c r="B655" s="21"/>
      <c r="D655" s="8"/>
      <c r="E655" s="8"/>
    </row>
    <row r="656" spans="1:5" ht="20.25" customHeight="1">
      <c r="A656" s="20"/>
      <c r="B656" s="21"/>
      <c r="D656" s="8"/>
      <c r="E656" s="8"/>
    </row>
    <row r="657" spans="1:5" ht="20.25" customHeight="1">
      <c r="A657" s="20"/>
      <c r="B657" s="21"/>
      <c r="D657" s="8"/>
      <c r="E657" s="8"/>
    </row>
    <row r="658" spans="1:5" ht="20.25" customHeight="1">
      <c r="A658" s="20"/>
      <c r="B658" s="21"/>
      <c r="D658" s="8"/>
      <c r="E658" s="8"/>
    </row>
    <row r="659" spans="1:5" ht="20.25" customHeight="1">
      <c r="A659" s="20"/>
      <c r="B659" s="21"/>
      <c r="D659" s="8"/>
      <c r="E659" s="8"/>
    </row>
    <row r="660" spans="1:5" ht="20.25" customHeight="1">
      <c r="A660" s="20"/>
      <c r="B660" s="21"/>
      <c r="D660" s="8"/>
      <c r="E660" s="8"/>
    </row>
    <row r="661" spans="1:5" ht="20.25" customHeight="1">
      <c r="A661" s="20"/>
      <c r="B661" s="21"/>
      <c r="D661" s="8"/>
      <c r="E661" s="8"/>
    </row>
    <row r="662" spans="1:5" ht="20.25" customHeight="1">
      <c r="A662" s="20"/>
      <c r="B662" s="21"/>
      <c r="D662" s="8"/>
      <c r="E662" s="8"/>
    </row>
    <row r="663" spans="1:5" ht="20.25" customHeight="1">
      <c r="A663" s="20"/>
      <c r="B663" s="21"/>
      <c r="D663" s="8"/>
      <c r="E663" s="8"/>
    </row>
    <row r="664" spans="1:5" ht="20.25" customHeight="1">
      <c r="A664" s="20"/>
      <c r="B664" s="21"/>
      <c r="D664" s="8"/>
      <c r="E664" s="8"/>
    </row>
    <row r="665" spans="1:5" ht="20.25" customHeight="1">
      <c r="A665" s="20"/>
      <c r="B665" s="21"/>
      <c r="D665" s="8"/>
      <c r="E665" s="8"/>
    </row>
    <row r="666" spans="1:5" ht="20.25" customHeight="1">
      <c r="A666" s="20"/>
      <c r="B666" s="21"/>
      <c r="D666" s="8"/>
      <c r="E666" s="8"/>
    </row>
    <row r="667" spans="1:5" ht="20.25" customHeight="1">
      <c r="A667" s="20"/>
      <c r="B667" s="21"/>
      <c r="D667" s="8"/>
      <c r="E667" s="8"/>
    </row>
    <row r="668" spans="1:5" ht="20.25" customHeight="1">
      <c r="A668" s="20"/>
      <c r="B668" s="21"/>
      <c r="D668" s="8"/>
      <c r="E668" s="8"/>
    </row>
    <row r="669" spans="1:5" ht="20.25" customHeight="1">
      <c r="A669" s="20"/>
      <c r="B669" s="21"/>
      <c r="D669" s="8"/>
      <c r="E669" s="8"/>
    </row>
    <row r="670" spans="1:5" ht="20.25" customHeight="1">
      <c r="A670" s="20"/>
      <c r="B670" s="21"/>
      <c r="D670" s="8"/>
      <c r="E670" s="8"/>
    </row>
    <row r="671" spans="1:5" ht="20.25" customHeight="1">
      <c r="A671" s="20"/>
      <c r="B671" s="21"/>
      <c r="D671" s="8"/>
      <c r="E671" s="8"/>
    </row>
    <row r="672" spans="1:5" ht="20.25" customHeight="1">
      <c r="A672" s="20"/>
      <c r="B672" s="21"/>
      <c r="D672" s="8"/>
      <c r="E672" s="8"/>
    </row>
    <row r="673" spans="1:5" ht="20.25" customHeight="1">
      <c r="A673" s="20"/>
      <c r="B673" s="21"/>
      <c r="D673" s="8"/>
      <c r="E673" s="8"/>
    </row>
    <row r="674" spans="1:5" ht="20.25" customHeight="1">
      <c r="A674" s="20"/>
      <c r="B674" s="21"/>
      <c r="D674" s="8"/>
      <c r="E674" s="8"/>
    </row>
    <row r="675" spans="1:5" ht="20.25" customHeight="1">
      <c r="A675" s="20"/>
      <c r="B675" s="21"/>
      <c r="D675" s="8"/>
      <c r="E675" s="8"/>
    </row>
    <row r="676" spans="1:5" ht="20.25" customHeight="1">
      <c r="A676" s="20"/>
      <c r="B676" s="21"/>
      <c r="D676" s="8"/>
      <c r="E676" s="8"/>
    </row>
    <row r="677" spans="1:5" ht="20.25" customHeight="1">
      <c r="A677" s="20"/>
      <c r="B677" s="21"/>
      <c r="D677" s="8"/>
      <c r="E677" s="8"/>
    </row>
    <row r="678" spans="1:5" ht="20.25" customHeight="1">
      <c r="A678" s="20"/>
      <c r="B678" s="21"/>
      <c r="D678" s="8"/>
      <c r="E678" s="8"/>
    </row>
    <row r="679" spans="1:5" ht="20.25" customHeight="1">
      <c r="A679" s="20"/>
      <c r="B679" s="21"/>
      <c r="D679" s="8"/>
      <c r="E679" s="8"/>
    </row>
    <row r="680" spans="1:5" ht="20.25" customHeight="1">
      <c r="A680" s="20"/>
      <c r="B680" s="21"/>
      <c r="D680" s="8"/>
      <c r="E680" s="8"/>
    </row>
    <row r="681" spans="1:5" ht="20.25" customHeight="1">
      <c r="A681" s="20"/>
      <c r="B681" s="21"/>
      <c r="D681" s="8"/>
      <c r="E681" s="8"/>
    </row>
    <row r="682" spans="1:5" ht="20.25" customHeight="1">
      <c r="A682" s="20"/>
      <c r="B682" s="21"/>
      <c r="D682" s="8"/>
      <c r="E682" s="8"/>
    </row>
    <row r="683" spans="1:5" ht="20.25" customHeight="1">
      <c r="A683" s="20"/>
      <c r="B683" s="21"/>
      <c r="D683" s="8"/>
      <c r="E683" s="8"/>
    </row>
    <row r="684" spans="1:5" ht="20.25" customHeight="1">
      <c r="A684" s="20"/>
      <c r="B684" s="21"/>
      <c r="D684" s="8"/>
      <c r="E684" s="8"/>
    </row>
    <row r="685" spans="1:5" ht="20.25" customHeight="1">
      <c r="A685" s="20"/>
      <c r="B685" s="21"/>
      <c r="D685" s="8"/>
      <c r="E685" s="8"/>
    </row>
    <row r="686" spans="1:5" ht="20.25" customHeight="1">
      <c r="A686" s="20"/>
      <c r="B686" s="21"/>
      <c r="D686" s="8"/>
      <c r="E686" s="8"/>
    </row>
    <row r="687" spans="1:5" ht="20.25" customHeight="1">
      <c r="A687" s="20"/>
      <c r="B687" s="21"/>
      <c r="D687" s="8"/>
      <c r="E687" s="8"/>
    </row>
    <row r="688" spans="1:5" ht="20.25" customHeight="1">
      <c r="A688" s="20"/>
      <c r="B688" s="21"/>
      <c r="D688" s="8"/>
      <c r="E688" s="8"/>
    </row>
    <row r="689" spans="1:5" ht="20.25" customHeight="1">
      <c r="A689" s="20"/>
      <c r="B689" s="21"/>
      <c r="D689" s="8"/>
      <c r="E689" s="8"/>
    </row>
    <row r="690" spans="1:5" ht="20.25" customHeight="1">
      <c r="A690" s="20"/>
      <c r="B690" s="21"/>
      <c r="D690" s="8"/>
      <c r="E690" s="8"/>
    </row>
    <row r="691" spans="1:5" ht="20.25" customHeight="1">
      <c r="A691" s="20"/>
      <c r="B691" s="21"/>
      <c r="D691" s="8"/>
      <c r="E691" s="8"/>
    </row>
    <row r="692" spans="1:5" ht="20.25" customHeight="1">
      <c r="A692" s="20"/>
      <c r="B692" s="21"/>
      <c r="D692" s="8"/>
      <c r="E692" s="8"/>
    </row>
    <row r="693" spans="1:5" ht="20.25" customHeight="1">
      <c r="A693" s="20"/>
      <c r="B693" s="21"/>
      <c r="D693" s="8"/>
      <c r="E693" s="8"/>
    </row>
    <row r="694" spans="1:5" ht="20.25" customHeight="1">
      <c r="A694" s="20"/>
      <c r="B694" s="21"/>
      <c r="D694" s="8"/>
      <c r="E694" s="8"/>
    </row>
    <row r="695" spans="1:5" ht="20.25" customHeight="1">
      <c r="A695" s="20"/>
      <c r="B695" s="21"/>
      <c r="D695" s="8"/>
      <c r="E695" s="8"/>
    </row>
    <row r="696" spans="1:5" ht="20.25" customHeight="1">
      <c r="A696" s="20"/>
      <c r="B696" s="21"/>
      <c r="D696" s="8"/>
      <c r="E696" s="8"/>
    </row>
    <row r="697" spans="1:5" ht="20.25" customHeight="1">
      <c r="A697" s="20"/>
      <c r="B697" s="21"/>
      <c r="D697" s="8"/>
      <c r="E697" s="8"/>
    </row>
    <row r="698" spans="1:5" ht="20.25" customHeight="1">
      <c r="A698" s="20"/>
      <c r="B698" s="21"/>
      <c r="D698" s="8"/>
      <c r="E698" s="8"/>
    </row>
    <row r="699" spans="1:5" ht="20.25" customHeight="1">
      <c r="A699" s="20"/>
      <c r="B699" s="21"/>
      <c r="D699" s="8"/>
      <c r="E699" s="8"/>
    </row>
    <row r="700" spans="1:5" ht="20.25" customHeight="1">
      <c r="A700" s="20"/>
      <c r="B700" s="21"/>
      <c r="D700" s="8"/>
      <c r="E700" s="8"/>
    </row>
    <row r="701" spans="1:5" ht="20.25" customHeight="1">
      <c r="A701" s="20"/>
      <c r="B701" s="21"/>
      <c r="D701" s="8"/>
      <c r="E701" s="8"/>
    </row>
    <row r="702" spans="1:5" ht="20.25" customHeight="1">
      <c r="A702" s="20"/>
      <c r="B702" s="21"/>
      <c r="D702" s="8"/>
      <c r="E702" s="8"/>
    </row>
    <row r="703" spans="1:5" ht="20.25" customHeight="1">
      <c r="A703" s="20"/>
      <c r="B703" s="21"/>
      <c r="D703" s="8"/>
      <c r="E703" s="8"/>
    </row>
    <row r="704" spans="1:5" ht="20.25" customHeight="1">
      <c r="A704" s="20"/>
      <c r="B704" s="21"/>
      <c r="D704" s="8"/>
      <c r="E704" s="8"/>
    </row>
    <row r="705" spans="1:5" ht="20.25" customHeight="1">
      <c r="A705" s="20"/>
      <c r="B705" s="21"/>
      <c r="D705" s="8"/>
      <c r="E705" s="8"/>
    </row>
    <row r="706" spans="1:5" ht="20.25" customHeight="1">
      <c r="A706" s="20"/>
      <c r="B706" s="21"/>
      <c r="D706" s="8"/>
      <c r="E706" s="8"/>
    </row>
    <row r="707" spans="1:5" ht="20.25" customHeight="1">
      <c r="A707" s="20"/>
      <c r="B707" s="21"/>
      <c r="D707" s="8"/>
      <c r="E707" s="8"/>
    </row>
    <row r="708" spans="1:5" ht="20.25" customHeight="1">
      <c r="A708" s="20"/>
      <c r="B708" s="21"/>
      <c r="D708" s="8"/>
      <c r="E708" s="8"/>
    </row>
    <row r="709" spans="1:5" ht="20.25" customHeight="1">
      <c r="A709" s="20"/>
      <c r="B709" s="21"/>
      <c r="D709" s="8"/>
      <c r="E709" s="8"/>
    </row>
    <row r="710" spans="1:5" ht="20.25" customHeight="1">
      <c r="A710" s="20"/>
      <c r="B710" s="21"/>
      <c r="D710" s="8"/>
      <c r="E710" s="8"/>
    </row>
    <row r="711" spans="1:5" ht="20.25" customHeight="1">
      <c r="A711" s="20"/>
      <c r="B711" s="21"/>
      <c r="D711" s="8"/>
      <c r="E711" s="8"/>
    </row>
    <row r="712" spans="1:5" ht="20.25" customHeight="1">
      <c r="A712" s="20"/>
      <c r="B712" s="21"/>
      <c r="D712" s="8"/>
      <c r="E712" s="8"/>
    </row>
    <row r="713" spans="1:5" ht="20.25" customHeight="1">
      <c r="A713" s="20"/>
      <c r="B713" s="21"/>
      <c r="D713" s="8"/>
      <c r="E713" s="8"/>
    </row>
    <row r="714" spans="1:5" ht="20.25" customHeight="1">
      <c r="A714" s="20"/>
      <c r="B714" s="21"/>
      <c r="D714" s="8"/>
      <c r="E714" s="8"/>
    </row>
    <row r="715" spans="1:5" ht="20.25" customHeight="1">
      <c r="A715" s="20"/>
      <c r="B715" s="21"/>
      <c r="D715" s="8"/>
      <c r="E715" s="8"/>
    </row>
    <row r="716" spans="1:5" ht="20.25" customHeight="1">
      <c r="A716" s="20"/>
      <c r="B716" s="21"/>
      <c r="D716" s="8"/>
      <c r="E716" s="8"/>
    </row>
    <row r="717" spans="1:5" ht="20.25" customHeight="1">
      <c r="A717" s="20"/>
      <c r="B717" s="21"/>
      <c r="D717" s="8"/>
      <c r="E717" s="8"/>
    </row>
    <row r="718" spans="1:5" ht="20.25" customHeight="1">
      <c r="A718" s="20"/>
      <c r="B718" s="21"/>
      <c r="D718" s="8"/>
      <c r="E718" s="8"/>
    </row>
    <row r="719" spans="1:5" ht="20.25" customHeight="1">
      <c r="A719" s="20"/>
      <c r="B719" s="21"/>
      <c r="D719" s="8"/>
      <c r="E719" s="8"/>
    </row>
    <row r="720" spans="1:5" ht="20.25" customHeight="1">
      <c r="A720" s="20"/>
      <c r="B720" s="21"/>
      <c r="D720" s="8"/>
      <c r="E720" s="8"/>
    </row>
    <row r="721" spans="1:5" ht="20.25" customHeight="1">
      <c r="A721" s="20"/>
      <c r="B721" s="21"/>
      <c r="D721" s="8"/>
      <c r="E721" s="8"/>
    </row>
    <row r="722" spans="1:5" ht="20.25" customHeight="1">
      <c r="A722" s="20"/>
      <c r="B722" s="21"/>
      <c r="D722" s="8"/>
      <c r="E722" s="8"/>
    </row>
    <row r="723" spans="1:5" ht="20.25" customHeight="1">
      <c r="A723" s="20"/>
      <c r="B723" s="21"/>
      <c r="D723" s="8"/>
      <c r="E723" s="8"/>
    </row>
    <row r="724" spans="1:5" ht="20.25" customHeight="1">
      <c r="A724" s="20"/>
      <c r="B724" s="21"/>
      <c r="D724" s="8"/>
      <c r="E724" s="8"/>
    </row>
    <row r="725" spans="1:5" ht="20.25" customHeight="1">
      <c r="A725" s="20"/>
      <c r="B725" s="21"/>
      <c r="D725" s="8"/>
      <c r="E725" s="8"/>
    </row>
    <row r="726" spans="1:5" ht="20.25" customHeight="1">
      <c r="A726" s="20"/>
      <c r="B726" s="21"/>
      <c r="D726" s="8"/>
      <c r="E726" s="8"/>
    </row>
    <row r="727" spans="1:5" ht="20.25" customHeight="1">
      <c r="A727" s="20"/>
      <c r="B727" s="21"/>
      <c r="D727" s="8"/>
      <c r="E727" s="8"/>
    </row>
    <row r="728" spans="1:5" ht="20.25" customHeight="1">
      <c r="A728" s="20"/>
      <c r="B728" s="21"/>
      <c r="D728" s="8"/>
      <c r="E728" s="8"/>
    </row>
    <row r="729" spans="1:5" ht="20.25" customHeight="1">
      <c r="A729" s="20"/>
      <c r="B729" s="21"/>
      <c r="D729" s="8"/>
      <c r="E729" s="8"/>
    </row>
    <row r="730" spans="1:5" ht="20.25" customHeight="1">
      <c r="A730" s="20"/>
      <c r="B730" s="21"/>
      <c r="D730" s="8"/>
      <c r="E730" s="8"/>
    </row>
    <row r="731" spans="1:5" ht="20.25" customHeight="1">
      <c r="A731" s="20"/>
      <c r="B731" s="21"/>
      <c r="D731" s="8"/>
      <c r="E731" s="8"/>
    </row>
    <row r="732" spans="1:5" ht="20.25" customHeight="1">
      <c r="A732" s="20"/>
      <c r="B732" s="21"/>
      <c r="D732" s="8"/>
      <c r="E732" s="8"/>
    </row>
    <row r="733" spans="1:5" ht="20.25" customHeight="1">
      <c r="A733" s="20"/>
      <c r="B733" s="21"/>
      <c r="D733" s="8"/>
      <c r="E733" s="8"/>
    </row>
    <row r="734" spans="1:5" ht="20.25" customHeight="1">
      <c r="A734" s="20"/>
      <c r="B734" s="21"/>
      <c r="D734" s="8"/>
      <c r="E734" s="8"/>
    </row>
    <row r="735" spans="1:5" ht="20.25" customHeight="1">
      <c r="A735" s="20"/>
      <c r="B735" s="21"/>
      <c r="D735" s="8"/>
      <c r="E735" s="8"/>
    </row>
    <row r="736" spans="1:5" ht="20.25" customHeight="1">
      <c r="A736" s="20"/>
      <c r="B736" s="21"/>
      <c r="D736" s="8"/>
      <c r="E736" s="8"/>
    </row>
    <row r="737" spans="1:5" ht="20.25" customHeight="1">
      <c r="A737" s="20"/>
      <c r="B737" s="21"/>
      <c r="D737" s="8"/>
      <c r="E737" s="8"/>
    </row>
    <row r="738" spans="1:5" ht="20.25" customHeight="1">
      <c r="A738" s="20"/>
      <c r="B738" s="21"/>
      <c r="D738" s="8"/>
      <c r="E738" s="8"/>
    </row>
    <row r="739" spans="1:5" ht="20.25" customHeight="1">
      <c r="A739" s="20"/>
      <c r="B739" s="21"/>
      <c r="D739" s="8"/>
      <c r="E739" s="8"/>
    </row>
    <row r="740" spans="1:5" ht="20.25" customHeight="1">
      <c r="A740" s="20"/>
      <c r="B740" s="21"/>
      <c r="D740" s="8"/>
      <c r="E740" s="8"/>
    </row>
    <row r="741" spans="1:5" ht="20.25" customHeight="1">
      <c r="A741" s="20"/>
      <c r="B741" s="21"/>
      <c r="D741" s="8"/>
      <c r="E741" s="8"/>
    </row>
    <row r="742" spans="1:5" ht="20.25" customHeight="1">
      <c r="A742" s="20"/>
      <c r="B742" s="21"/>
      <c r="D742" s="8"/>
      <c r="E742" s="8"/>
    </row>
    <row r="743" spans="1:5" ht="20.25" customHeight="1">
      <c r="A743" s="20"/>
      <c r="B743" s="21"/>
      <c r="D743" s="8"/>
      <c r="E743" s="8"/>
    </row>
    <row r="744" spans="1:5" ht="20.25" customHeight="1">
      <c r="A744" s="20"/>
      <c r="B744" s="21"/>
      <c r="D744" s="8"/>
      <c r="E744" s="8"/>
    </row>
    <row r="745" spans="1:5" ht="20.25" customHeight="1">
      <c r="A745" s="20"/>
      <c r="B745" s="21"/>
      <c r="D745" s="8"/>
      <c r="E745" s="8"/>
    </row>
    <row r="746" spans="1:5" ht="20.25" customHeight="1">
      <c r="A746" s="20"/>
      <c r="B746" s="21"/>
      <c r="D746" s="8"/>
      <c r="E746" s="8"/>
    </row>
    <row r="747" spans="1:5" ht="20.25" customHeight="1">
      <c r="A747" s="20"/>
      <c r="B747" s="21"/>
      <c r="D747" s="8"/>
      <c r="E747" s="8"/>
    </row>
    <row r="748" spans="1:5" ht="20.25" customHeight="1">
      <c r="A748" s="20"/>
      <c r="B748" s="21"/>
      <c r="D748" s="8"/>
      <c r="E748" s="8"/>
    </row>
    <row r="749" spans="1:5" ht="20.25" customHeight="1">
      <c r="A749" s="20"/>
      <c r="B749" s="21"/>
      <c r="D749" s="8"/>
      <c r="E749" s="8"/>
    </row>
    <row r="750" spans="1:5" ht="20.25" customHeight="1">
      <c r="A750" s="20"/>
      <c r="B750" s="21"/>
      <c r="D750" s="8"/>
      <c r="E750" s="8"/>
    </row>
    <row r="751" spans="1:5" ht="20.25" customHeight="1">
      <c r="A751" s="20"/>
      <c r="B751" s="21"/>
      <c r="D751" s="8"/>
      <c r="E751" s="8"/>
    </row>
    <row r="752" spans="1:5" ht="20.25" customHeight="1">
      <c r="A752" s="20"/>
      <c r="B752" s="21"/>
      <c r="D752" s="8"/>
      <c r="E752" s="8"/>
    </row>
    <row r="753" spans="1:5" ht="20.25" customHeight="1">
      <c r="A753" s="20"/>
      <c r="B753" s="21"/>
      <c r="D753" s="8"/>
      <c r="E753" s="8"/>
    </row>
    <row r="754" spans="1:5" ht="20.25" customHeight="1">
      <c r="A754" s="20"/>
      <c r="B754" s="21"/>
      <c r="D754" s="8"/>
      <c r="E754" s="8"/>
    </row>
    <row r="755" spans="1:5" ht="20.25" customHeight="1">
      <c r="A755" s="20"/>
      <c r="B755" s="21"/>
      <c r="D755" s="8"/>
      <c r="E755" s="8"/>
    </row>
    <row r="756" spans="1:5" ht="20.25" customHeight="1">
      <c r="A756" s="20"/>
      <c r="B756" s="21"/>
      <c r="D756" s="8"/>
      <c r="E756" s="8"/>
    </row>
    <row r="757" spans="1:5" ht="20.25" customHeight="1">
      <c r="A757" s="20"/>
      <c r="B757" s="21"/>
      <c r="D757" s="8"/>
      <c r="E757" s="8"/>
    </row>
    <row r="758" spans="1:5" ht="20.25" customHeight="1">
      <c r="A758" s="20"/>
      <c r="B758" s="21"/>
      <c r="D758" s="8"/>
      <c r="E758" s="8"/>
    </row>
    <row r="759" spans="1:5" ht="20.25" customHeight="1">
      <c r="A759" s="20"/>
      <c r="B759" s="21"/>
      <c r="D759" s="8"/>
      <c r="E759" s="8"/>
    </row>
    <row r="760" spans="1:5" ht="20.25" customHeight="1">
      <c r="A760" s="20"/>
      <c r="B760" s="21"/>
      <c r="D760" s="8"/>
      <c r="E760" s="8"/>
    </row>
    <row r="761" spans="1:5" ht="20.25" customHeight="1">
      <c r="A761" s="20"/>
      <c r="B761" s="21"/>
      <c r="D761" s="8"/>
      <c r="E761" s="8"/>
    </row>
    <row r="762" spans="1:5" ht="20.25" customHeight="1">
      <c r="A762" s="20"/>
      <c r="B762" s="21"/>
      <c r="D762" s="8"/>
      <c r="E762" s="8"/>
    </row>
    <row r="763" spans="1:5" ht="20.25" customHeight="1">
      <c r="A763" s="20"/>
      <c r="B763" s="21"/>
      <c r="D763" s="8"/>
      <c r="E763" s="8"/>
    </row>
    <row r="764" spans="1:5" ht="20.25" customHeight="1">
      <c r="A764" s="20"/>
      <c r="B764" s="21"/>
      <c r="D764" s="8"/>
      <c r="E764" s="8"/>
    </row>
    <row r="765" spans="1:5" ht="20.25" customHeight="1">
      <c r="A765" s="20"/>
      <c r="B765" s="21"/>
      <c r="D765" s="8"/>
      <c r="E765" s="8"/>
    </row>
    <row r="766" spans="1:5" ht="20.25" customHeight="1">
      <c r="A766" s="20"/>
      <c r="B766" s="21"/>
      <c r="D766" s="8"/>
      <c r="E766" s="8"/>
    </row>
    <row r="767" spans="1:5" ht="20.25" customHeight="1">
      <c r="A767" s="20"/>
      <c r="B767" s="21"/>
      <c r="D767" s="8"/>
      <c r="E767" s="8"/>
    </row>
    <row r="768" spans="1:5" ht="20.25" customHeight="1">
      <c r="A768" s="20"/>
      <c r="B768" s="21"/>
      <c r="D768" s="8"/>
      <c r="E768" s="8"/>
    </row>
    <row r="769" spans="1:5" ht="20.25" customHeight="1">
      <c r="A769" s="20"/>
      <c r="B769" s="21"/>
      <c r="D769" s="8"/>
      <c r="E769" s="8"/>
    </row>
    <row r="770" spans="1:5" ht="20.25" customHeight="1">
      <c r="A770" s="20"/>
      <c r="B770" s="21"/>
      <c r="D770" s="8"/>
      <c r="E770" s="8"/>
    </row>
    <row r="771" spans="1:5" ht="20.25" customHeight="1">
      <c r="A771" s="20"/>
      <c r="B771" s="21"/>
      <c r="D771" s="8"/>
      <c r="E771" s="8"/>
    </row>
    <row r="772" spans="1:5" ht="20.25" customHeight="1">
      <c r="A772" s="20"/>
      <c r="B772" s="21"/>
      <c r="D772" s="8"/>
      <c r="E772" s="8"/>
    </row>
    <row r="773" spans="1:5" ht="20.25" customHeight="1">
      <c r="A773" s="20"/>
      <c r="B773" s="21"/>
      <c r="D773" s="8"/>
      <c r="E773" s="8"/>
    </row>
    <row r="774" spans="1:5" ht="20.25" customHeight="1">
      <c r="A774" s="20"/>
      <c r="B774" s="21"/>
      <c r="D774" s="8"/>
      <c r="E774" s="8"/>
    </row>
    <row r="775" spans="1:5" ht="20.25" customHeight="1">
      <c r="A775" s="20"/>
      <c r="B775" s="21"/>
      <c r="D775" s="8"/>
      <c r="E775" s="8"/>
    </row>
    <row r="776" spans="1:5" ht="20.25" customHeight="1">
      <c r="A776" s="20"/>
      <c r="B776" s="21"/>
      <c r="D776" s="8"/>
      <c r="E776" s="8"/>
    </row>
    <row r="777" spans="1:5" ht="20.25" customHeight="1">
      <c r="A777" s="20"/>
      <c r="B777" s="21"/>
      <c r="D777" s="8"/>
      <c r="E777" s="8"/>
    </row>
    <row r="778" spans="1:5" ht="20.25" customHeight="1">
      <c r="A778" s="20"/>
      <c r="B778" s="21"/>
      <c r="D778" s="8"/>
      <c r="E778" s="8"/>
    </row>
    <row r="779" spans="1:5" ht="20.25" customHeight="1">
      <c r="A779" s="20"/>
      <c r="B779" s="21"/>
      <c r="D779" s="8"/>
      <c r="E779" s="8"/>
    </row>
    <row r="780" spans="1:5" ht="20.25" customHeight="1">
      <c r="A780" s="20"/>
      <c r="B780" s="21"/>
      <c r="D780" s="8"/>
      <c r="E780" s="8"/>
    </row>
    <row r="781" spans="1:5" ht="20.25" customHeight="1">
      <c r="A781" s="20"/>
      <c r="B781" s="21"/>
      <c r="D781" s="8"/>
      <c r="E781" s="8"/>
    </row>
    <row r="782" spans="1:5" ht="20.25" customHeight="1">
      <c r="A782" s="20"/>
      <c r="B782" s="21"/>
      <c r="D782" s="8"/>
      <c r="E782" s="8"/>
    </row>
    <row r="783" spans="1:5" ht="20.25" customHeight="1">
      <c r="A783" s="20"/>
      <c r="B783" s="21"/>
      <c r="D783" s="8"/>
      <c r="E783" s="8"/>
    </row>
    <row r="784" spans="1:5" ht="20.25" customHeight="1">
      <c r="A784" s="20"/>
      <c r="B784" s="21"/>
      <c r="D784" s="8"/>
      <c r="E784" s="8"/>
    </row>
    <row r="785" spans="1:5" ht="20.25" customHeight="1">
      <c r="A785" s="20"/>
      <c r="B785" s="21"/>
      <c r="D785" s="8"/>
      <c r="E785" s="8"/>
    </row>
    <row r="786" spans="1:5" ht="20.25" customHeight="1">
      <c r="A786" s="20"/>
      <c r="B786" s="21"/>
      <c r="D786" s="8"/>
      <c r="E786" s="8"/>
    </row>
    <row r="787" spans="1:5" ht="20.25" customHeight="1">
      <c r="A787" s="20"/>
      <c r="B787" s="21"/>
      <c r="D787" s="8"/>
      <c r="E787" s="8"/>
    </row>
    <row r="788" spans="1:5" ht="20.25" customHeight="1">
      <c r="A788" s="20"/>
      <c r="B788" s="21"/>
      <c r="D788" s="8"/>
      <c r="E788" s="8"/>
    </row>
    <row r="789" spans="1:5" ht="20.25" customHeight="1">
      <c r="A789" s="20"/>
      <c r="B789" s="21"/>
      <c r="D789" s="8"/>
      <c r="E789" s="8"/>
    </row>
    <row r="790" spans="1:5" ht="20.25" customHeight="1">
      <c r="A790" s="20"/>
      <c r="B790" s="21"/>
      <c r="D790" s="8"/>
      <c r="E790" s="8"/>
    </row>
    <row r="791" spans="1:5" ht="20.25" customHeight="1">
      <c r="A791" s="20"/>
      <c r="B791" s="21"/>
      <c r="D791" s="8"/>
      <c r="E791" s="8"/>
    </row>
    <row r="792" spans="1:5" ht="20.25" customHeight="1">
      <c r="A792" s="20"/>
      <c r="B792" s="21"/>
      <c r="D792" s="8"/>
      <c r="E792" s="8"/>
    </row>
    <row r="793" spans="1:5" ht="20.25" customHeight="1">
      <c r="A793" s="20"/>
      <c r="B793" s="21"/>
      <c r="D793" s="8"/>
      <c r="E793" s="8"/>
    </row>
    <row r="794" spans="1:5" ht="20.25" customHeight="1">
      <c r="A794" s="20"/>
      <c r="B794" s="21"/>
      <c r="D794" s="8"/>
      <c r="E794" s="8"/>
    </row>
    <row r="795" spans="1:5" ht="20.25" customHeight="1">
      <c r="A795" s="20"/>
      <c r="B795" s="21"/>
      <c r="D795" s="8"/>
      <c r="E795" s="8"/>
    </row>
    <row r="796" spans="1:5" ht="20.25" customHeight="1">
      <c r="A796" s="20"/>
      <c r="B796" s="21"/>
      <c r="D796" s="8"/>
      <c r="E796" s="8"/>
    </row>
    <row r="797" spans="1:5" ht="20.25" customHeight="1">
      <c r="A797" s="20"/>
      <c r="B797" s="21"/>
      <c r="D797" s="8"/>
      <c r="E797" s="8"/>
    </row>
    <row r="798" spans="1:5" ht="20.25" customHeight="1">
      <c r="A798" s="20"/>
      <c r="B798" s="21"/>
      <c r="D798" s="8"/>
      <c r="E798" s="8"/>
    </row>
    <row r="799" spans="1:5" ht="20.25" customHeight="1">
      <c r="A799" s="20"/>
      <c r="B799" s="21"/>
      <c r="D799" s="8"/>
      <c r="E799" s="8"/>
    </row>
    <row r="800" spans="1:5" ht="20.25" customHeight="1">
      <c r="A800" s="20"/>
      <c r="B800" s="21"/>
      <c r="D800" s="8"/>
      <c r="E800" s="8"/>
    </row>
    <row r="801" spans="1:5" ht="20.25" customHeight="1">
      <c r="A801" s="20"/>
      <c r="B801" s="21"/>
      <c r="D801" s="8"/>
      <c r="E801" s="8"/>
    </row>
    <row r="802" spans="1:5" ht="20.25" customHeight="1">
      <c r="A802" s="20"/>
      <c r="B802" s="21"/>
      <c r="D802" s="8"/>
      <c r="E802" s="8"/>
    </row>
    <row r="803" spans="1:5" ht="20.25" customHeight="1">
      <c r="A803" s="20"/>
      <c r="B803" s="21"/>
      <c r="D803" s="8"/>
      <c r="E803" s="8"/>
    </row>
    <row r="804" spans="1:5" ht="20.25" customHeight="1">
      <c r="A804" s="20"/>
      <c r="B804" s="21"/>
      <c r="D804" s="8"/>
      <c r="E804" s="8"/>
    </row>
    <row r="805" spans="1:5" ht="20.25" customHeight="1">
      <c r="A805" s="20"/>
      <c r="B805" s="21"/>
      <c r="D805" s="8"/>
      <c r="E805" s="8"/>
    </row>
    <row r="806" spans="1:5" ht="20.25" customHeight="1">
      <c r="A806" s="20"/>
      <c r="B806" s="21"/>
      <c r="D806" s="8"/>
      <c r="E806" s="8"/>
    </row>
    <row r="807" spans="1:5" ht="20.25" customHeight="1">
      <c r="A807" s="20"/>
      <c r="B807" s="21"/>
      <c r="D807" s="8"/>
      <c r="E807" s="8"/>
    </row>
    <row r="808" spans="1:5" ht="20.25" customHeight="1">
      <c r="A808" s="20"/>
      <c r="B808" s="21"/>
      <c r="D808" s="8"/>
      <c r="E808" s="8"/>
    </row>
    <row r="809" spans="1:5" ht="20.25" customHeight="1">
      <c r="A809" s="20"/>
      <c r="B809" s="21"/>
      <c r="D809" s="8"/>
      <c r="E809" s="8"/>
    </row>
    <row r="810" spans="1:5" ht="20.25" customHeight="1">
      <c r="A810" s="20"/>
      <c r="B810" s="21"/>
      <c r="D810" s="8"/>
      <c r="E810" s="8"/>
    </row>
    <row r="811" spans="1:5" ht="20.25" customHeight="1">
      <c r="A811" s="20"/>
      <c r="B811" s="21"/>
      <c r="D811" s="8"/>
      <c r="E811" s="8"/>
    </row>
    <row r="812" spans="1:5" ht="20.25" customHeight="1">
      <c r="A812" s="20"/>
      <c r="B812" s="21"/>
      <c r="D812" s="8"/>
      <c r="E812" s="8"/>
    </row>
    <row r="813" spans="1:5" ht="20.25" customHeight="1">
      <c r="A813" s="20"/>
      <c r="B813" s="21"/>
      <c r="D813" s="8"/>
      <c r="E813" s="8"/>
    </row>
    <row r="814" spans="1:5" ht="20.25" customHeight="1">
      <c r="A814" s="20"/>
      <c r="B814" s="21"/>
      <c r="D814" s="8"/>
      <c r="E814" s="8"/>
    </row>
    <row r="815" spans="1:5" ht="20.25" customHeight="1">
      <c r="A815" s="20"/>
      <c r="B815" s="21"/>
      <c r="D815" s="8"/>
      <c r="E815" s="8"/>
    </row>
    <row r="816" spans="1:5" ht="20.25" customHeight="1">
      <c r="A816" s="20"/>
      <c r="B816" s="21"/>
      <c r="D816" s="8"/>
      <c r="E816" s="8"/>
    </row>
    <row r="817" spans="1:5" ht="20.25" customHeight="1">
      <c r="A817" s="20"/>
      <c r="B817" s="21"/>
      <c r="D817" s="8"/>
      <c r="E817" s="8"/>
    </row>
    <row r="818" spans="1:5" ht="20.25" customHeight="1">
      <c r="A818" s="20"/>
      <c r="B818" s="21"/>
      <c r="D818" s="8"/>
      <c r="E818" s="8"/>
    </row>
    <row r="819" spans="1:5" ht="20.25" customHeight="1">
      <c r="A819" s="20"/>
      <c r="B819" s="21"/>
      <c r="D819" s="8"/>
      <c r="E819" s="8"/>
    </row>
    <row r="820" spans="1:5" ht="20.25" customHeight="1">
      <c r="A820" s="20"/>
      <c r="B820" s="21"/>
      <c r="D820" s="8"/>
      <c r="E820" s="8"/>
    </row>
    <row r="821" spans="1:5" ht="20.25" customHeight="1">
      <c r="A821" s="20"/>
      <c r="B821" s="21"/>
      <c r="D821" s="8"/>
      <c r="E821" s="8"/>
    </row>
    <row r="822" spans="1:5" ht="20.25" customHeight="1">
      <c r="A822" s="20"/>
      <c r="B822" s="21"/>
      <c r="D822" s="8"/>
      <c r="E822" s="8"/>
    </row>
    <row r="823" spans="1:5" ht="20.25" customHeight="1">
      <c r="A823" s="20"/>
      <c r="B823" s="21"/>
      <c r="D823" s="8"/>
      <c r="E823" s="8"/>
    </row>
    <row r="824" spans="1:5" ht="20.25" customHeight="1">
      <c r="A824" s="20"/>
      <c r="B824" s="21"/>
      <c r="D824" s="8"/>
      <c r="E824" s="8"/>
    </row>
    <row r="825" spans="1:5" ht="20.25" customHeight="1">
      <c r="A825" s="20"/>
      <c r="B825" s="21"/>
      <c r="D825" s="8"/>
      <c r="E825" s="8"/>
    </row>
    <row r="826" spans="1:5" ht="20.25" customHeight="1">
      <c r="A826" s="20"/>
      <c r="B826" s="21"/>
      <c r="D826" s="8"/>
      <c r="E826" s="8"/>
    </row>
    <row r="827" spans="1:5" ht="20.25" customHeight="1">
      <c r="A827" s="20"/>
      <c r="B827" s="21"/>
      <c r="D827" s="8"/>
      <c r="E827" s="8"/>
    </row>
    <row r="828" spans="1:5" ht="20.25" customHeight="1">
      <c r="A828" s="20"/>
      <c r="B828" s="21"/>
      <c r="D828" s="8"/>
      <c r="E828" s="8"/>
    </row>
    <row r="829" spans="1:5" ht="20.25" customHeight="1">
      <c r="A829" s="20"/>
      <c r="B829" s="21"/>
      <c r="D829" s="8"/>
      <c r="E829" s="8"/>
    </row>
    <row r="830" spans="1:5" ht="20.25" customHeight="1">
      <c r="A830" s="20"/>
      <c r="B830" s="21"/>
      <c r="D830" s="8"/>
      <c r="E830" s="8"/>
    </row>
    <row r="831" spans="1:5" ht="20.25" customHeight="1">
      <c r="A831" s="20"/>
      <c r="B831" s="21"/>
      <c r="D831" s="8"/>
      <c r="E831" s="8"/>
    </row>
    <row r="832" spans="1:5" ht="20.25" customHeight="1">
      <c r="A832" s="20"/>
      <c r="B832" s="21"/>
      <c r="D832" s="8"/>
      <c r="E832" s="8"/>
    </row>
    <row r="833" spans="1:5" ht="20.25" customHeight="1">
      <c r="A833" s="20"/>
      <c r="B833" s="21"/>
      <c r="D833" s="8"/>
      <c r="E833" s="8"/>
    </row>
    <row r="834" spans="1:5" ht="20.25" customHeight="1">
      <c r="A834" s="20"/>
      <c r="B834" s="21"/>
      <c r="D834" s="8"/>
      <c r="E834" s="8"/>
    </row>
    <row r="835" spans="1:5" ht="20.25" customHeight="1">
      <c r="A835" s="20"/>
      <c r="B835" s="21"/>
      <c r="D835" s="8"/>
      <c r="E835" s="8"/>
    </row>
    <row r="836" spans="1:5" ht="20.25" customHeight="1">
      <c r="A836" s="20"/>
      <c r="B836" s="21"/>
      <c r="D836" s="8"/>
      <c r="E836" s="8"/>
    </row>
    <row r="837" spans="1:5" ht="20.25" customHeight="1">
      <c r="A837" s="20"/>
      <c r="B837" s="21"/>
      <c r="D837" s="8"/>
      <c r="E837" s="8"/>
    </row>
    <row r="838" spans="1:5" ht="20.25" customHeight="1">
      <c r="A838" s="20"/>
      <c r="B838" s="21"/>
      <c r="D838" s="8"/>
      <c r="E838" s="8"/>
    </row>
    <row r="839" spans="1:5" ht="20.25" customHeight="1">
      <c r="A839" s="20"/>
      <c r="B839" s="21"/>
      <c r="D839" s="8"/>
      <c r="E839" s="8"/>
    </row>
    <row r="840" spans="1:5" ht="20.25" customHeight="1">
      <c r="A840" s="20"/>
      <c r="B840" s="21"/>
      <c r="D840" s="8"/>
      <c r="E840" s="8"/>
    </row>
    <row r="841" spans="1:5" ht="20.25" customHeight="1">
      <c r="A841" s="20"/>
      <c r="B841" s="21"/>
      <c r="D841" s="8"/>
      <c r="E841" s="8"/>
    </row>
    <row r="842" spans="1:5" ht="20.25" customHeight="1">
      <c r="A842" s="20"/>
      <c r="B842" s="21"/>
      <c r="D842" s="8"/>
      <c r="E842" s="8"/>
    </row>
    <row r="843" spans="1:5" ht="20.25" customHeight="1">
      <c r="A843" s="20"/>
      <c r="B843" s="21"/>
      <c r="D843" s="8"/>
      <c r="E843" s="8"/>
    </row>
    <row r="844" spans="1:5" ht="20.25" customHeight="1">
      <c r="A844" s="20"/>
      <c r="B844" s="21"/>
      <c r="D844" s="8"/>
      <c r="E844" s="8"/>
    </row>
    <row r="845" spans="1:5" ht="20.25" customHeight="1">
      <c r="A845" s="20"/>
      <c r="B845" s="21"/>
      <c r="D845" s="8"/>
      <c r="E845" s="8"/>
    </row>
    <row r="846" spans="1:5" ht="20.25" customHeight="1">
      <c r="A846" s="20"/>
      <c r="B846" s="21"/>
      <c r="D846" s="8"/>
      <c r="E846" s="8"/>
    </row>
    <row r="847" spans="1:5" ht="20.25" customHeight="1">
      <c r="A847" s="20"/>
      <c r="B847" s="21"/>
      <c r="D847" s="8"/>
      <c r="E847" s="8"/>
    </row>
    <row r="848" spans="1:5" ht="20.25" customHeight="1">
      <c r="A848" s="20"/>
      <c r="B848" s="21"/>
      <c r="D848" s="8"/>
      <c r="E848" s="8"/>
    </row>
    <row r="849" spans="1:5" ht="20.25" customHeight="1">
      <c r="A849" s="20"/>
      <c r="B849" s="21"/>
      <c r="D849" s="8"/>
      <c r="E849" s="8"/>
    </row>
    <row r="850" spans="1:5" ht="20.25" customHeight="1">
      <c r="A850" s="20"/>
      <c r="B850" s="21"/>
      <c r="D850" s="8"/>
      <c r="E850" s="8"/>
    </row>
    <row r="851" spans="1:5" ht="20.25" customHeight="1">
      <c r="A851" s="20"/>
      <c r="B851" s="21"/>
      <c r="D851" s="8"/>
      <c r="E851" s="8"/>
    </row>
    <row r="852" spans="1:5" ht="20.25" customHeight="1">
      <c r="A852" s="20"/>
      <c r="B852" s="21"/>
      <c r="D852" s="8"/>
      <c r="E852" s="8"/>
    </row>
    <row r="853" spans="1:5" ht="20.25" customHeight="1">
      <c r="A853" s="20"/>
      <c r="B853" s="21"/>
      <c r="D853" s="8"/>
      <c r="E853" s="8"/>
    </row>
    <row r="854" spans="1:5" ht="20.25" customHeight="1">
      <c r="A854" s="20"/>
      <c r="B854" s="21"/>
      <c r="D854" s="8"/>
      <c r="E854" s="8"/>
    </row>
    <row r="855" spans="1:5" ht="20.25" customHeight="1">
      <c r="A855" s="20"/>
      <c r="B855" s="21"/>
      <c r="D855" s="8"/>
      <c r="E855" s="8"/>
    </row>
    <row r="856" spans="1:5" ht="20.25" customHeight="1">
      <c r="A856" s="20"/>
      <c r="B856" s="21"/>
      <c r="D856" s="8"/>
      <c r="E856" s="8"/>
    </row>
    <row r="857" spans="1:5" ht="20.25" customHeight="1">
      <c r="A857" s="20"/>
      <c r="B857" s="21"/>
      <c r="D857" s="8"/>
      <c r="E857" s="8"/>
    </row>
    <row r="858" spans="1:5" ht="20.25" customHeight="1">
      <c r="A858" s="20"/>
      <c r="B858" s="21"/>
      <c r="D858" s="8"/>
      <c r="E858" s="8"/>
    </row>
    <row r="859" spans="1:5" ht="20.25" customHeight="1">
      <c r="A859" s="20"/>
      <c r="B859" s="21"/>
      <c r="D859" s="8"/>
      <c r="E859" s="8"/>
    </row>
    <row r="860" spans="1:5" ht="20.25" customHeight="1">
      <c r="A860" s="20"/>
      <c r="B860" s="21"/>
      <c r="D860" s="8"/>
      <c r="E860" s="8"/>
    </row>
    <row r="861" spans="1:5" ht="20.25" customHeight="1">
      <c r="A861" s="20"/>
      <c r="B861" s="21"/>
      <c r="D861" s="8"/>
      <c r="E861" s="8"/>
    </row>
    <row r="862" spans="1:5" ht="20.25" customHeight="1">
      <c r="A862" s="20"/>
      <c r="B862" s="21"/>
      <c r="D862" s="8"/>
      <c r="E862" s="8"/>
    </row>
    <row r="863" spans="1:5" ht="20.25" customHeight="1">
      <c r="A863" s="20"/>
      <c r="B863" s="21"/>
      <c r="D863" s="8"/>
      <c r="E863" s="8"/>
    </row>
    <row r="864" spans="1:5" ht="20.25" customHeight="1">
      <c r="A864" s="20"/>
      <c r="B864" s="21"/>
      <c r="D864" s="8"/>
      <c r="E864" s="8"/>
    </row>
    <row r="865" spans="1:5" ht="20.25" customHeight="1">
      <c r="A865" s="20"/>
      <c r="B865" s="21"/>
      <c r="D865" s="8"/>
      <c r="E865" s="8"/>
    </row>
    <row r="866" spans="1:5" ht="20.25" customHeight="1">
      <c r="A866" s="20"/>
      <c r="B866" s="21"/>
      <c r="D866" s="8"/>
      <c r="E866" s="8"/>
    </row>
    <row r="867" spans="1:5" ht="20.25" customHeight="1">
      <c r="A867" s="20"/>
      <c r="B867" s="21"/>
      <c r="D867" s="8"/>
      <c r="E867" s="8"/>
    </row>
    <row r="868" spans="1:5" ht="20.25" customHeight="1">
      <c r="A868" s="20"/>
      <c r="B868" s="21"/>
      <c r="D868" s="8"/>
      <c r="E868" s="8"/>
    </row>
    <row r="869" spans="1:5" ht="20.25" customHeight="1">
      <c r="A869" s="20"/>
      <c r="B869" s="21"/>
      <c r="D869" s="8"/>
      <c r="E869" s="8"/>
    </row>
    <row r="870" spans="1:5" ht="20.25" customHeight="1">
      <c r="A870" s="20"/>
      <c r="B870" s="21"/>
      <c r="D870" s="8"/>
      <c r="E870" s="8"/>
    </row>
    <row r="871" spans="1:5" ht="20.25" customHeight="1">
      <c r="A871" s="20"/>
      <c r="B871" s="21"/>
      <c r="D871" s="8"/>
      <c r="E871" s="8"/>
    </row>
    <row r="872" spans="1:5" ht="20.25" customHeight="1">
      <c r="A872" s="20"/>
      <c r="B872" s="21"/>
      <c r="D872" s="8"/>
      <c r="E872" s="8"/>
    </row>
    <row r="873" spans="1:5" ht="20.25" customHeight="1">
      <c r="A873" s="20"/>
      <c r="B873" s="21"/>
      <c r="D873" s="8"/>
      <c r="E873" s="8"/>
    </row>
    <row r="874" spans="1:5" ht="20.25" customHeight="1">
      <c r="A874" s="20"/>
      <c r="B874" s="21"/>
      <c r="D874" s="8"/>
      <c r="E874" s="8"/>
    </row>
    <row r="875" spans="1:5" ht="20.25" customHeight="1">
      <c r="A875" s="20"/>
      <c r="B875" s="21"/>
      <c r="D875" s="8"/>
      <c r="E875" s="8"/>
    </row>
    <row r="876" spans="1:5" ht="20.25" customHeight="1">
      <c r="A876" s="20"/>
      <c r="B876" s="21"/>
      <c r="D876" s="8"/>
      <c r="E876" s="8"/>
    </row>
    <row r="877" spans="1:5" ht="20.25" customHeight="1">
      <c r="A877" s="20"/>
      <c r="B877" s="21"/>
      <c r="D877" s="8"/>
      <c r="E877" s="8"/>
    </row>
    <row r="878" spans="1:5" ht="20.25" customHeight="1">
      <c r="A878" s="20"/>
      <c r="B878" s="21"/>
      <c r="D878" s="8"/>
      <c r="E878" s="8"/>
    </row>
    <row r="879" spans="1:5" ht="20.25" customHeight="1">
      <c r="A879" s="20"/>
      <c r="B879" s="21"/>
      <c r="D879" s="8"/>
      <c r="E879" s="8"/>
    </row>
    <row r="880" spans="1:5" ht="20.25" customHeight="1">
      <c r="A880" s="20"/>
      <c r="B880" s="21"/>
      <c r="D880" s="8"/>
      <c r="E880" s="8"/>
    </row>
    <row r="881" spans="1:5" ht="20.25" customHeight="1">
      <c r="A881" s="20"/>
      <c r="B881" s="21"/>
      <c r="D881" s="8"/>
      <c r="E881" s="8"/>
    </row>
    <row r="882" spans="1:5" ht="20.25" customHeight="1">
      <c r="A882" s="20"/>
      <c r="B882" s="21"/>
      <c r="D882" s="8"/>
      <c r="E882" s="8"/>
    </row>
    <row r="883" spans="1:5" ht="20.25" customHeight="1">
      <c r="A883" s="20"/>
      <c r="B883" s="21"/>
      <c r="D883" s="8"/>
      <c r="E883" s="8"/>
    </row>
    <row r="884" spans="1:5" ht="20.25" customHeight="1">
      <c r="A884" s="20"/>
      <c r="B884" s="21"/>
      <c r="D884" s="8"/>
      <c r="E884" s="8"/>
    </row>
    <row r="885" spans="1:5" ht="20.25" customHeight="1">
      <c r="A885" s="20"/>
      <c r="B885" s="21"/>
      <c r="D885" s="8"/>
      <c r="E885" s="8"/>
    </row>
    <row r="886" spans="1:5" ht="20.25" customHeight="1">
      <c r="A886" s="20"/>
      <c r="B886" s="21"/>
      <c r="D886" s="8"/>
      <c r="E886" s="8"/>
    </row>
    <row r="887" spans="1:5" ht="20.25" customHeight="1">
      <c r="A887" s="20"/>
      <c r="B887" s="21"/>
      <c r="D887" s="8"/>
      <c r="E887" s="8"/>
    </row>
    <row r="888" spans="1:5" ht="20.25" customHeight="1">
      <c r="A888" s="20"/>
      <c r="B888" s="21"/>
      <c r="D888" s="8"/>
      <c r="E888" s="8"/>
    </row>
    <row r="889" spans="1:5" ht="20.25" customHeight="1">
      <c r="A889" s="20"/>
      <c r="B889" s="21"/>
      <c r="D889" s="8"/>
      <c r="E889" s="8"/>
    </row>
    <row r="890" spans="1:5" ht="20.25" customHeight="1">
      <c r="A890" s="20"/>
      <c r="B890" s="21"/>
      <c r="D890" s="8"/>
      <c r="E890" s="8"/>
    </row>
    <row r="891" spans="1:5" ht="20.25" customHeight="1">
      <c r="A891" s="20"/>
      <c r="B891" s="21"/>
      <c r="D891" s="8"/>
      <c r="E891" s="8"/>
    </row>
    <row r="892" spans="1:5" ht="20.25" customHeight="1">
      <c r="A892" s="20"/>
      <c r="B892" s="21"/>
      <c r="D892" s="8"/>
      <c r="E892" s="8"/>
    </row>
    <row r="893" spans="1:5" ht="20.25" customHeight="1">
      <c r="A893" s="20"/>
      <c r="B893" s="21"/>
      <c r="D893" s="8"/>
      <c r="E893" s="8"/>
    </row>
    <row r="894" spans="1:5" ht="20.25" customHeight="1">
      <c r="A894" s="20"/>
      <c r="B894" s="21"/>
      <c r="D894" s="8"/>
      <c r="E894" s="8"/>
    </row>
    <row r="895" spans="1:5" ht="20.25" customHeight="1">
      <c r="A895" s="20"/>
      <c r="B895" s="21"/>
      <c r="D895" s="8"/>
      <c r="E895" s="8"/>
    </row>
    <row r="896" spans="1:5" ht="20.25" customHeight="1">
      <c r="A896" s="20"/>
      <c r="B896" s="21"/>
      <c r="D896" s="8"/>
      <c r="E896" s="8"/>
    </row>
    <row r="897" spans="1:5" ht="20.25" customHeight="1">
      <c r="A897" s="20"/>
      <c r="B897" s="21"/>
      <c r="D897" s="8"/>
      <c r="E897" s="8"/>
    </row>
    <row r="898" spans="1:5" ht="20.25" customHeight="1">
      <c r="A898" s="20"/>
      <c r="B898" s="21"/>
      <c r="D898" s="8"/>
      <c r="E898" s="8"/>
    </row>
    <row r="899" spans="1:5" ht="20.25" customHeight="1">
      <c r="A899" s="20"/>
      <c r="B899" s="21"/>
      <c r="D899" s="8"/>
      <c r="E899" s="8"/>
    </row>
    <row r="900" spans="1:5" ht="20.25" customHeight="1">
      <c r="A900" s="20"/>
      <c r="B900" s="21"/>
      <c r="D900" s="8"/>
      <c r="E900" s="8"/>
    </row>
    <row r="901" spans="1:5" ht="20.25" customHeight="1">
      <c r="A901" s="20"/>
      <c r="B901" s="21"/>
      <c r="D901" s="8"/>
      <c r="E901" s="8"/>
    </row>
    <row r="902" spans="1:5" ht="20.25" customHeight="1">
      <c r="A902" s="20"/>
      <c r="B902" s="21"/>
      <c r="D902" s="8"/>
      <c r="E902" s="8"/>
    </row>
    <row r="903" spans="1:5" ht="20.25" customHeight="1">
      <c r="A903" s="20"/>
      <c r="B903" s="21"/>
      <c r="D903" s="8"/>
      <c r="E903" s="8"/>
    </row>
    <row r="904" spans="1:5" ht="20.25" customHeight="1">
      <c r="A904" s="20"/>
      <c r="B904" s="21"/>
      <c r="D904" s="8"/>
      <c r="E904" s="8"/>
    </row>
    <row r="905" spans="1:5" ht="20.25" customHeight="1">
      <c r="A905" s="20"/>
      <c r="B905" s="21"/>
      <c r="D905" s="8"/>
      <c r="E905" s="8"/>
    </row>
    <row r="906" spans="1:5" ht="20.25" customHeight="1">
      <c r="A906" s="20"/>
      <c r="B906" s="21"/>
      <c r="D906" s="8"/>
      <c r="E906" s="8"/>
    </row>
    <row r="907" spans="1:5" ht="20.25" customHeight="1">
      <c r="A907" s="20"/>
      <c r="B907" s="21"/>
      <c r="D907" s="8"/>
      <c r="E907" s="8"/>
    </row>
    <row r="908" spans="1:5" ht="20.25" customHeight="1">
      <c r="A908" s="20"/>
      <c r="B908" s="21"/>
      <c r="D908" s="8"/>
      <c r="E908" s="8"/>
    </row>
    <row r="909" spans="1:5" ht="20.25" customHeight="1">
      <c r="A909" s="20"/>
      <c r="B909" s="21"/>
      <c r="D909" s="8"/>
      <c r="E909" s="8"/>
    </row>
    <row r="910" spans="1:5" ht="20.25" customHeight="1">
      <c r="A910" s="20"/>
      <c r="B910" s="21"/>
      <c r="D910" s="8"/>
      <c r="E910" s="8"/>
    </row>
    <row r="911" spans="1:5" ht="20.25" customHeight="1">
      <c r="A911" s="20"/>
      <c r="B911" s="21"/>
      <c r="D911" s="8"/>
      <c r="E911" s="8"/>
    </row>
    <row r="912" spans="1:5" ht="20.25" customHeight="1">
      <c r="A912" s="20"/>
      <c r="B912" s="21"/>
      <c r="D912" s="8"/>
      <c r="E912" s="8"/>
    </row>
    <row r="913" spans="1:5" ht="20.25" customHeight="1">
      <c r="A913" s="20"/>
      <c r="B913" s="21"/>
      <c r="D913" s="8"/>
      <c r="E913" s="8"/>
    </row>
    <row r="914" spans="1:5" ht="20.25" customHeight="1">
      <c r="A914" s="20"/>
      <c r="B914" s="21"/>
      <c r="D914" s="8"/>
      <c r="E914" s="8"/>
    </row>
    <row r="915" spans="1:5" ht="20.25" customHeight="1">
      <c r="A915" s="20"/>
      <c r="B915" s="21"/>
      <c r="D915" s="8"/>
      <c r="E915" s="8"/>
    </row>
    <row r="916" spans="1:5" ht="20.25" customHeight="1">
      <c r="A916" s="20"/>
      <c r="B916" s="21"/>
      <c r="D916" s="8"/>
      <c r="E916" s="8"/>
    </row>
    <row r="917" spans="1:5" ht="20.25" customHeight="1">
      <c r="A917" s="20"/>
      <c r="B917" s="21"/>
      <c r="D917" s="8"/>
      <c r="E917" s="8"/>
    </row>
    <row r="918" spans="1:5" ht="20.25" customHeight="1">
      <c r="A918" s="20"/>
      <c r="B918" s="21"/>
      <c r="D918" s="8"/>
      <c r="E918" s="8"/>
    </row>
    <row r="919" spans="1:5" ht="20.25" customHeight="1">
      <c r="A919" s="20"/>
      <c r="B919" s="21"/>
      <c r="D919" s="8"/>
      <c r="E919" s="8"/>
    </row>
    <row r="920" spans="1:5" ht="20.25" customHeight="1">
      <c r="A920" s="20"/>
      <c r="B920" s="21"/>
      <c r="D920" s="8"/>
      <c r="E920" s="8"/>
    </row>
    <row r="921" spans="1:5" ht="20.25" customHeight="1">
      <c r="A921" s="20"/>
      <c r="B921" s="21"/>
      <c r="D921" s="8"/>
      <c r="E921" s="8"/>
    </row>
    <row r="922" spans="1:5" ht="20.25" customHeight="1">
      <c r="A922" s="20"/>
      <c r="B922" s="21"/>
      <c r="D922" s="8"/>
      <c r="E922" s="8"/>
    </row>
    <row r="923" spans="1:5" ht="20.25" customHeight="1">
      <c r="A923" s="20"/>
      <c r="B923" s="21"/>
      <c r="D923" s="8"/>
      <c r="E923" s="8"/>
    </row>
    <row r="924" spans="1:5" ht="20.25" customHeight="1">
      <c r="A924" s="20"/>
      <c r="B924" s="21"/>
      <c r="D924" s="8"/>
      <c r="E924" s="8"/>
    </row>
    <row r="925" spans="1:5" ht="20.25" customHeight="1">
      <c r="A925" s="20"/>
      <c r="B925" s="21"/>
      <c r="D925" s="8"/>
      <c r="E925" s="8"/>
    </row>
    <row r="926" spans="1:5" ht="20.25" customHeight="1">
      <c r="A926" s="20"/>
      <c r="B926" s="21"/>
      <c r="D926" s="8"/>
      <c r="E926" s="8"/>
    </row>
    <row r="927" spans="1:5" ht="20.25" customHeight="1">
      <c r="A927" s="20"/>
      <c r="B927" s="21"/>
      <c r="D927" s="8"/>
      <c r="E927" s="8"/>
    </row>
    <row r="928" spans="1:5" ht="20.25" customHeight="1">
      <c r="A928" s="20"/>
      <c r="B928" s="21"/>
      <c r="D928" s="8"/>
      <c r="E928" s="8"/>
    </row>
    <row r="929" spans="1:5" ht="20.25" customHeight="1">
      <c r="A929" s="20"/>
      <c r="B929" s="21"/>
      <c r="D929" s="8"/>
      <c r="E929" s="8"/>
    </row>
    <row r="930" spans="1:5" ht="20.25" customHeight="1">
      <c r="A930" s="20"/>
      <c r="B930" s="21"/>
      <c r="D930" s="8"/>
      <c r="E930" s="8"/>
    </row>
    <row r="931" spans="1:5" ht="20.25" customHeight="1">
      <c r="A931" s="20"/>
      <c r="B931" s="21"/>
      <c r="D931" s="8"/>
      <c r="E931" s="8"/>
    </row>
    <row r="932" spans="1:5" ht="20.25" customHeight="1">
      <c r="A932" s="20"/>
      <c r="B932" s="21"/>
      <c r="D932" s="8"/>
      <c r="E932" s="8"/>
    </row>
    <row r="933" spans="1:5" ht="20.25" customHeight="1">
      <c r="A933" s="20"/>
      <c r="B933" s="21"/>
      <c r="D933" s="8"/>
      <c r="E933" s="8"/>
    </row>
    <row r="934" spans="1:5" ht="20.25" customHeight="1">
      <c r="A934" s="20"/>
      <c r="B934" s="21"/>
      <c r="D934" s="8"/>
      <c r="E934" s="8"/>
    </row>
    <row r="935" spans="1:5" ht="20.25" customHeight="1">
      <c r="A935" s="20"/>
      <c r="B935" s="21"/>
      <c r="D935" s="8"/>
      <c r="E935" s="8"/>
    </row>
    <row r="936" spans="1:5" ht="20.25" customHeight="1">
      <c r="A936" s="20"/>
      <c r="B936" s="21"/>
      <c r="D936" s="8"/>
      <c r="E936" s="8"/>
    </row>
    <row r="937" spans="1:5" ht="20.25" customHeight="1">
      <c r="A937" s="20"/>
      <c r="B937" s="21"/>
      <c r="D937" s="8"/>
      <c r="E937" s="8"/>
    </row>
    <row r="938" spans="1:5" ht="20.25" customHeight="1">
      <c r="A938" s="20"/>
      <c r="B938" s="21"/>
      <c r="D938" s="8"/>
      <c r="E938" s="8"/>
    </row>
    <row r="939" spans="1:5" ht="20.25" customHeight="1">
      <c r="A939" s="20"/>
      <c r="B939" s="21"/>
      <c r="D939" s="8"/>
      <c r="E939" s="8"/>
    </row>
    <row r="940" spans="1:5" ht="20.25" customHeight="1">
      <c r="A940" s="20"/>
      <c r="B940" s="21"/>
      <c r="D940" s="8"/>
      <c r="E940" s="8"/>
    </row>
    <row r="941" spans="1:5" ht="20.25" customHeight="1">
      <c r="A941" s="20"/>
      <c r="B941" s="21"/>
      <c r="D941" s="8"/>
      <c r="E941" s="8"/>
    </row>
    <row r="942" spans="1:5" ht="20.25" customHeight="1">
      <c r="A942" s="20"/>
      <c r="B942" s="21"/>
      <c r="D942" s="8"/>
      <c r="E942" s="8"/>
    </row>
    <row r="943" spans="1:5" ht="20.25" customHeight="1">
      <c r="A943" s="20"/>
      <c r="B943" s="21"/>
      <c r="D943" s="8"/>
      <c r="E943" s="8"/>
    </row>
    <row r="944" spans="1:5" ht="20.25" customHeight="1">
      <c r="A944" s="20"/>
      <c r="B944" s="21"/>
      <c r="D944" s="8"/>
      <c r="E944" s="8"/>
    </row>
    <row r="945" spans="1:5" ht="20.25" customHeight="1">
      <c r="A945" s="20"/>
      <c r="B945" s="21"/>
      <c r="D945" s="8"/>
      <c r="E945" s="8"/>
    </row>
    <row r="946" spans="1:5" ht="20.25" customHeight="1">
      <c r="A946" s="20"/>
      <c r="B946" s="21"/>
      <c r="D946" s="8"/>
      <c r="E946" s="8"/>
    </row>
    <row r="947" spans="1:5" ht="20.25" customHeight="1">
      <c r="A947" s="20"/>
      <c r="B947" s="21"/>
      <c r="D947" s="8"/>
      <c r="E947" s="8"/>
    </row>
    <row r="948" spans="1:5" ht="20.25" customHeight="1">
      <c r="A948" s="20"/>
      <c r="B948" s="21"/>
      <c r="D948" s="8"/>
      <c r="E948" s="8"/>
    </row>
    <row r="949" spans="1:5" ht="20.25" customHeight="1">
      <c r="A949" s="20"/>
      <c r="B949" s="21"/>
      <c r="D949" s="8"/>
      <c r="E949" s="8"/>
    </row>
    <row r="950" spans="1:5" ht="20.25" customHeight="1">
      <c r="A950" s="20"/>
      <c r="B950" s="21"/>
      <c r="D950" s="8"/>
      <c r="E950" s="8"/>
    </row>
    <row r="951" spans="1:5" ht="20.25" customHeight="1">
      <c r="A951" s="20"/>
      <c r="B951" s="21"/>
      <c r="D951" s="8"/>
      <c r="E951" s="8"/>
    </row>
    <row r="952" spans="1:5" ht="20.25" customHeight="1">
      <c r="A952" s="20"/>
      <c r="B952" s="21"/>
      <c r="D952" s="8"/>
      <c r="E952" s="8"/>
    </row>
    <row r="953" spans="1:5" ht="20.25" customHeight="1">
      <c r="A953" s="20"/>
      <c r="B953" s="21"/>
      <c r="D953" s="8"/>
      <c r="E953" s="8"/>
    </row>
    <row r="954" spans="1:5" ht="20.25" customHeight="1">
      <c r="A954" s="20"/>
      <c r="B954" s="21"/>
      <c r="D954" s="8"/>
      <c r="E954" s="8"/>
    </row>
    <row r="955" spans="1:5" ht="20.25" customHeight="1">
      <c r="A955" s="20"/>
      <c r="B955" s="21"/>
      <c r="D955" s="8"/>
      <c r="E955" s="8"/>
    </row>
    <row r="956" spans="1:5" ht="20.25" customHeight="1">
      <c r="A956" s="20"/>
      <c r="B956" s="21"/>
      <c r="D956" s="8"/>
      <c r="E956" s="8"/>
    </row>
    <row r="957" spans="1:5" ht="20.25" customHeight="1">
      <c r="A957" s="20"/>
      <c r="B957" s="21"/>
      <c r="D957" s="8"/>
      <c r="E957" s="8"/>
    </row>
    <row r="958" spans="1:5" ht="20.25" customHeight="1">
      <c r="A958" s="20"/>
      <c r="B958" s="21"/>
      <c r="D958" s="8"/>
      <c r="E958" s="8"/>
    </row>
    <row r="959" spans="1:5" ht="20.25" customHeight="1">
      <c r="A959" s="20"/>
      <c r="B959" s="21"/>
      <c r="D959" s="8"/>
      <c r="E959" s="8"/>
    </row>
    <row r="960" spans="1:5" ht="20.25" customHeight="1">
      <c r="A960" s="20"/>
      <c r="B960" s="21"/>
      <c r="D960" s="8"/>
      <c r="E960" s="8"/>
    </row>
    <row r="961" spans="1:5" ht="20.25" customHeight="1">
      <c r="A961" s="20"/>
      <c r="B961" s="21"/>
      <c r="D961" s="8"/>
      <c r="E961" s="8"/>
    </row>
    <row r="962" spans="1:5" ht="20.25" customHeight="1">
      <c r="A962" s="20"/>
      <c r="B962" s="21"/>
      <c r="D962" s="8"/>
      <c r="E962" s="8"/>
    </row>
    <row r="963" spans="1:5" ht="20.25" customHeight="1">
      <c r="A963" s="20"/>
      <c r="B963" s="21"/>
      <c r="D963" s="8"/>
      <c r="E963" s="8"/>
    </row>
    <row r="964" spans="1:5" ht="20.25" customHeight="1">
      <c r="A964" s="20"/>
      <c r="B964" s="21"/>
      <c r="D964" s="8"/>
      <c r="E964" s="8"/>
    </row>
    <row r="965" spans="1:5" ht="20.25" customHeight="1">
      <c r="A965" s="20"/>
      <c r="B965" s="21"/>
      <c r="D965" s="8"/>
      <c r="E965" s="8"/>
    </row>
    <row r="966" spans="1:5" ht="20.25" customHeight="1">
      <c r="A966" s="20"/>
      <c r="B966" s="21"/>
      <c r="D966" s="8"/>
      <c r="E966" s="8"/>
    </row>
    <row r="967" spans="1:5" ht="20.25" customHeight="1">
      <c r="A967" s="20"/>
      <c r="B967" s="21"/>
      <c r="D967" s="8"/>
      <c r="E967" s="8"/>
    </row>
    <row r="968" spans="1:5" ht="20.25" customHeight="1">
      <c r="A968" s="20"/>
      <c r="B968" s="21"/>
      <c r="D968" s="8"/>
      <c r="E968" s="8"/>
    </row>
    <row r="969" spans="1:5" ht="20.25" customHeight="1">
      <c r="A969" s="20"/>
      <c r="B969" s="21"/>
      <c r="D969" s="8"/>
      <c r="E969" s="8"/>
    </row>
    <row r="970" spans="1:5" ht="20.25" customHeight="1">
      <c r="A970" s="20"/>
      <c r="B970" s="21"/>
      <c r="D970" s="8"/>
      <c r="E970" s="8"/>
    </row>
    <row r="971" spans="1:5" ht="20.25" customHeight="1">
      <c r="A971" s="20"/>
      <c r="B971" s="21"/>
      <c r="D971" s="8"/>
      <c r="E971" s="8"/>
    </row>
    <row r="972" spans="1:5" ht="20.25" customHeight="1">
      <c r="A972" s="20"/>
      <c r="B972" s="21"/>
      <c r="D972" s="8"/>
      <c r="E972" s="8"/>
    </row>
    <row r="973" spans="1:5" ht="20.25" customHeight="1">
      <c r="A973" s="20"/>
      <c r="B973" s="21"/>
      <c r="D973" s="8"/>
      <c r="E973" s="8"/>
    </row>
    <row r="974" spans="1:5" ht="20.25" customHeight="1">
      <c r="A974" s="20"/>
      <c r="B974" s="21"/>
      <c r="D974" s="8"/>
      <c r="E974" s="8"/>
    </row>
    <row r="975" spans="1:5" ht="20.25" customHeight="1">
      <c r="A975" s="20"/>
      <c r="B975" s="21"/>
      <c r="D975" s="8"/>
      <c r="E975" s="8"/>
    </row>
    <row r="976" spans="1:5" ht="20.25" customHeight="1">
      <c r="A976" s="20"/>
      <c r="B976" s="21"/>
      <c r="D976" s="8"/>
      <c r="E976" s="8"/>
    </row>
    <row r="977" spans="1:5" ht="20.25" customHeight="1">
      <c r="A977" s="20"/>
      <c r="B977" s="21"/>
      <c r="D977" s="8"/>
      <c r="E977" s="8"/>
    </row>
    <row r="978" spans="1:5" ht="20.25" customHeight="1">
      <c r="A978" s="20"/>
      <c r="B978" s="21"/>
      <c r="D978" s="8"/>
      <c r="E978" s="8"/>
    </row>
    <row r="979" spans="1:5" ht="20.25" customHeight="1">
      <c r="A979" s="20"/>
      <c r="B979" s="21"/>
      <c r="D979" s="8"/>
      <c r="E979" s="8"/>
    </row>
    <row r="980" spans="1:5" ht="20.25" customHeight="1">
      <c r="A980" s="20"/>
      <c r="B980" s="21"/>
      <c r="D980" s="8"/>
      <c r="E980" s="8"/>
    </row>
    <row r="981" spans="1:5" ht="20.25" customHeight="1">
      <c r="A981" s="20"/>
      <c r="B981" s="21"/>
      <c r="D981" s="8"/>
      <c r="E981" s="8"/>
    </row>
    <row r="982" spans="1:5" ht="20.25" customHeight="1">
      <c r="A982" s="20"/>
      <c r="B982" s="21"/>
      <c r="D982" s="8"/>
      <c r="E982" s="8"/>
    </row>
    <row r="983" spans="1:5" ht="20.25" customHeight="1">
      <c r="A983" s="20"/>
      <c r="B983" s="21"/>
      <c r="D983" s="8"/>
      <c r="E983" s="8"/>
    </row>
    <row r="984" spans="1:5" ht="20.25" customHeight="1">
      <c r="A984" s="20"/>
      <c r="B984" s="21"/>
      <c r="D984" s="8"/>
      <c r="E984" s="8"/>
    </row>
    <row r="985" spans="1:5" ht="20.25" customHeight="1">
      <c r="A985" s="20"/>
      <c r="B985" s="21"/>
      <c r="D985" s="8"/>
      <c r="E985" s="8"/>
    </row>
    <row r="986" spans="1:5" ht="20.25" customHeight="1">
      <c r="A986" s="20"/>
      <c r="B986" s="21"/>
      <c r="D986" s="8"/>
      <c r="E986" s="8"/>
    </row>
    <row r="987" spans="1:5" ht="20.25" customHeight="1">
      <c r="A987" s="20"/>
      <c r="B987" s="21"/>
      <c r="D987" s="8"/>
      <c r="E987" s="8"/>
    </row>
    <row r="988" spans="1:5" ht="20.25" customHeight="1">
      <c r="A988" s="20"/>
      <c r="B988" s="21"/>
      <c r="D988" s="8"/>
      <c r="E988" s="8"/>
    </row>
    <row r="989" spans="1:5" ht="20.25" customHeight="1">
      <c r="A989" s="20"/>
      <c r="B989" s="21"/>
      <c r="D989" s="8"/>
      <c r="E989" s="8"/>
    </row>
    <row r="990" spans="1:5" ht="20.25" customHeight="1">
      <c r="A990" s="20"/>
      <c r="B990" s="21"/>
      <c r="D990" s="8"/>
      <c r="E990" s="8"/>
    </row>
    <row r="991" spans="1:5" ht="20.25" customHeight="1">
      <c r="A991" s="20"/>
      <c r="B991" s="21"/>
      <c r="D991" s="8"/>
      <c r="E991" s="8"/>
    </row>
    <row r="992" spans="1:5" ht="20.25" customHeight="1">
      <c r="A992" s="20"/>
      <c r="B992" s="21"/>
      <c r="D992" s="8"/>
      <c r="E992" s="8"/>
    </row>
    <row r="993" spans="1:5" ht="20.25" customHeight="1">
      <c r="A993" s="20"/>
      <c r="B993" s="21"/>
      <c r="D993" s="8"/>
      <c r="E993" s="8"/>
    </row>
    <row r="994" spans="1:5" ht="20.25" customHeight="1">
      <c r="A994" s="20"/>
      <c r="B994" s="21"/>
      <c r="D994" s="8"/>
      <c r="E994" s="8"/>
    </row>
    <row r="995" spans="1:5" ht="20.25" customHeight="1">
      <c r="A995" s="20"/>
      <c r="B995" s="21"/>
      <c r="D995" s="8"/>
      <c r="E995" s="8"/>
    </row>
    <row r="996" spans="1:5" ht="20.25" customHeight="1">
      <c r="A996" s="20"/>
      <c r="B996" s="21"/>
      <c r="D996" s="8"/>
      <c r="E996" s="8"/>
    </row>
    <row r="997" spans="1:5" ht="20.25" customHeight="1">
      <c r="A997" s="20"/>
      <c r="B997" s="21"/>
      <c r="D997" s="8"/>
      <c r="E997" s="8"/>
    </row>
    <row r="998" spans="1:5" ht="20.25" customHeight="1">
      <c r="A998" s="20"/>
      <c r="B998" s="21"/>
      <c r="D998" s="8"/>
      <c r="E998" s="8"/>
    </row>
    <row r="999" spans="1:5" ht="20.25" customHeight="1">
      <c r="A999" s="20"/>
      <c r="B999" s="21"/>
      <c r="D999" s="8"/>
      <c r="E999" s="8"/>
    </row>
    <row r="1000" spans="1:5" ht="20.25" customHeight="1">
      <c r="A1000" s="20"/>
      <c r="B1000" s="21"/>
      <c r="D1000" s="8"/>
      <c r="E1000" s="8"/>
    </row>
    <row r="1001" spans="1:5" ht="20.25" customHeight="1">
      <c r="A1001" s="20"/>
      <c r="B1001" s="21"/>
      <c r="D1001" s="8"/>
      <c r="E1001" s="8"/>
    </row>
    <row r="1002" spans="1:5" ht="20.25" customHeight="1">
      <c r="A1002" s="20"/>
      <c r="B1002" s="21"/>
      <c r="D1002" s="8"/>
      <c r="E1002" s="8"/>
    </row>
    <row r="1003" spans="1:5" ht="20.25" customHeight="1">
      <c r="A1003" s="20"/>
      <c r="B1003" s="21"/>
      <c r="D1003" s="8"/>
      <c r="E1003" s="8"/>
    </row>
    <row r="1004" spans="1:5" ht="20.25" customHeight="1">
      <c r="A1004" s="20"/>
      <c r="B1004" s="21"/>
      <c r="D1004" s="8"/>
      <c r="E1004" s="8"/>
    </row>
    <row r="1005" spans="1:5" ht="20.25" customHeight="1">
      <c r="A1005" s="20"/>
      <c r="B1005" s="21"/>
      <c r="D1005" s="8"/>
      <c r="E1005"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3"/>
  <sheetViews>
    <sheetView showGridLines="0" workbookViewId="0"/>
  </sheetViews>
  <sheetFormatPr defaultColWidth="11.20703125" defaultRowHeight="15" customHeight="1"/>
  <sheetData>
    <row r="1" spans="1:2" ht="15.5">
      <c r="A1" s="198" t="s">
        <v>497</v>
      </c>
      <c r="B1" s="199" t="s">
        <v>498</v>
      </c>
    </row>
    <row r="2" spans="1:2" ht="15.5">
      <c r="A2" s="200">
        <v>2015</v>
      </c>
      <c r="B2" s="201">
        <v>198</v>
      </c>
    </row>
    <row r="3" spans="1:2" ht="15.5">
      <c r="A3" s="202">
        <v>2016</v>
      </c>
      <c r="B3" s="203">
        <v>88</v>
      </c>
    </row>
    <row r="4" spans="1:2" ht="15.5">
      <c r="A4" s="202">
        <v>2017</v>
      </c>
      <c r="B4" s="203">
        <v>91</v>
      </c>
    </row>
    <row r="5" spans="1:2" ht="15.5">
      <c r="A5" s="202">
        <v>2018</v>
      </c>
      <c r="B5" s="203">
        <v>130</v>
      </c>
    </row>
    <row r="6" spans="1:2" ht="15.5">
      <c r="A6" s="202">
        <v>2019</v>
      </c>
      <c r="B6" s="203">
        <v>181</v>
      </c>
    </row>
    <row r="7" spans="1:2" ht="15.5">
      <c r="A7" s="202">
        <v>2020</v>
      </c>
      <c r="B7" s="203">
        <v>100</v>
      </c>
    </row>
    <row r="8" spans="1:2" ht="15.5">
      <c r="A8" s="202">
        <v>2021</v>
      </c>
      <c r="B8" s="203">
        <v>83</v>
      </c>
    </row>
    <row r="9" spans="1:2" ht="15.5">
      <c r="A9" s="202">
        <v>2022</v>
      </c>
      <c r="B9" s="203">
        <v>48</v>
      </c>
    </row>
    <row r="10" spans="1:2" ht="15.5">
      <c r="A10" s="202">
        <v>2023</v>
      </c>
      <c r="B10" s="203">
        <v>33</v>
      </c>
    </row>
    <row r="11" spans="1:2" ht="15.5">
      <c r="A11" s="202">
        <v>2024</v>
      </c>
      <c r="B11" s="203">
        <v>8</v>
      </c>
    </row>
    <row r="12" spans="1:2" ht="15.5">
      <c r="A12" s="202" t="s">
        <v>1651</v>
      </c>
      <c r="B12" s="203"/>
    </row>
    <row r="13" spans="1:2" ht="15.5">
      <c r="A13" s="204" t="s">
        <v>499</v>
      </c>
      <c r="B13" s="205">
        <v>960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5"/>
  <sheetViews>
    <sheetView workbookViewId="0"/>
  </sheetViews>
  <sheetFormatPr defaultColWidth="11.20703125" defaultRowHeight="15" customHeight="1"/>
  <cols>
    <col min="1" max="1" width="4.20703125" customWidth="1"/>
    <col min="2" max="2" width="85.125" customWidth="1"/>
    <col min="3" max="3" width="33.4140625" customWidth="1"/>
    <col min="4" max="4" width="8.20703125" customWidth="1"/>
    <col min="5" max="5" width="19.33203125" customWidth="1"/>
    <col min="6" max="6" width="78.875" customWidth="1"/>
    <col min="7" max="7" width="8.7890625" customWidth="1"/>
    <col min="8" max="8" width="9.875" customWidth="1"/>
    <col min="9" max="9" width="20" customWidth="1"/>
    <col min="10" max="19" width="4.4140625" customWidth="1"/>
    <col min="20" max="27" width="8.7890625" customWidth="1"/>
  </cols>
  <sheetData>
    <row r="1" spans="1:27" ht="18.75" customHeight="1">
      <c r="A1" s="1" t="s">
        <v>0</v>
      </c>
      <c r="B1" s="1" t="s">
        <v>1</v>
      </c>
      <c r="C1" s="1" t="s">
        <v>2</v>
      </c>
      <c r="D1" s="1" t="s">
        <v>3</v>
      </c>
      <c r="E1" s="31" t="s">
        <v>500</v>
      </c>
      <c r="F1" s="31" t="s">
        <v>501</v>
      </c>
      <c r="G1" s="32"/>
      <c r="H1" s="33" t="s">
        <v>502</v>
      </c>
      <c r="I1" s="34" t="s">
        <v>503</v>
      </c>
      <c r="J1" s="35">
        <v>2015</v>
      </c>
      <c r="K1" s="35">
        <v>2016</v>
      </c>
      <c r="L1" s="35">
        <v>2017</v>
      </c>
      <c r="M1" s="35">
        <v>2018</v>
      </c>
      <c r="N1" s="35">
        <v>2019</v>
      </c>
      <c r="O1" s="35">
        <v>2020</v>
      </c>
      <c r="P1" s="35">
        <v>2021</v>
      </c>
      <c r="Q1" s="35">
        <v>2022</v>
      </c>
      <c r="R1" s="35">
        <v>2023</v>
      </c>
      <c r="S1" s="35">
        <v>2024</v>
      </c>
      <c r="T1" s="32"/>
      <c r="U1" s="32"/>
      <c r="V1" s="32"/>
      <c r="W1" s="32"/>
      <c r="X1" s="32"/>
      <c r="Y1" s="32"/>
      <c r="Z1" s="32"/>
      <c r="AA1" s="32"/>
    </row>
    <row r="2" spans="1:27" ht="18.75" customHeight="1">
      <c r="A2" s="4" t="s">
        <v>5</v>
      </c>
      <c r="B2" s="36" t="s">
        <v>6</v>
      </c>
      <c r="C2" s="37" t="s">
        <v>7</v>
      </c>
      <c r="D2" s="38">
        <v>2015</v>
      </c>
      <c r="E2" s="37" t="s">
        <v>504</v>
      </c>
      <c r="F2" s="37" t="s">
        <v>505</v>
      </c>
      <c r="H2" s="39">
        <v>46</v>
      </c>
      <c r="I2" s="40" t="s">
        <v>504</v>
      </c>
      <c r="J2" s="13">
        <f t="shared" ref="J2:J7" si="0">COUNTIFS(E:E, I2,D:D,$J$1)</f>
        <v>4</v>
      </c>
      <c r="K2" s="13">
        <f t="shared" ref="K2:K7" si="1">COUNTIFS(E:E, I2,D:D,$K$1)</f>
        <v>2</v>
      </c>
      <c r="L2" s="13">
        <f t="shared" ref="L2:L7" si="2">COUNTIFS(E:E, I2,D:D,$L$1)</f>
        <v>4</v>
      </c>
      <c r="M2" s="13">
        <f t="shared" ref="M2:M7" si="3">COUNTIFS(E:E, I2,D:D,$M$1)</f>
        <v>5</v>
      </c>
      <c r="N2" s="13">
        <f t="shared" ref="N2:N7" si="4">COUNTIFS(E:E, I2,D:D,$N$1)</f>
        <v>2</v>
      </c>
      <c r="O2" s="13">
        <f t="shared" ref="O2:O7" si="5">COUNTIFS(E:E, I2,D:D,$O$1)</f>
        <v>3</v>
      </c>
      <c r="P2" s="13">
        <f t="shared" ref="P2:P7" si="6">COUNTIFS(E:E, I2,D:D,$P$1)</f>
        <v>2</v>
      </c>
      <c r="Q2" s="13">
        <f t="shared" ref="Q2:Q7" si="7">COUNTIFS(E:E, I2,D:D,$Q$1)</f>
        <v>7</v>
      </c>
      <c r="R2" s="13">
        <f t="shared" ref="R2:R7" si="8">COUNTIFS(E:E, I2,D:D,$R$1)</f>
        <v>5</v>
      </c>
      <c r="S2" s="41">
        <f>COUNTIFS(E:E, I2,D:D,$S$1)</f>
        <v>13</v>
      </c>
      <c r="T2" s="42"/>
      <c r="U2" s="42"/>
      <c r="V2" s="42"/>
      <c r="W2" s="42"/>
      <c r="X2" s="42"/>
      <c r="Y2" s="42"/>
      <c r="Z2" s="42"/>
      <c r="AA2" s="42"/>
    </row>
    <row r="3" spans="1:27" ht="18.75" customHeight="1">
      <c r="A3" s="4" t="s">
        <v>9</v>
      </c>
      <c r="B3" s="43" t="s">
        <v>10</v>
      </c>
      <c r="C3" s="37" t="s">
        <v>11</v>
      </c>
      <c r="D3" s="38">
        <v>2015</v>
      </c>
      <c r="E3" s="37" t="s">
        <v>506</v>
      </c>
      <c r="F3" s="37" t="s">
        <v>507</v>
      </c>
      <c r="H3" s="39">
        <v>38</v>
      </c>
      <c r="I3" s="39" t="s">
        <v>506</v>
      </c>
      <c r="J3" s="42">
        <f t="shared" si="0"/>
        <v>5</v>
      </c>
      <c r="K3" s="42">
        <f t="shared" si="1"/>
        <v>1</v>
      </c>
      <c r="L3" s="42">
        <f t="shared" si="2"/>
        <v>3</v>
      </c>
      <c r="M3" s="42">
        <f t="shared" si="3"/>
        <v>4</v>
      </c>
      <c r="N3" s="42">
        <f t="shared" si="4"/>
        <v>2</v>
      </c>
      <c r="O3" s="42">
        <f t="shared" si="5"/>
        <v>2</v>
      </c>
      <c r="P3" s="42">
        <f t="shared" si="6"/>
        <v>5</v>
      </c>
      <c r="Q3" s="42">
        <f t="shared" si="7"/>
        <v>5</v>
      </c>
      <c r="R3" s="42">
        <f t="shared" si="8"/>
        <v>6</v>
      </c>
      <c r="S3" s="44">
        <v>5</v>
      </c>
      <c r="T3" s="42"/>
      <c r="U3" s="42"/>
      <c r="V3" s="42"/>
      <c r="W3" s="42"/>
      <c r="X3" s="42"/>
      <c r="Y3" s="42"/>
      <c r="Z3" s="42"/>
      <c r="AA3" s="42"/>
    </row>
    <row r="4" spans="1:27" ht="18.75" customHeight="1">
      <c r="A4" s="4" t="s">
        <v>13</v>
      </c>
      <c r="B4" s="36" t="s">
        <v>14</v>
      </c>
      <c r="C4" s="37" t="s">
        <v>15</v>
      </c>
      <c r="D4" s="38">
        <v>2015</v>
      </c>
      <c r="E4" s="37" t="s">
        <v>504</v>
      </c>
      <c r="F4" s="37" t="s">
        <v>508</v>
      </c>
      <c r="H4" s="39">
        <v>5</v>
      </c>
      <c r="I4" s="39" t="s">
        <v>509</v>
      </c>
      <c r="J4" s="42">
        <f t="shared" si="0"/>
        <v>1</v>
      </c>
      <c r="K4" s="42">
        <f t="shared" si="1"/>
        <v>1</v>
      </c>
      <c r="L4" s="42">
        <f t="shared" si="2"/>
        <v>0</v>
      </c>
      <c r="M4" s="42">
        <f t="shared" si="3"/>
        <v>0</v>
      </c>
      <c r="N4" s="42">
        <f t="shared" si="4"/>
        <v>0</v>
      </c>
      <c r="O4" s="42">
        <f t="shared" si="5"/>
        <v>1</v>
      </c>
      <c r="P4" s="42">
        <f t="shared" si="6"/>
        <v>0</v>
      </c>
      <c r="Q4" s="42">
        <f t="shared" si="7"/>
        <v>2</v>
      </c>
      <c r="R4" s="42">
        <f t="shared" si="8"/>
        <v>0</v>
      </c>
      <c r="S4" s="44">
        <v>0</v>
      </c>
      <c r="T4" s="42"/>
      <c r="U4" s="42"/>
      <c r="V4" s="42"/>
      <c r="W4" s="42"/>
      <c r="X4" s="42"/>
      <c r="Y4" s="42"/>
      <c r="Z4" s="42"/>
      <c r="AA4" s="42"/>
    </row>
    <row r="5" spans="1:27" ht="18.75" customHeight="1">
      <c r="A5" s="4" t="s">
        <v>17</v>
      </c>
      <c r="B5" s="43" t="s">
        <v>18</v>
      </c>
      <c r="C5" s="37" t="s">
        <v>19</v>
      </c>
      <c r="D5" s="38">
        <v>2015</v>
      </c>
      <c r="E5" s="37" t="s">
        <v>504</v>
      </c>
      <c r="F5" s="37" t="s">
        <v>510</v>
      </c>
      <c r="H5" s="39">
        <v>10</v>
      </c>
      <c r="I5" s="39" t="s">
        <v>511</v>
      </c>
      <c r="J5" s="42">
        <f t="shared" si="0"/>
        <v>1</v>
      </c>
      <c r="K5" s="42">
        <f t="shared" si="1"/>
        <v>2</v>
      </c>
      <c r="L5" s="42">
        <f t="shared" si="2"/>
        <v>0</v>
      </c>
      <c r="M5" s="42">
        <f t="shared" si="3"/>
        <v>0</v>
      </c>
      <c r="N5" s="42">
        <f t="shared" si="4"/>
        <v>1</v>
      </c>
      <c r="O5" s="42">
        <f t="shared" si="5"/>
        <v>1</v>
      </c>
      <c r="P5" s="42">
        <f t="shared" si="6"/>
        <v>2</v>
      </c>
      <c r="Q5" s="42">
        <f t="shared" si="7"/>
        <v>1</v>
      </c>
      <c r="R5" s="42">
        <f t="shared" si="8"/>
        <v>2</v>
      </c>
      <c r="S5" s="44">
        <v>0</v>
      </c>
      <c r="T5" s="42"/>
      <c r="U5" s="42"/>
      <c r="V5" s="42"/>
      <c r="W5" s="42"/>
      <c r="X5" s="42"/>
      <c r="Y5" s="42"/>
      <c r="Z5" s="42"/>
      <c r="AA5" s="42"/>
    </row>
    <row r="6" spans="1:27" ht="18.75" customHeight="1">
      <c r="A6" s="4" t="s">
        <v>21</v>
      </c>
      <c r="B6" s="36" t="s">
        <v>22</v>
      </c>
      <c r="C6" s="37" t="s">
        <v>23</v>
      </c>
      <c r="D6" s="38">
        <v>2015</v>
      </c>
      <c r="E6" s="37" t="s">
        <v>506</v>
      </c>
      <c r="F6" s="37" t="s">
        <v>512</v>
      </c>
      <c r="H6" s="39">
        <v>18</v>
      </c>
      <c r="I6" s="39" t="s">
        <v>513</v>
      </c>
      <c r="J6" s="42">
        <f t="shared" si="0"/>
        <v>0</v>
      </c>
      <c r="K6" s="42">
        <f t="shared" si="1"/>
        <v>1</v>
      </c>
      <c r="L6" s="42">
        <f t="shared" si="2"/>
        <v>1</v>
      </c>
      <c r="M6" s="42">
        <f t="shared" si="3"/>
        <v>2</v>
      </c>
      <c r="N6" s="42">
        <f t="shared" si="4"/>
        <v>1</v>
      </c>
      <c r="O6" s="42">
        <f t="shared" si="5"/>
        <v>4</v>
      </c>
      <c r="P6" s="42">
        <f t="shared" si="6"/>
        <v>2</v>
      </c>
      <c r="Q6" s="42">
        <f t="shared" si="7"/>
        <v>2</v>
      </c>
      <c r="R6" s="42">
        <f t="shared" si="8"/>
        <v>4</v>
      </c>
      <c r="S6" s="44">
        <v>1</v>
      </c>
      <c r="T6" s="42"/>
      <c r="U6" s="42"/>
      <c r="V6" s="42"/>
      <c r="W6" s="42"/>
      <c r="X6" s="42"/>
      <c r="Y6" s="42"/>
      <c r="Z6" s="42"/>
      <c r="AA6" s="42"/>
    </row>
    <row r="7" spans="1:27" ht="18.75" customHeight="1">
      <c r="A7" s="4" t="s">
        <v>25</v>
      </c>
      <c r="B7" s="45" t="s">
        <v>26</v>
      </c>
      <c r="C7" s="37" t="s">
        <v>27</v>
      </c>
      <c r="D7" s="38">
        <v>2015</v>
      </c>
      <c r="E7" s="37" t="s">
        <v>506</v>
      </c>
      <c r="F7" s="37" t="s">
        <v>514</v>
      </c>
      <c r="H7" s="39">
        <v>6</v>
      </c>
      <c r="I7" s="46" t="s">
        <v>515</v>
      </c>
      <c r="J7" s="47">
        <f t="shared" si="0"/>
        <v>0</v>
      </c>
      <c r="K7" s="47">
        <f t="shared" si="1"/>
        <v>0</v>
      </c>
      <c r="L7" s="47">
        <f t="shared" si="2"/>
        <v>1</v>
      </c>
      <c r="M7" s="47">
        <f t="shared" si="3"/>
        <v>1</v>
      </c>
      <c r="N7" s="47">
        <f t="shared" si="4"/>
        <v>0</v>
      </c>
      <c r="O7" s="47">
        <f t="shared" si="5"/>
        <v>1</v>
      </c>
      <c r="P7" s="47">
        <f t="shared" si="6"/>
        <v>0</v>
      </c>
      <c r="Q7" s="47">
        <f t="shared" si="7"/>
        <v>0</v>
      </c>
      <c r="R7" s="47">
        <f t="shared" si="8"/>
        <v>3</v>
      </c>
      <c r="S7" s="48">
        <v>0</v>
      </c>
      <c r="T7" s="42"/>
      <c r="U7" s="42"/>
      <c r="V7" s="42"/>
      <c r="W7" s="42"/>
      <c r="X7" s="42"/>
      <c r="Y7" s="42"/>
      <c r="Z7" s="42"/>
      <c r="AA7" s="42"/>
    </row>
    <row r="8" spans="1:27" ht="18.75" customHeight="1">
      <c r="A8" s="4" t="s">
        <v>29</v>
      </c>
      <c r="B8" s="36" t="s">
        <v>30</v>
      </c>
      <c r="C8" s="37" t="s">
        <v>31</v>
      </c>
      <c r="D8" s="38">
        <v>2015</v>
      </c>
      <c r="E8" s="37" t="s">
        <v>506</v>
      </c>
      <c r="F8" s="37" t="s">
        <v>516</v>
      </c>
      <c r="H8" s="49">
        <f>SUM(J8:S8)</f>
        <v>114</v>
      </c>
      <c r="I8" s="49"/>
      <c r="J8" s="50">
        <f>SUM(J2:J7)</f>
        <v>11</v>
      </c>
      <c r="K8" s="51">
        <v>7</v>
      </c>
      <c r="L8" s="51">
        <f>COUNTIFS(G:G, K8,F:F,$L$1)</f>
        <v>0</v>
      </c>
      <c r="M8" s="51">
        <v>12</v>
      </c>
      <c r="N8" s="51">
        <v>6</v>
      </c>
      <c r="O8" s="51">
        <v>12</v>
      </c>
      <c r="P8" s="51">
        <v>11</v>
      </c>
      <c r="Q8" s="51">
        <v>17</v>
      </c>
      <c r="R8" s="51">
        <v>20</v>
      </c>
      <c r="S8" s="52">
        <v>18</v>
      </c>
      <c r="T8" s="42"/>
      <c r="U8" s="42"/>
      <c r="V8" s="42"/>
      <c r="W8" s="42"/>
      <c r="X8" s="42"/>
      <c r="Y8" s="42"/>
      <c r="Z8" s="42"/>
      <c r="AA8" s="42"/>
    </row>
    <row r="9" spans="1:27" ht="18.75" customHeight="1">
      <c r="A9" s="4" t="s">
        <v>32</v>
      </c>
      <c r="B9" s="43" t="s">
        <v>33</v>
      </c>
      <c r="C9" s="37" t="s">
        <v>34</v>
      </c>
      <c r="D9" s="38">
        <v>2015</v>
      </c>
      <c r="E9" s="37" t="s">
        <v>506</v>
      </c>
      <c r="F9" s="37" t="s">
        <v>517</v>
      </c>
    </row>
    <row r="10" spans="1:27" ht="18.75" customHeight="1">
      <c r="A10" s="4" t="s">
        <v>36</v>
      </c>
      <c r="B10" s="36" t="s">
        <v>37</v>
      </c>
      <c r="C10" s="37" t="s">
        <v>38</v>
      </c>
      <c r="D10" s="38">
        <v>2015</v>
      </c>
      <c r="E10" s="37" t="s">
        <v>504</v>
      </c>
      <c r="F10" s="37" t="s">
        <v>518</v>
      </c>
    </row>
    <row r="11" spans="1:27" ht="18.75" customHeight="1">
      <c r="A11" s="4" t="s">
        <v>40</v>
      </c>
      <c r="B11" s="43" t="s">
        <v>41</v>
      </c>
      <c r="C11" s="37" t="s">
        <v>42</v>
      </c>
      <c r="D11" s="38">
        <v>2015</v>
      </c>
      <c r="E11" s="37" t="s">
        <v>509</v>
      </c>
      <c r="F11" s="37" t="s">
        <v>519</v>
      </c>
    </row>
    <row r="12" spans="1:27" ht="18.75" customHeight="1">
      <c r="A12" s="4" t="s">
        <v>44</v>
      </c>
      <c r="B12" s="36" t="s">
        <v>45</v>
      </c>
      <c r="C12" s="37" t="s">
        <v>46</v>
      </c>
      <c r="D12" s="38">
        <v>2015</v>
      </c>
      <c r="E12" s="37" t="s">
        <v>511</v>
      </c>
      <c r="F12" s="37" t="s">
        <v>520</v>
      </c>
    </row>
    <row r="13" spans="1:27" ht="18.75" customHeight="1">
      <c r="A13" s="4" t="s">
        <v>48</v>
      </c>
      <c r="B13" s="53" t="s">
        <v>49</v>
      </c>
      <c r="C13" s="54" t="s">
        <v>50</v>
      </c>
      <c r="D13" s="55">
        <v>2016</v>
      </c>
      <c r="E13" s="54" t="s">
        <v>513</v>
      </c>
      <c r="F13" s="54" t="s">
        <v>521</v>
      </c>
    </row>
    <row r="14" spans="1:27" ht="18.75" customHeight="1">
      <c r="A14" s="4" t="s">
        <v>52</v>
      </c>
      <c r="B14" s="53" t="s">
        <v>53</v>
      </c>
      <c r="C14" s="54" t="s">
        <v>54</v>
      </c>
      <c r="D14" s="55">
        <v>2016</v>
      </c>
      <c r="E14" s="54" t="s">
        <v>504</v>
      </c>
      <c r="F14" s="54" t="s">
        <v>522</v>
      </c>
    </row>
    <row r="15" spans="1:27" ht="18.75" customHeight="1">
      <c r="A15" s="4" t="s">
        <v>56</v>
      </c>
      <c r="B15" s="53" t="s">
        <v>57</v>
      </c>
      <c r="C15" s="54" t="s">
        <v>58</v>
      </c>
      <c r="D15" s="55">
        <v>2016</v>
      </c>
      <c r="E15" s="54" t="s">
        <v>506</v>
      </c>
      <c r="F15" s="54" t="s">
        <v>523</v>
      </c>
    </row>
    <row r="16" spans="1:27" ht="18.75" customHeight="1">
      <c r="A16" s="4" t="s">
        <v>60</v>
      </c>
      <c r="B16" s="53" t="s">
        <v>61</v>
      </c>
      <c r="C16" s="54" t="s">
        <v>62</v>
      </c>
      <c r="D16" s="55">
        <v>2016</v>
      </c>
      <c r="E16" s="54" t="s">
        <v>511</v>
      </c>
      <c r="F16" s="54" t="s">
        <v>524</v>
      </c>
    </row>
    <row r="17" spans="1:6" ht="18.75" customHeight="1">
      <c r="A17" s="4" t="s">
        <v>64</v>
      </c>
      <c r="B17" s="53" t="s">
        <v>65</v>
      </c>
      <c r="C17" s="54" t="s">
        <v>66</v>
      </c>
      <c r="D17" s="55">
        <v>2016</v>
      </c>
      <c r="E17" s="54" t="s">
        <v>511</v>
      </c>
      <c r="F17" s="54" t="s">
        <v>525</v>
      </c>
    </row>
    <row r="18" spans="1:6" ht="18.75" customHeight="1">
      <c r="A18" s="4" t="s">
        <v>68</v>
      </c>
      <c r="B18" s="53" t="s">
        <v>69</v>
      </c>
      <c r="C18" s="54" t="s">
        <v>70</v>
      </c>
      <c r="D18" s="55">
        <v>2016</v>
      </c>
      <c r="E18" s="54" t="s">
        <v>504</v>
      </c>
      <c r="F18" s="54" t="s">
        <v>526</v>
      </c>
    </row>
    <row r="19" spans="1:6" ht="18.75" customHeight="1">
      <c r="A19" s="4" t="s">
        <v>72</v>
      </c>
      <c r="B19" s="53" t="s">
        <v>73</v>
      </c>
      <c r="C19" s="54" t="s">
        <v>74</v>
      </c>
      <c r="D19" s="55">
        <v>2016</v>
      </c>
      <c r="E19" s="54" t="s">
        <v>509</v>
      </c>
      <c r="F19" s="54" t="s">
        <v>527</v>
      </c>
    </row>
    <row r="20" spans="1:6" ht="18.75" customHeight="1">
      <c r="A20" s="4" t="s">
        <v>76</v>
      </c>
      <c r="B20" s="36" t="s">
        <v>77</v>
      </c>
      <c r="C20" s="37" t="s">
        <v>78</v>
      </c>
      <c r="D20" s="38">
        <v>2017</v>
      </c>
      <c r="E20" s="37" t="s">
        <v>504</v>
      </c>
      <c r="F20" s="37" t="s">
        <v>528</v>
      </c>
    </row>
    <row r="21" spans="1:6" ht="18.75" customHeight="1">
      <c r="A21" s="4" t="s">
        <v>80</v>
      </c>
      <c r="B21" s="43" t="s">
        <v>81</v>
      </c>
      <c r="C21" s="37" t="s">
        <v>82</v>
      </c>
      <c r="D21" s="38">
        <v>2017</v>
      </c>
      <c r="E21" s="37" t="s">
        <v>506</v>
      </c>
      <c r="F21" s="37" t="s">
        <v>529</v>
      </c>
    </row>
    <row r="22" spans="1:6" ht="18.75" customHeight="1">
      <c r="A22" s="4" t="s">
        <v>84</v>
      </c>
      <c r="B22" s="36" t="s">
        <v>85</v>
      </c>
      <c r="C22" s="37" t="s">
        <v>86</v>
      </c>
      <c r="D22" s="38">
        <v>2017</v>
      </c>
      <c r="E22" s="37" t="s">
        <v>504</v>
      </c>
      <c r="F22" s="37" t="s">
        <v>530</v>
      </c>
    </row>
    <row r="23" spans="1:6" ht="18.75" customHeight="1">
      <c r="A23" s="4" t="s">
        <v>88</v>
      </c>
      <c r="B23" s="45" t="s">
        <v>89</v>
      </c>
      <c r="C23" s="37" t="s">
        <v>90</v>
      </c>
      <c r="D23" s="38">
        <v>2017</v>
      </c>
      <c r="E23" s="37" t="s">
        <v>504</v>
      </c>
      <c r="F23" s="37" t="s">
        <v>531</v>
      </c>
    </row>
    <row r="24" spans="1:6" ht="18.75" customHeight="1">
      <c r="A24" s="4" t="s">
        <v>92</v>
      </c>
      <c r="B24" s="56" t="s">
        <v>93</v>
      </c>
      <c r="C24" s="37" t="s">
        <v>94</v>
      </c>
      <c r="D24" s="38">
        <v>2017</v>
      </c>
      <c r="E24" s="37" t="s">
        <v>506</v>
      </c>
      <c r="F24" s="37" t="s">
        <v>532</v>
      </c>
    </row>
    <row r="25" spans="1:6" ht="18.75" customHeight="1">
      <c r="A25" s="4" t="s">
        <v>96</v>
      </c>
      <c r="B25" s="43" t="s">
        <v>97</v>
      </c>
      <c r="C25" s="37" t="s">
        <v>98</v>
      </c>
      <c r="D25" s="38">
        <v>2017</v>
      </c>
      <c r="E25" s="37" t="s">
        <v>515</v>
      </c>
      <c r="F25" s="37" t="s">
        <v>533</v>
      </c>
    </row>
    <row r="26" spans="1:6" ht="18.75" customHeight="1">
      <c r="A26" s="4" t="s">
        <v>100</v>
      </c>
      <c r="B26" s="36" t="s">
        <v>101</v>
      </c>
      <c r="C26" s="37" t="s">
        <v>102</v>
      </c>
      <c r="D26" s="38">
        <v>2017</v>
      </c>
      <c r="E26" s="37" t="s">
        <v>504</v>
      </c>
      <c r="F26" s="37" t="s">
        <v>534</v>
      </c>
    </row>
    <row r="27" spans="1:6" ht="18.75" customHeight="1">
      <c r="A27" s="4" t="s">
        <v>104</v>
      </c>
      <c r="B27" s="43" t="s">
        <v>105</v>
      </c>
      <c r="C27" s="37" t="s">
        <v>106</v>
      </c>
      <c r="D27" s="38">
        <v>2017</v>
      </c>
      <c r="E27" s="37" t="s">
        <v>506</v>
      </c>
      <c r="F27" s="37" t="s">
        <v>535</v>
      </c>
    </row>
    <row r="28" spans="1:6" ht="18.75" customHeight="1">
      <c r="A28" s="4" t="s">
        <v>108</v>
      </c>
      <c r="B28" s="36" t="s">
        <v>109</v>
      </c>
      <c r="C28" s="37" t="s">
        <v>110</v>
      </c>
      <c r="D28" s="38">
        <v>2017</v>
      </c>
      <c r="E28" s="37" t="s">
        <v>513</v>
      </c>
      <c r="F28" s="37" t="s">
        <v>536</v>
      </c>
    </row>
    <row r="29" spans="1:6" ht="18.75" customHeight="1">
      <c r="A29" s="4" t="s">
        <v>112</v>
      </c>
      <c r="B29" s="53" t="s">
        <v>113</v>
      </c>
      <c r="C29" s="54" t="s">
        <v>114</v>
      </c>
      <c r="D29" s="55">
        <v>2018</v>
      </c>
      <c r="E29" s="54" t="s">
        <v>506</v>
      </c>
      <c r="F29" s="54" t="s">
        <v>537</v>
      </c>
    </row>
    <row r="30" spans="1:6" ht="18.75" customHeight="1">
      <c r="A30" s="4" t="s">
        <v>116</v>
      </c>
      <c r="B30" s="53" t="s">
        <v>117</v>
      </c>
      <c r="C30" s="54" t="s">
        <v>27</v>
      </c>
      <c r="D30" s="55">
        <v>2018</v>
      </c>
      <c r="E30" s="54" t="s">
        <v>504</v>
      </c>
      <c r="F30" s="54" t="s">
        <v>538</v>
      </c>
    </row>
    <row r="31" spans="1:6" ht="18.75" customHeight="1">
      <c r="A31" s="4" t="s">
        <v>119</v>
      </c>
      <c r="B31" s="53" t="s">
        <v>120</v>
      </c>
      <c r="C31" s="54" t="s">
        <v>121</v>
      </c>
      <c r="D31" s="55">
        <v>2018</v>
      </c>
      <c r="E31" s="54" t="s">
        <v>504</v>
      </c>
      <c r="F31" s="54" t="s">
        <v>539</v>
      </c>
    </row>
    <row r="32" spans="1:6" ht="18.75" customHeight="1">
      <c r="A32" s="4" t="s">
        <v>123</v>
      </c>
      <c r="B32" s="53" t="s">
        <v>124</v>
      </c>
      <c r="C32" s="54" t="s">
        <v>125</v>
      </c>
      <c r="D32" s="55">
        <v>2018</v>
      </c>
      <c r="E32" s="54" t="s">
        <v>506</v>
      </c>
      <c r="F32" s="54" t="s">
        <v>540</v>
      </c>
    </row>
    <row r="33" spans="1:13" ht="18.75" customHeight="1">
      <c r="A33" s="4" t="s">
        <v>127</v>
      </c>
      <c r="B33" s="53" t="s">
        <v>128</v>
      </c>
      <c r="C33" s="54" t="s">
        <v>129</v>
      </c>
      <c r="D33" s="55">
        <v>2018</v>
      </c>
      <c r="E33" s="54" t="s">
        <v>515</v>
      </c>
      <c r="F33" s="54" t="s">
        <v>541</v>
      </c>
    </row>
    <row r="34" spans="1:13" ht="18.75" customHeight="1">
      <c r="A34" s="4" t="s">
        <v>131</v>
      </c>
      <c r="B34" s="53" t="s">
        <v>132</v>
      </c>
      <c r="C34" s="54" t="s">
        <v>133</v>
      </c>
      <c r="D34" s="55">
        <v>2018</v>
      </c>
      <c r="E34" s="54" t="s">
        <v>513</v>
      </c>
      <c r="F34" s="54" t="s">
        <v>542</v>
      </c>
    </row>
    <row r="35" spans="1:13" ht="18.75" customHeight="1">
      <c r="A35" s="4" t="s">
        <v>135</v>
      </c>
      <c r="B35" s="53" t="s">
        <v>136</v>
      </c>
      <c r="C35" s="54" t="s">
        <v>137</v>
      </c>
      <c r="D35" s="55">
        <v>2018</v>
      </c>
      <c r="E35" s="54" t="s">
        <v>504</v>
      </c>
      <c r="F35" s="54" t="s">
        <v>543</v>
      </c>
    </row>
    <row r="36" spans="1:13" ht="18.75" customHeight="1">
      <c r="A36" s="4" t="s">
        <v>139</v>
      </c>
      <c r="B36" s="53" t="s">
        <v>140</v>
      </c>
      <c r="C36" s="54" t="s">
        <v>141</v>
      </c>
      <c r="D36" s="55">
        <v>2018</v>
      </c>
      <c r="E36" s="54" t="s">
        <v>506</v>
      </c>
      <c r="F36" s="54" t="s">
        <v>544</v>
      </c>
    </row>
    <row r="37" spans="1:13" ht="18.75" customHeight="1">
      <c r="A37" s="4" t="s">
        <v>143</v>
      </c>
      <c r="B37" s="53" t="s">
        <v>144</v>
      </c>
      <c r="C37" s="54" t="s">
        <v>145</v>
      </c>
      <c r="D37" s="55">
        <v>2018</v>
      </c>
      <c r="E37" s="54" t="s">
        <v>504</v>
      </c>
      <c r="F37" s="54" t="s">
        <v>545</v>
      </c>
    </row>
    <row r="38" spans="1:13" ht="18.75" customHeight="1">
      <c r="A38" s="4" t="s">
        <v>147</v>
      </c>
      <c r="B38" s="53" t="s">
        <v>148</v>
      </c>
      <c r="C38" s="54" t="s">
        <v>149</v>
      </c>
      <c r="D38" s="55">
        <v>2018</v>
      </c>
      <c r="E38" s="54" t="s">
        <v>504</v>
      </c>
      <c r="F38" s="54" t="s">
        <v>546</v>
      </c>
    </row>
    <row r="39" spans="1:13" ht="18.75" customHeight="1">
      <c r="A39" s="4" t="s">
        <v>151</v>
      </c>
      <c r="B39" s="53" t="s">
        <v>152</v>
      </c>
      <c r="C39" s="54" t="s">
        <v>153</v>
      </c>
      <c r="D39" s="55">
        <v>2018</v>
      </c>
      <c r="E39" s="54" t="s">
        <v>513</v>
      </c>
      <c r="F39" s="54" t="s">
        <v>547</v>
      </c>
    </row>
    <row r="40" spans="1:13" ht="18.75" customHeight="1">
      <c r="A40" s="4" t="s">
        <v>155</v>
      </c>
      <c r="B40" s="54" t="s">
        <v>156</v>
      </c>
      <c r="C40" s="54" t="s">
        <v>157</v>
      </c>
      <c r="D40" s="55">
        <v>2018</v>
      </c>
      <c r="E40" s="54" t="s">
        <v>506</v>
      </c>
      <c r="F40" s="54" t="s">
        <v>548</v>
      </c>
    </row>
    <row r="41" spans="1:13" ht="18.75" customHeight="1">
      <c r="A41" s="4" t="s">
        <v>159</v>
      </c>
      <c r="B41" s="36" t="s">
        <v>160</v>
      </c>
      <c r="C41" s="37" t="s">
        <v>161</v>
      </c>
      <c r="D41" s="38">
        <v>2019</v>
      </c>
      <c r="E41" s="37" t="s">
        <v>504</v>
      </c>
      <c r="F41" s="37" t="s">
        <v>549</v>
      </c>
    </row>
    <row r="42" spans="1:13" ht="18.75" customHeight="1">
      <c r="A42" s="4" t="s">
        <v>163</v>
      </c>
      <c r="B42" s="43" t="s">
        <v>164</v>
      </c>
      <c r="C42" s="37" t="s">
        <v>165</v>
      </c>
      <c r="D42" s="38">
        <v>2019</v>
      </c>
      <c r="E42" s="37" t="s">
        <v>511</v>
      </c>
      <c r="F42" s="37" t="s">
        <v>550</v>
      </c>
    </row>
    <row r="43" spans="1:13" ht="18.75" customHeight="1">
      <c r="A43" s="4" t="s">
        <v>167</v>
      </c>
      <c r="B43" s="36" t="s">
        <v>168</v>
      </c>
      <c r="C43" s="37" t="s">
        <v>169</v>
      </c>
      <c r="D43" s="38">
        <v>2019</v>
      </c>
      <c r="E43" s="37" t="s">
        <v>513</v>
      </c>
      <c r="F43" s="37" t="s">
        <v>551</v>
      </c>
    </row>
    <row r="44" spans="1:13" ht="18.75" customHeight="1">
      <c r="A44" s="4" t="s">
        <v>171</v>
      </c>
      <c r="B44" s="43" t="s">
        <v>172</v>
      </c>
      <c r="C44" s="37" t="s">
        <v>173</v>
      </c>
      <c r="D44" s="38">
        <v>2019</v>
      </c>
      <c r="E44" s="37" t="s">
        <v>504</v>
      </c>
      <c r="F44" s="37" t="s">
        <v>552</v>
      </c>
    </row>
    <row r="45" spans="1:13" ht="18.75" customHeight="1">
      <c r="A45" s="4" t="s">
        <v>175</v>
      </c>
      <c r="B45" s="36" t="s">
        <v>176</v>
      </c>
      <c r="C45" s="37" t="s">
        <v>177</v>
      </c>
      <c r="D45" s="38">
        <v>2019</v>
      </c>
      <c r="E45" s="37" t="s">
        <v>506</v>
      </c>
      <c r="F45" s="37" t="s">
        <v>553</v>
      </c>
    </row>
    <row r="46" spans="1:13" ht="18.75" customHeight="1">
      <c r="A46" s="4" t="s">
        <v>179</v>
      </c>
      <c r="B46" s="43" t="s">
        <v>180</v>
      </c>
      <c r="C46" s="37" t="s">
        <v>181</v>
      </c>
      <c r="D46" s="38">
        <v>2019</v>
      </c>
      <c r="E46" s="37" t="s">
        <v>506</v>
      </c>
      <c r="F46" s="37" t="s">
        <v>554</v>
      </c>
    </row>
    <row r="47" spans="1:13" ht="18.75" customHeight="1">
      <c r="A47" s="4" t="s">
        <v>183</v>
      </c>
      <c r="B47" s="53" t="s">
        <v>184</v>
      </c>
      <c r="C47" s="54" t="s">
        <v>185</v>
      </c>
      <c r="D47" s="55">
        <v>2020</v>
      </c>
      <c r="E47" s="54" t="s">
        <v>504</v>
      </c>
      <c r="F47" s="54" t="s">
        <v>555</v>
      </c>
    </row>
    <row r="48" spans="1:13" ht="18.75" customHeight="1">
      <c r="A48" s="4" t="s">
        <v>187</v>
      </c>
      <c r="B48" s="53" t="s">
        <v>188</v>
      </c>
      <c r="C48" s="54" t="s">
        <v>189</v>
      </c>
      <c r="D48" s="55">
        <v>2020</v>
      </c>
      <c r="E48" s="54" t="s">
        <v>509</v>
      </c>
      <c r="F48" s="54" t="s">
        <v>556</v>
      </c>
      <c r="G48" s="57"/>
      <c r="H48" s="32"/>
      <c r="J48" s="58"/>
      <c r="K48" s="57"/>
      <c r="M48" s="32"/>
    </row>
    <row r="49" spans="1:14" ht="18.75" customHeight="1">
      <c r="A49" s="4" t="s">
        <v>191</v>
      </c>
      <c r="B49" s="53" t="s">
        <v>192</v>
      </c>
      <c r="C49" s="54" t="s">
        <v>193</v>
      </c>
      <c r="D49" s="55">
        <v>2020</v>
      </c>
      <c r="E49" s="54" t="s">
        <v>513</v>
      </c>
      <c r="F49" s="54" t="s">
        <v>557</v>
      </c>
      <c r="G49" s="57"/>
      <c r="H49" s="32"/>
      <c r="J49" s="58"/>
      <c r="K49" s="57"/>
      <c r="M49" s="32"/>
    </row>
    <row r="50" spans="1:14" ht="18.75" customHeight="1">
      <c r="A50" s="4" t="s">
        <v>195</v>
      </c>
      <c r="B50" s="53" t="s">
        <v>196</v>
      </c>
      <c r="C50" s="54" t="s">
        <v>197</v>
      </c>
      <c r="D50" s="55">
        <v>2020</v>
      </c>
      <c r="E50" s="54" t="s">
        <v>504</v>
      </c>
      <c r="F50" s="54" t="s">
        <v>558</v>
      </c>
      <c r="G50" s="57"/>
      <c r="H50" s="32"/>
      <c r="J50" s="58"/>
      <c r="K50" s="57"/>
      <c r="M50" s="32"/>
    </row>
    <row r="51" spans="1:14" ht="18.75" customHeight="1">
      <c r="A51" s="4" t="s">
        <v>199</v>
      </c>
      <c r="B51" s="53" t="s">
        <v>200</v>
      </c>
      <c r="C51" s="54" t="s">
        <v>201</v>
      </c>
      <c r="D51" s="55">
        <v>2020</v>
      </c>
      <c r="E51" s="54" t="s">
        <v>513</v>
      </c>
      <c r="F51" s="54" t="s">
        <v>559</v>
      </c>
      <c r="G51" s="57"/>
      <c r="H51" s="32"/>
      <c r="J51" s="58"/>
      <c r="K51" s="57"/>
      <c r="M51" s="32"/>
    </row>
    <row r="52" spans="1:14" ht="18.75" customHeight="1">
      <c r="A52" s="4" t="s">
        <v>203</v>
      </c>
      <c r="B52" s="53" t="s">
        <v>204</v>
      </c>
      <c r="C52" s="54" t="s">
        <v>205</v>
      </c>
      <c r="D52" s="55">
        <v>2020</v>
      </c>
      <c r="E52" s="54" t="s">
        <v>506</v>
      </c>
      <c r="F52" s="54" t="s">
        <v>560</v>
      </c>
      <c r="G52" s="57"/>
      <c r="H52" s="32"/>
      <c r="J52" s="58"/>
      <c r="K52" s="57"/>
      <c r="M52" s="32"/>
    </row>
    <row r="53" spans="1:14" ht="18.75" customHeight="1">
      <c r="A53" s="4" t="s">
        <v>207</v>
      </c>
      <c r="B53" s="54" t="s">
        <v>208</v>
      </c>
      <c r="C53" s="54" t="s">
        <v>209</v>
      </c>
      <c r="D53" s="55">
        <v>2020</v>
      </c>
      <c r="E53" s="54" t="s">
        <v>506</v>
      </c>
      <c r="F53" s="54" t="s">
        <v>561</v>
      </c>
      <c r="G53" s="57"/>
      <c r="H53" s="32"/>
      <c r="J53" s="58"/>
      <c r="K53" s="57"/>
      <c r="M53" s="32"/>
    </row>
    <row r="54" spans="1:14" ht="18.75" customHeight="1">
      <c r="A54" s="4" t="s">
        <v>211</v>
      </c>
      <c r="B54" s="53" t="s">
        <v>212</v>
      </c>
      <c r="C54" s="54" t="s">
        <v>213</v>
      </c>
      <c r="D54" s="55">
        <v>2020</v>
      </c>
      <c r="E54" s="54" t="s">
        <v>511</v>
      </c>
      <c r="F54" s="54" t="s">
        <v>562</v>
      </c>
      <c r="H54" s="32"/>
      <c r="J54" s="58"/>
      <c r="M54" s="32"/>
    </row>
    <row r="55" spans="1:14" ht="18.75" customHeight="1">
      <c r="A55" s="4" t="s">
        <v>215</v>
      </c>
      <c r="B55" s="53" t="s">
        <v>216</v>
      </c>
      <c r="C55" s="54" t="s">
        <v>217</v>
      </c>
      <c r="D55" s="55">
        <v>2020</v>
      </c>
      <c r="E55" s="54" t="s">
        <v>515</v>
      </c>
      <c r="F55" s="54" t="s">
        <v>563</v>
      </c>
      <c r="G55" s="57"/>
      <c r="H55" s="32"/>
      <c r="J55" s="58"/>
      <c r="K55" s="57"/>
      <c r="M55" s="32"/>
    </row>
    <row r="56" spans="1:14" ht="18.75" customHeight="1">
      <c r="A56" s="4" t="s">
        <v>219</v>
      </c>
      <c r="B56" s="54" t="s">
        <v>220</v>
      </c>
      <c r="C56" s="54" t="s">
        <v>221</v>
      </c>
      <c r="D56" s="55">
        <v>2020</v>
      </c>
      <c r="E56" s="54" t="s">
        <v>504</v>
      </c>
      <c r="F56" s="54" t="s">
        <v>564</v>
      </c>
      <c r="G56" s="57"/>
      <c r="H56" s="32"/>
      <c r="J56" s="58"/>
      <c r="K56" s="57"/>
      <c r="M56" s="32"/>
    </row>
    <row r="57" spans="1:14" ht="18.75" customHeight="1">
      <c r="A57" s="4" t="s">
        <v>223</v>
      </c>
      <c r="B57" s="53" t="s">
        <v>224</v>
      </c>
      <c r="C57" s="54" t="s">
        <v>225</v>
      </c>
      <c r="D57" s="55">
        <v>2020</v>
      </c>
      <c r="E57" s="54" t="s">
        <v>513</v>
      </c>
      <c r="F57" s="54" t="s">
        <v>565</v>
      </c>
      <c r="H57" s="32"/>
      <c r="J57" s="58"/>
      <c r="M57" s="32"/>
    </row>
    <row r="58" spans="1:14" ht="18.75" customHeight="1">
      <c r="A58" s="4" t="s">
        <v>227</v>
      </c>
      <c r="B58" s="53" t="s">
        <v>228</v>
      </c>
      <c r="C58" s="54" t="s">
        <v>229</v>
      </c>
      <c r="D58" s="55">
        <v>2020</v>
      </c>
      <c r="E58" s="54" t="s">
        <v>513</v>
      </c>
      <c r="F58" s="54" t="s">
        <v>566</v>
      </c>
      <c r="G58" s="57"/>
      <c r="H58" s="32"/>
      <c r="J58" s="58"/>
      <c r="K58" s="57"/>
      <c r="M58" s="32"/>
    </row>
    <row r="59" spans="1:14" ht="18.75" customHeight="1">
      <c r="A59" s="4" t="s">
        <v>231</v>
      </c>
      <c r="B59" s="59" t="s">
        <v>232</v>
      </c>
      <c r="C59" s="60" t="s">
        <v>233</v>
      </c>
      <c r="D59" s="38">
        <v>2021</v>
      </c>
      <c r="E59" s="61" t="s">
        <v>511</v>
      </c>
      <c r="F59" s="37" t="s">
        <v>567</v>
      </c>
      <c r="G59" s="57"/>
      <c r="H59" s="32"/>
      <c r="J59" s="58"/>
      <c r="K59" s="57"/>
      <c r="M59" s="32"/>
    </row>
    <row r="60" spans="1:14" ht="18.75" customHeight="1">
      <c r="A60" s="4" t="s">
        <v>235</v>
      </c>
      <c r="B60" s="62" t="s">
        <v>236</v>
      </c>
      <c r="C60" s="60" t="s">
        <v>237</v>
      </c>
      <c r="D60" s="38">
        <v>2021</v>
      </c>
      <c r="E60" s="61" t="s">
        <v>504</v>
      </c>
      <c r="F60" s="61" t="s">
        <v>568</v>
      </c>
      <c r="G60" s="63"/>
      <c r="H60" s="63"/>
      <c r="I60" s="63"/>
      <c r="J60" s="63"/>
      <c r="K60" s="63"/>
      <c r="L60" s="63"/>
      <c r="M60" s="63"/>
      <c r="N60" s="63"/>
    </row>
    <row r="61" spans="1:14" ht="18.75" customHeight="1">
      <c r="A61" s="4" t="s">
        <v>239</v>
      </c>
      <c r="B61" s="59" t="s">
        <v>240</v>
      </c>
      <c r="C61" s="60" t="s">
        <v>241</v>
      </c>
      <c r="D61" s="38">
        <v>2021</v>
      </c>
      <c r="E61" s="61" t="s">
        <v>506</v>
      </c>
      <c r="F61" s="61" t="s">
        <v>569</v>
      </c>
      <c r="G61" s="63"/>
      <c r="H61" s="63"/>
      <c r="I61" s="63"/>
      <c r="J61" s="63"/>
      <c r="K61" s="63"/>
      <c r="L61" s="63"/>
      <c r="M61" s="63"/>
      <c r="N61" s="63"/>
    </row>
    <row r="62" spans="1:14" ht="18.75" customHeight="1">
      <c r="A62" s="4" t="s">
        <v>243</v>
      </c>
      <c r="B62" s="62" t="s">
        <v>244</v>
      </c>
      <c r="C62" s="60" t="s">
        <v>245</v>
      </c>
      <c r="D62" s="38">
        <v>2021</v>
      </c>
      <c r="E62" s="61" t="s">
        <v>513</v>
      </c>
      <c r="F62" s="61" t="s">
        <v>570</v>
      </c>
      <c r="G62" s="63"/>
      <c r="H62" s="63"/>
      <c r="I62" s="63"/>
      <c r="J62" s="63"/>
      <c r="K62" s="63"/>
      <c r="L62" s="63"/>
      <c r="M62" s="63"/>
      <c r="N62" s="63"/>
    </row>
    <row r="63" spans="1:14" ht="18.75" customHeight="1">
      <c r="A63" s="4" t="s">
        <v>247</v>
      </c>
      <c r="B63" s="59" t="s">
        <v>248</v>
      </c>
      <c r="C63" s="60" t="s">
        <v>249</v>
      </c>
      <c r="D63" s="38">
        <v>2021</v>
      </c>
      <c r="E63" s="61" t="s">
        <v>506</v>
      </c>
      <c r="F63" s="61" t="s">
        <v>571</v>
      </c>
      <c r="G63" s="63"/>
      <c r="H63" s="63"/>
      <c r="I63" s="63"/>
      <c r="J63" s="63"/>
      <c r="K63" s="63"/>
      <c r="L63" s="63"/>
      <c r="M63" s="63"/>
      <c r="N63" s="63"/>
    </row>
    <row r="64" spans="1:14" ht="18.75" customHeight="1">
      <c r="A64" s="4" t="s">
        <v>251</v>
      </c>
      <c r="B64" s="62" t="s">
        <v>252</v>
      </c>
      <c r="C64" s="60" t="s">
        <v>253</v>
      </c>
      <c r="D64" s="38">
        <v>2021</v>
      </c>
      <c r="E64" s="61" t="s">
        <v>506</v>
      </c>
      <c r="F64" s="61" t="s">
        <v>572</v>
      </c>
      <c r="G64" s="63"/>
      <c r="H64" s="63"/>
      <c r="I64" s="63"/>
      <c r="J64" s="63"/>
      <c r="K64" s="63"/>
      <c r="L64" s="63"/>
      <c r="M64" s="63"/>
      <c r="N64" s="63"/>
    </row>
    <row r="65" spans="1:14" ht="18.75" customHeight="1">
      <c r="A65" s="4" t="s">
        <v>255</v>
      </c>
      <c r="B65" s="59" t="s">
        <v>256</v>
      </c>
      <c r="C65" s="60" t="s">
        <v>257</v>
      </c>
      <c r="D65" s="38">
        <v>2021</v>
      </c>
      <c r="E65" s="37" t="s">
        <v>506</v>
      </c>
      <c r="F65" s="61" t="s">
        <v>573</v>
      </c>
      <c r="G65" s="63"/>
      <c r="H65" s="63"/>
      <c r="I65" s="63"/>
      <c r="J65" s="63"/>
      <c r="K65" s="63"/>
      <c r="L65" s="63"/>
      <c r="M65" s="63"/>
      <c r="N65" s="63"/>
    </row>
    <row r="66" spans="1:14" ht="18.75" customHeight="1">
      <c r="A66" s="4" t="s">
        <v>259</v>
      </c>
      <c r="B66" s="62" t="s">
        <v>260</v>
      </c>
      <c r="C66" s="17" t="s">
        <v>261</v>
      </c>
      <c r="D66" s="38">
        <v>2021</v>
      </c>
      <c r="E66" s="61" t="s">
        <v>513</v>
      </c>
      <c r="F66" s="61" t="s">
        <v>574</v>
      </c>
      <c r="G66" s="63"/>
      <c r="H66" s="63"/>
      <c r="I66" s="63"/>
      <c r="J66" s="63"/>
      <c r="K66" s="63"/>
      <c r="L66" s="63"/>
      <c r="M66" s="63"/>
      <c r="N66" s="63"/>
    </row>
    <row r="67" spans="1:14" ht="18.75" customHeight="1">
      <c r="A67" s="4" t="s">
        <v>263</v>
      </c>
      <c r="B67" s="59" t="s">
        <v>264</v>
      </c>
      <c r="C67" s="17" t="s">
        <v>265</v>
      </c>
      <c r="D67" s="38">
        <v>2021</v>
      </c>
      <c r="E67" s="61" t="s">
        <v>511</v>
      </c>
      <c r="F67" s="61" t="s">
        <v>575</v>
      </c>
      <c r="G67" s="63"/>
      <c r="H67" s="63"/>
      <c r="I67" s="63"/>
      <c r="J67" s="63"/>
      <c r="K67" s="63"/>
      <c r="L67" s="63"/>
      <c r="M67" s="63"/>
      <c r="N67" s="63"/>
    </row>
    <row r="68" spans="1:14" ht="18.75" customHeight="1">
      <c r="A68" s="4" t="s">
        <v>267</v>
      </c>
      <c r="B68" s="62" t="s">
        <v>268</v>
      </c>
      <c r="C68" s="60" t="s">
        <v>269</v>
      </c>
      <c r="D68" s="38">
        <v>2021</v>
      </c>
      <c r="E68" s="61" t="s">
        <v>504</v>
      </c>
      <c r="F68" s="61" t="s">
        <v>576</v>
      </c>
      <c r="G68" s="63"/>
      <c r="H68" s="63"/>
      <c r="I68" s="63"/>
      <c r="J68" s="63"/>
      <c r="K68" s="63"/>
      <c r="L68" s="63"/>
      <c r="M68" s="63"/>
      <c r="N68" s="63"/>
    </row>
    <row r="69" spans="1:14" ht="18.75" customHeight="1">
      <c r="A69" s="4" t="s">
        <v>271</v>
      </c>
      <c r="B69" s="59" t="s">
        <v>272</v>
      </c>
      <c r="C69" s="60" t="s">
        <v>273</v>
      </c>
      <c r="D69" s="38">
        <v>2021</v>
      </c>
      <c r="E69" s="37" t="s">
        <v>506</v>
      </c>
      <c r="F69" s="60" t="s">
        <v>577</v>
      </c>
      <c r="G69" s="63"/>
      <c r="H69" s="63"/>
      <c r="I69" s="63"/>
      <c r="J69" s="63"/>
      <c r="K69" s="63"/>
      <c r="L69" s="63"/>
      <c r="M69" s="63"/>
      <c r="N69" s="63"/>
    </row>
    <row r="70" spans="1:14" ht="18.75" customHeight="1">
      <c r="A70" s="4" t="s">
        <v>275</v>
      </c>
      <c r="B70" s="53" t="s">
        <v>276</v>
      </c>
      <c r="C70" s="54" t="s">
        <v>277</v>
      </c>
      <c r="D70" s="55">
        <v>2022</v>
      </c>
      <c r="E70" s="54" t="s">
        <v>513</v>
      </c>
      <c r="F70" s="64" t="s">
        <v>578</v>
      </c>
      <c r="G70" s="63"/>
      <c r="H70" s="63"/>
      <c r="I70" s="63"/>
      <c r="J70" s="63"/>
      <c r="K70" s="63"/>
      <c r="L70" s="63"/>
      <c r="M70" s="63"/>
      <c r="N70" s="63"/>
    </row>
    <row r="71" spans="1:14" ht="18.75" customHeight="1">
      <c r="A71" s="4" t="s">
        <v>279</v>
      </c>
      <c r="B71" s="53" t="s">
        <v>280</v>
      </c>
      <c r="C71" s="54" t="s">
        <v>281</v>
      </c>
      <c r="D71" s="55">
        <v>2022</v>
      </c>
      <c r="E71" s="54" t="s">
        <v>509</v>
      </c>
      <c r="F71" s="64" t="s">
        <v>579</v>
      </c>
    </row>
    <row r="72" spans="1:14" ht="18.75" customHeight="1">
      <c r="A72" s="4" t="s">
        <v>283</v>
      </c>
      <c r="B72" s="53" t="s">
        <v>284</v>
      </c>
      <c r="C72" s="54" t="s">
        <v>285</v>
      </c>
      <c r="D72" s="55">
        <v>2022</v>
      </c>
      <c r="E72" s="54" t="s">
        <v>509</v>
      </c>
      <c r="F72" s="64" t="s">
        <v>580</v>
      </c>
    </row>
    <row r="73" spans="1:14" ht="18.75" customHeight="1">
      <c r="A73" s="4" t="s">
        <v>287</v>
      </c>
      <c r="B73" s="53" t="s">
        <v>288</v>
      </c>
      <c r="C73" s="54" t="s">
        <v>289</v>
      </c>
      <c r="D73" s="55">
        <v>2022</v>
      </c>
      <c r="E73" s="54" t="s">
        <v>504</v>
      </c>
      <c r="F73" s="64" t="s">
        <v>581</v>
      </c>
    </row>
    <row r="74" spans="1:14" ht="18.75" customHeight="1">
      <c r="A74" s="4" t="s">
        <v>291</v>
      </c>
      <c r="B74" s="53" t="s">
        <v>292</v>
      </c>
      <c r="C74" s="54" t="s">
        <v>293</v>
      </c>
      <c r="D74" s="55">
        <v>2022</v>
      </c>
      <c r="E74" s="54" t="s">
        <v>513</v>
      </c>
      <c r="F74" s="64" t="s">
        <v>582</v>
      </c>
    </row>
    <row r="75" spans="1:14" ht="18.75" customHeight="1">
      <c r="A75" s="4" t="s">
        <v>295</v>
      </c>
      <c r="B75" s="53" t="s">
        <v>296</v>
      </c>
      <c r="C75" s="54" t="s">
        <v>297</v>
      </c>
      <c r="D75" s="55">
        <v>2022</v>
      </c>
      <c r="E75" s="54" t="s">
        <v>506</v>
      </c>
      <c r="F75" s="64" t="s">
        <v>583</v>
      </c>
    </row>
    <row r="76" spans="1:14" ht="18.75" customHeight="1">
      <c r="A76" s="4" t="s">
        <v>299</v>
      </c>
      <c r="B76" s="53" t="s">
        <v>300</v>
      </c>
      <c r="C76" s="54" t="s">
        <v>301</v>
      </c>
      <c r="D76" s="55">
        <v>2022</v>
      </c>
      <c r="E76" s="54" t="s">
        <v>504</v>
      </c>
      <c r="F76" s="64" t="s">
        <v>584</v>
      </c>
    </row>
    <row r="77" spans="1:14" ht="18.75" customHeight="1">
      <c r="A77" s="4" t="s">
        <v>303</v>
      </c>
      <c r="B77" s="53" t="s">
        <v>304</v>
      </c>
      <c r="C77" s="54" t="s">
        <v>305</v>
      </c>
      <c r="D77" s="55">
        <v>2022</v>
      </c>
      <c r="E77" s="54" t="s">
        <v>504</v>
      </c>
      <c r="F77" s="64" t="s">
        <v>584</v>
      </c>
    </row>
    <row r="78" spans="1:14" ht="18.75" customHeight="1">
      <c r="A78" s="4" t="s">
        <v>307</v>
      </c>
      <c r="B78" s="53" t="s">
        <v>308</v>
      </c>
      <c r="C78" s="54" t="s">
        <v>309</v>
      </c>
      <c r="D78" s="55">
        <v>2022</v>
      </c>
      <c r="E78" s="54" t="s">
        <v>504</v>
      </c>
      <c r="F78" s="64" t="s">
        <v>584</v>
      </c>
    </row>
    <row r="79" spans="1:14" ht="18.75" customHeight="1">
      <c r="A79" s="4" t="s">
        <v>311</v>
      </c>
      <c r="B79" s="53" t="s">
        <v>312</v>
      </c>
      <c r="C79" s="54" t="s">
        <v>313</v>
      </c>
      <c r="D79" s="55">
        <v>2022</v>
      </c>
      <c r="E79" s="54" t="s">
        <v>504</v>
      </c>
      <c r="F79" s="64" t="s">
        <v>585</v>
      </c>
    </row>
    <row r="80" spans="1:14" ht="18.75" customHeight="1">
      <c r="A80" s="4" t="s">
        <v>315</v>
      </c>
      <c r="B80" s="53" t="s">
        <v>316</v>
      </c>
      <c r="C80" s="54" t="s">
        <v>317</v>
      </c>
      <c r="D80" s="55">
        <v>2022</v>
      </c>
      <c r="E80" s="54" t="s">
        <v>504</v>
      </c>
      <c r="F80" s="65" t="s">
        <v>586</v>
      </c>
    </row>
    <row r="81" spans="1:6" ht="18.75" customHeight="1">
      <c r="A81" s="4" t="s">
        <v>319</v>
      </c>
      <c r="B81" s="53" t="s">
        <v>320</v>
      </c>
      <c r="C81" s="54" t="s">
        <v>321</v>
      </c>
      <c r="D81" s="55">
        <v>2022</v>
      </c>
      <c r="E81" s="54" t="s">
        <v>506</v>
      </c>
      <c r="F81" s="54" t="s">
        <v>587</v>
      </c>
    </row>
    <row r="82" spans="1:6" ht="18.75" customHeight="1">
      <c r="A82" s="4" t="s">
        <v>323</v>
      </c>
      <c r="B82" s="53" t="s">
        <v>324</v>
      </c>
      <c r="C82" s="54" t="s">
        <v>325</v>
      </c>
      <c r="D82" s="55">
        <v>2022</v>
      </c>
      <c r="E82" s="54" t="s">
        <v>506</v>
      </c>
      <c r="F82" s="54" t="s">
        <v>588</v>
      </c>
    </row>
    <row r="83" spans="1:6" ht="18.75" customHeight="1">
      <c r="A83" s="4" t="s">
        <v>327</v>
      </c>
      <c r="B83" s="53" t="s">
        <v>328</v>
      </c>
      <c r="C83" s="54" t="s">
        <v>329</v>
      </c>
      <c r="D83" s="55">
        <v>2022</v>
      </c>
      <c r="E83" s="54" t="s">
        <v>506</v>
      </c>
      <c r="F83" s="54" t="s">
        <v>589</v>
      </c>
    </row>
    <row r="84" spans="1:6" ht="18.75" customHeight="1">
      <c r="A84" s="4" t="s">
        <v>331</v>
      </c>
      <c r="B84" s="53" t="s">
        <v>332</v>
      </c>
      <c r="C84" s="54" t="s">
        <v>333</v>
      </c>
      <c r="D84" s="55">
        <v>2022</v>
      </c>
      <c r="E84" s="54" t="s">
        <v>506</v>
      </c>
      <c r="F84" s="54" t="s">
        <v>590</v>
      </c>
    </row>
    <row r="85" spans="1:6" ht="18.75" customHeight="1">
      <c r="A85" s="4" t="s">
        <v>335</v>
      </c>
      <c r="B85" s="53" t="s">
        <v>336</v>
      </c>
      <c r="C85" s="54" t="s">
        <v>313</v>
      </c>
      <c r="D85" s="55">
        <v>2022</v>
      </c>
      <c r="E85" s="54" t="s">
        <v>504</v>
      </c>
      <c r="F85" s="54" t="s">
        <v>591</v>
      </c>
    </row>
    <row r="86" spans="1:6" ht="18.75" customHeight="1">
      <c r="A86" s="4" t="s">
        <v>338</v>
      </c>
      <c r="B86" s="53" t="s">
        <v>339</v>
      </c>
      <c r="C86" s="54" t="s">
        <v>340</v>
      </c>
      <c r="D86" s="55">
        <v>2022</v>
      </c>
      <c r="E86" s="54" t="s">
        <v>511</v>
      </c>
      <c r="F86" s="54" t="s">
        <v>592</v>
      </c>
    </row>
    <row r="87" spans="1:6" ht="18.75" customHeight="1">
      <c r="A87" s="4" t="s">
        <v>366</v>
      </c>
      <c r="B87" s="56" t="s">
        <v>367</v>
      </c>
      <c r="C87" s="37" t="s">
        <v>368</v>
      </c>
      <c r="D87" s="38">
        <v>2023</v>
      </c>
      <c r="E87" s="37" t="s">
        <v>506</v>
      </c>
      <c r="F87" s="37" t="s">
        <v>593</v>
      </c>
    </row>
    <row r="88" spans="1:6" ht="18.75" customHeight="1">
      <c r="A88" s="4" t="s">
        <v>370</v>
      </c>
      <c r="B88" s="43" t="s">
        <v>371</v>
      </c>
      <c r="C88" s="37" t="s">
        <v>372</v>
      </c>
      <c r="D88" s="38">
        <v>2023</v>
      </c>
      <c r="E88" s="37" t="s">
        <v>506</v>
      </c>
      <c r="F88" s="37" t="s">
        <v>588</v>
      </c>
    </row>
    <row r="89" spans="1:6" ht="18.75" customHeight="1">
      <c r="A89" s="4" t="s">
        <v>374</v>
      </c>
      <c r="B89" s="36" t="s">
        <v>375</v>
      </c>
      <c r="C89" s="37" t="s">
        <v>376</v>
      </c>
      <c r="D89" s="38">
        <v>2023</v>
      </c>
      <c r="E89" s="37" t="s">
        <v>511</v>
      </c>
      <c r="F89" s="37" t="s">
        <v>594</v>
      </c>
    </row>
    <row r="90" spans="1:6" ht="18.75" customHeight="1">
      <c r="A90" s="4" t="s">
        <v>378</v>
      </c>
      <c r="B90" s="43" t="s">
        <v>379</v>
      </c>
      <c r="C90" s="37" t="s">
        <v>380</v>
      </c>
      <c r="D90" s="38">
        <v>2023</v>
      </c>
      <c r="E90" s="37" t="s">
        <v>504</v>
      </c>
      <c r="F90" s="37" t="s">
        <v>595</v>
      </c>
    </row>
    <row r="91" spans="1:6" ht="18.75" customHeight="1">
      <c r="A91" s="4" t="s">
        <v>382</v>
      </c>
      <c r="B91" s="36" t="s">
        <v>383</v>
      </c>
      <c r="C91" s="37" t="s">
        <v>384</v>
      </c>
      <c r="D91" s="38">
        <v>2023</v>
      </c>
      <c r="E91" s="37" t="s">
        <v>515</v>
      </c>
      <c r="F91" s="37" t="s">
        <v>596</v>
      </c>
    </row>
    <row r="92" spans="1:6" ht="18.75" customHeight="1">
      <c r="A92" s="4" t="s">
        <v>386</v>
      </c>
      <c r="B92" s="43" t="s">
        <v>387</v>
      </c>
      <c r="C92" s="37" t="s">
        <v>388</v>
      </c>
      <c r="D92" s="38">
        <v>2023</v>
      </c>
      <c r="E92" s="37" t="s">
        <v>504</v>
      </c>
      <c r="F92" s="37" t="s">
        <v>597</v>
      </c>
    </row>
    <row r="93" spans="1:6" ht="18.75" customHeight="1">
      <c r="A93" s="4" t="s">
        <v>390</v>
      </c>
      <c r="B93" s="36" t="s">
        <v>391</v>
      </c>
      <c r="C93" s="37" t="s">
        <v>392</v>
      </c>
      <c r="D93" s="38">
        <v>2023</v>
      </c>
      <c r="E93" s="37" t="s">
        <v>513</v>
      </c>
      <c r="F93" s="37" t="s">
        <v>598</v>
      </c>
    </row>
    <row r="94" spans="1:6" ht="18.75" customHeight="1">
      <c r="A94" s="4" t="s">
        <v>394</v>
      </c>
      <c r="B94" s="43" t="s">
        <v>395</v>
      </c>
      <c r="C94" s="37" t="s">
        <v>396</v>
      </c>
      <c r="D94" s="38">
        <v>2023</v>
      </c>
      <c r="E94" s="37" t="s">
        <v>513</v>
      </c>
      <c r="F94" s="37" t="s">
        <v>599</v>
      </c>
    </row>
    <row r="95" spans="1:6" ht="18.75" customHeight="1">
      <c r="A95" s="4" t="s">
        <v>398</v>
      </c>
      <c r="B95" s="36" t="s">
        <v>399</v>
      </c>
      <c r="C95" s="37" t="s">
        <v>400</v>
      </c>
      <c r="D95" s="38">
        <v>2023</v>
      </c>
      <c r="E95" s="37" t="s">
        <v>515</v>
      </c>
      <c r="F95" s="37" t="s">
        <v>600</v>
      </c>
    </row>
    <row r="96" spans="1:6" ht="18.75" customHeight="1">
      <c r="A96" s="4" t="s">
        <v>402</v>
      </c>
      <c r="B96" s="43" t="s">
        <v>403</v>
      </c>
      <c r="C96" s="37" t="s">
        <v>404</v>
      </c>
      <c r="D96" s="38">
        <v>2023</v>
      </c>
      <c r="E96" s="37" t="s">
        <v>506</v>
      </c>
      <c r="F96" s="37" t="s">
        <v>601</v>
      </c>
    </row>
    <row r="97" spans="1:6" ht="18.75" customHeight="1">
      <c r="A97" s="4" t="s">
        <v>406</v>
      </c>
      <c r="B97" s="36" t="s">
        <v>407</v>
      </c>
      <c r="C97" s="37" t="s">
        <v>408</v>
      </c>
      <c r="D97" s="38">
        <v>2023</v>
      </c>
      <c r="E97" s="37" t="s">
        <v>513</v>
      </c>
      <c r="F97" s="37" t="s">
        <v>602</v>
      </c>
    </row>
    <row r="98" spans="1:6" ht="18.75" customHeight="1">
      <c r="A98" s="4" t="s">
        <v>410</v>
      </c>
      <c r="B98" s="43" t="s">
        <v>411</v>
      </c>
      <c r="C98" s="37" t="s">
        <v>412</v>
      </c>
      <c r="D98" s="38">
        <v>2023</v>
      </c>
      <c r="E98" s="37" t="s">
        <v>506</v>
      </c>
      <c r="F98" s="37" t="s">
        <v>603</v>
      </c>
    </row>
    <row r="99" spans="1:6" ht="18.75" customHeight="1">
      <c r="A99" s="4" t="s">
        <v>414</v>
      </c>
      <c r="B99" s="36" t="s">
        <v>415</v>
      </c>
      <c r="C99" s="37" t="s">
        <v>416</v>
      </c>
      <c r="D99" s="38">
        <v>2023</v>
      </c>
      <c r="E99" s="37" t="s">
        <v>513</v>
      </c>
      <c r="F99" s="37" t="s">
        <v>547</v>
      </c>
    </row>
    <row r="100" spans="1:6" ht="18.75" customHeight="1">
      <c r="A100" s="4" t="s">
        <v>418</v>
      </c>
      <c r="B100" s="43" t="s">
        <v>419</v>
      </c>
      <c r="C100" s="37" t="s">
        <v>420</v>
      </c>
      <c r="D100" s="38">
        <v>2023</v>
      </c>
      <c r="E100" s="37" t="s">
        <v>511</v>
      </c>
      <c r="F100" s="37" t="s">
        <v>604</v>
      </c>
    </row>
    <row r="101" spans="1:6" ht="18.75" customHeight="1">
      <c r="A101" s="4" t="s">
        <v>342</v>
      </c>
      <c r="B101" s="36" t="s">
        <v>343</v>
      </c>
      <c r="C101" s="37" t="s">
        <v>344</v>
      </c>
      <c r="D101" s="38">
        <v>2023</v>
      </c>
      <c r="E101" s="37" t="s">
        <v>504</v>
      </c>
      <c r="F101" s="37" t="s">
        <v>605</v>
      </c>
    </row>
    <row r="102" spans="1:6" ht="18.75" customHeight="1">
      <c r="A102" s="4" t="s">
        <v>346</v>
      </c>
      <c r="B102" s="43" t="s">
        <v>347</v>
      </c>
      <c r="C102" s="37" t="s">
        <v>348</v>
      </c>
      <c r="D102" s="38">
        <v>2023</v>
      </c>
      <c r="E102" s="37" t="s">
        <v>504</v>
      </c>
      <c r="F102" s="37" t="s">
        <v>606</v>
      </c>
    </row>
    <row r="103" spans="1:6" ht="18.75" customHeight="1">
      <c r="A103" s="4" t="s">
        <v>350</v>
      </c>
      <c r="B103" s="36" t="s">
        <v>351</v>
      </c>
      <c r="C103" s="37" t="s">
        <v>352</v>
      </c>
      <c r="D103" s="38">
        <v>2023</v>
      </c>
      <c r="E103" s="37" t="s">
        <v>506</v>
      </c>
      <c r="F103" s="37" t="s">
        <v>607</v>
      </c>
    </row>
    <row r="104" spans="1:6" ht="18.75" customHeight="1">
      <c r="A104" s="4" t="s">
        <v>354</v>
      </c>
      <c r="B104" s="6" t="s">
        <v>608</v>
      </c>
      <c r="C104" s="37" t="s">
        <v>356</v>
      </c>
      <c r="D104" s="38">
        <v>2023</v>
      </c>
      <c r="E104" s="37" t="s">
        <v>504</v>
      </c>
      <c r="F104" s="66" t="s">
        <v>609</v>
      </c>
    </row>
    <row r="105" spans="1:6" ht="18.75" customHeight="1">
      <c r="A105" s="4" t="s">
        <v>358</v>
      </c>
      <c r="B105" s="36" t="s">
        <v>359</v>
      </c>
      <c r="C105" s="37" t="s">
        <v>360</v>
      </c>
      <c r="D105" s="38">
        <v>2023</v>
      </c>
      <c r="E105" s="37" t="s">
        <v>506</v>
      </c>
      <c r="F105" s="37" t="s">
        <v>610</v>
      </c>
    </row>
    <row r="106" spans="1:6" ht="18.75" customHeight="1">
      <c r="A106" s="4" t="s">
        <v>362</v>
      </c>
      <c r="B106" s="43" t="s">
        <v>363</v>
      </c>
      <c r="C106" s="37" t="s">
        <v>364</v>
      </c>
      <c r="D106" s="38">
        <v>2023</v>
      </c>
      <c r="E106" s="37" t="s">
        <v>515</v>
      </c>
      <c r="F106" s="37" t="s">
        <v>611</v>
      </c>
    </row>
    <row r="107" spans="1:6" ht="18.75" customHeight="1">
      <c r="A107" s="4" t="s">
        <v>422</v>
      </c>
      <c r="B107" s="64" t="s">
        <v>423</v>
      </c>
      <c r="C107" s="64" t="s">
        <v>424</v>
      </c>
      <c r="D107" s="67">
        <v>2024</v>
      </c>
      <c r="E107" s="54" t="s">
        <v>504</v>
      </c>
      <c r="F107" s="68" t="s">
        <v>612</v>
      </c>
    </row>
    <row r="108" spans="1:6" ht="18.75" customHeight="1">
      <c r="A108" s="4" t="s">
        <v>426</v>
      </c>
      <c r="B108" s="64" t="s">
        <v>427</v>
      </c>
      <c r="C108" s="64" t="s">
        <v>428</v>
      </c>
      <c r="D108" s="67">
        <v>2024</v>
      </c>
      <c r="E108" s="54" t="s">
        <v>513</v>
      </c>
      <c r="F108" s="68" t="s">
        <v>613</v>
      </c>
    </row>
    <row r="109" spans="1:6" ht="18.75" customHeight="1">
      <c r="A109" s="4" t="s">
        <v>430</v>
      </c>
      <c r="B109" s="64" t="s">
        <v>431</v>
      </c>
      <c r="C109" s="64" t="s">
        <v>432</v>
      </c>
      <c r="D109" s="67">
        <v>2024</v>
      </c>
      <c r="E109" s="54" t="s">
        <v>504</v>
      </c>
      <c r="F109" s="68" t="s">
        <v>614</v>
      </c>
    </row>
    <row r="110" spans="1:6" ht="18.75" customHeight="1">
      <c r="A110" s="4" t="s">
        <v>434</v>
      </c>
      <c r="B110" s="64" t="s">
        <v>435</v>
      </c>
      <c r="C110" s="64" t="s">
        <v>436</v>
      </c>
      <c r="D110" s="67">
        <v>2024</v>
      </c>
      <c r="E110" s="54" t="s">
        <v>504</v>
      </c>
      <c r="F110" s="68" t="s">
        <v>615</v>
      </c>
    </row>
    <row r="111" spans="1:6" ht="18.75" customHeight="1">
      <c r="A111" s="4" t="s">
        <v>438</v>
      </c>
      <c r="B111" s="64" t="s">
        <v>439</v>
      </c>
      <c r="C111" s="64" t="s">
        <v>440</v>
      </c>
      <c r="D111" s="67">
        <v>2024</v>
      </c>
      <c r="E111" s="54" t="s">
        <v>504</v>
      </c>
      <c r="F111" s="68" t="s">
        <v>616</v>
      </c>
    </row>
    <row r="112" spans="1:6" ht="18.75" customHeight="1">
      <c r="A112" s="4" t="s">
        <v>442</v>
      </c>
      <c r="B112" s="64" t="s">
        <v>443</v>
      </c>
      <c r="C112" s="64" t="s">
        <v>444</v>
      </c>
      <c r="D112" s="67">
        <v>2024</v>
      </c>
      <c r="E112" s="54" t="s">
        <v>504</v>
      </c>
      <c r="F112" s="68" t="s">
        <v>617</v>
      </c>
    </row>
    <row r="113" spans="1:6" ht="18.75" customHeight="1">
      <c r="A113" s="4" t="s">
        <v>446</v>
      </c>
      <c r="B113" s="64" t="s">
        <v>447</v>
      </c>
      <c r="C113" s="64" t="s">
        <v>448</v>
      </c>
      <c r="D113" s="67">
        <v>2024</v>
      </c>
      <c r="E113" s="54" t="s">
        <v>504</v>
      </c>
      <c r="F113" s="68" t="s">
        <v>618</v>
      </c>
    </row>
    <row r="114" spans="1:6" ht="18.75" customHeight="1">
      <c r="A114" s="4" t="s">
        <v>450</v>
      </c>
      <c r="B114" s="64" t="s">
        <v>451</v>
      </c>
      <c r="C114" s="64" t="s">
        <v>452</v>
      </c>
      <c r="D114" s="67">
        <v>2024</v>
      </c>
      <c r="E114" s="54" t="s">
        <v>506</v>
      </c>
      <c r="F114" s="68" t="s">
        <v>619</v>
      </c>
    </row>
    <row r="115" spans="1:6" ht="18.75" customHeight="1">
      <c r="A115" s="4" t="s">
        <v>454</v>
      </c>
      <c r="B115" s="64" t="s">
        <v>455</v>
      </c>
      <c r="C115" s="64" t="s">
        <v>456</v>
      </c>
      <c r="D115" s="67">
        <v>2024</v>
      </c>
      <c r="E115" s="54" t="s">
        <v>504</v>
      </c>
      <c r="F115" s="68" t="s">
        <v>620</v>
      </c>
    </row>
    <row r="116" spans="1:6" ht="18.75" customHeight="1">
      <c r="A116" s="4" t="s">
        <v>458</v>
      </c>
      <c r="B116" s="64" t="s">
        <v>459</v>
      </c>
      <c r="C116" s="64" t="s">
        <v>460</v>
      </c>
      <c r="D116" s="67">
        <v>2024</v>
      </c>
      <c r="E116" s="54" t="s">
        <v>504</v>
      </c>
      <c r="F116" s="68" t="s">
        <v>614</v>
      </c>
    </row>
    <row r="117" spans="1:6" ht="18.75" customHeight="1">
      <c r="A117" s="4" t="s">
        <v>462</v>
      </c>
      <c r="B117" s="64" t="s">
        <v>463</v>
      </c>
      <c r="C117" s="64" t="s">
        <v>464</v>
      </c>
      <c r="D117" s="67">
        <v>2024</v>
      </c>
      <c r="E117" s="54" t="s">
        <v>506</v>
      </c>
      <c r="F117" s="68" t="s">
        <v>621</v>
      </c>
    </row>
    <row r="118" spans="1:6" ht="18.75" customHeight="1">
      <c r="A118" s="4" t="s">
        <v>466</v>
      </c>
      <c r="B118" s="64" t="s">
        <v>467</v>
      </c>
      <c r="C118" s="64" t="s">
        <v>468</v>
      </c>
      <c r="D118" s="67">
        <v>2024</v>
      </c>
      <c r="E118" s="54" t="s">
        <v>504</v>
      </c>
      <c r="F118" s="68" t="s">
        <v>614</v>
      </c>
    </row>
    <row r="119" spans="1:6" ht="18.75" customHeight="1">
      <c r="A119" s="4" t="s">
        <v>470</v>
      </c>
      <c r="B119" s="64" t="s">
        <v>471</v>
      </c>
      <c r="C119" s="64" t="s">
        <v>472</v>
      </c>
      <c r="D119" s="67">
        <v>2024</v>
      </c>
      <c r="E119" s="54" t="s">
        <v>506</v>
      </c>
      <c r="F119" s="68" t="s">
        <v>622</v>
      </c>
    </row>
    <row r="120" spans="1:6" ht="18.75" customHeight="1">
      <c r="A120" s="4" t="s">
        <v>474</v>
      </c>
      <c r="B120" s="64" t="s">
        <v>475</v>
      </c>
      <c r="C120" s="64" t="s">
        <v>476</v>
      </c>
      <c r="D120" s="67">
        <v>2024</v>
      </c>
      <c r="E120" s="54" t="s">
        <v>506</v>
      </c>
      <c r="F120" s="68" t="s">
        <v>623</v>
      </c>
    </row>
    <row r="121" spans="1:6" ht="18.75" customHeight="1">
      <c r="A121" s="4" t="s">
        <v>478</v>
      </c>
      <c r="B121" s="64" t="s">
        <v>479</v>
      </c>
      <c r="C121" s="64" t="s">
        <v>480</v>
      </c>
      <c r="D121" s="67">
        <v>2024</v>
      </c>
      <c r="E121" s="54" t="s">
        <v>504</v>
      </c>
      <c r="F121" s="68" t="s">
        <v>624</v>
      </c>
    </row>
    <row r="122" spans="1:6" ht="18.75" customHeight="1">
      <c r="A122" s="4" t="s">
        <v>482</v>
      </c>
      <c r="B122" s="64" t="s">
        <v>483</v>
      </c>
      <c r="C122" s="64" t="s">
        <v>484</v>
      </c>
      <c r="D122" s="67">
        <v>2024</v>
      </c>
      <c r="E122" s="54" t="s">
        <v>504</v>
      </c>
      <c r="F122" s="68" t="s">
        <v>625</v>
      </c>
    </row>
    <row r="123" spans="1:6" ht="18.75" customHeight="1">
      <c r="A123" s="4" t="s">
        <v>486</v>
      </c>
      <c r="B123" s="64" t="s">
        <v>487</v>
      </c>
      <c r="C123" s="64" t="s">
        <v>488</v>
      </c>
      <c r="D123" s="67">
        <v>2024</v>
      </c>
      <c r="E123" s="54" t="s">
        <v>504</v>
      </c>
      <c r="F123" s="68" t="s">
        <v>626</v>
      </c>
    </row>
    <row r="124" spans="1:6" ht="18.75" customHeight="1">
      <c r="A124" s="4" t="s">
        <v>490</v>
      </c>
      <c r="B124" s="64" t="s">
        <v>491</v>
      </c>
      <c r="C124" s="64" t="s">
        <v>492</v>
      </c>
      <c r="D124" s="67">
        <v>2024</v>
      </c>
      <c r="E124" s="54" t="s">
        <v>504</v>
      </c>
      <c r="F124" s="68" t="s">
        <v>585</v>
      </c>
    </row>
    <row r="125" spans="1:6" ht="18.75" customHeight="1">
      <c r="A125" s="20"/>
      <c r="B125" s="21"/>
      <c r="C125" s="22"/>
    </row>
    <row r="126" spans="1:6" ht="18.75" customHeight="1">
      <c r="A126" s="20"/>
      <c r="B126" s="21"/>
      <c r="C126" s="22"/>
    </row>
    <row r="127" spans="1:6" ht="18.75" customHeight="1">
      <c r="A127" s="20"/>
      <c r="B127" s="21"/>
      <c r="C127" s="22"/>
    </row>
    <row r="128" spans="1:6" ht="18.75" customHeight="1">
      <c r="A128" s="20"/>
      <c r="B128" s="21"/>
      <c r="C128" s="22"/>
    </row>
    <row r="129" spans="1:3" ht="18.75" customHeight="1">
      <c r="A129" s="20"/>
      <c r="B129" s="21"/>
      <c r="C129" s="22"/>
    </row>
    <row r="130" spans="1:3" ht="18.75" customHeight="1">
      <c r="A130" s="20"/>
      <c r="B130" s="21"/>
      <c r="C130" s="22"/>
    </row>
    <row r="131" spans="1:3" ht="18.75" customHeight="1">
      <c r="A131" s="20"/>
      <c r="B131" s="21"/>
      <c r="C131" s="22"/>
    </row>
    <row r="132" spans="1:3" ht="18.75" customHeight="1">
      <c r="A132" s="20"/>
      <c r="B132" s="21"/>
      <c r="C132" s="22"/>
    </row>
    <row r="133" spans="1:3" ht="18.75" customHeight="1">
      <c r="A133" s="20"/>
      <c r="B133" s="21"/>
      <c r="C133" s="22"/>
    </row>
    <row r="134" spans="1:3" ht="18.75" customHeight="1">
      <c r="A134" s="20"/>
      <c r="B134" s="21"/>
      <c r="C134" s="22"/>
    </row>
    <row r="135" spans="1:3" ht="18.75" customHeight="1">
      <c r="A135" s="20"/>
      <c r="B135" s="21"/>
      <c r="C135" s="22"/>
    </row>
    <row r="136" spans="1:3" ht="18.75" customHeight="1">
      <c r="A136" s="20"/>
      <c r="B136" s="21"/>
      <c r="C136" s="22"/>
    </row>
    <row r="137" spans="1:3" ht="18.75" customHeight="1">
      <c r="A137" s="20"/>
      <c r="B137" s="21"/>
      <c r="C137" s="22"/>
    </row>
    <row r="138" spans="1:3" ht="18.75" customHeight="1">
      <c r="A138" s="20"/>
      <c r="B138" s="21"/>
      <c r="C138" s="22"/>
    </row>
    <row r="139" spans="1:3" ht="18.75" customHeight="1">
      <c r="A139" s="20"/>
      <c r="B139" s="21"/>
      <c r="C139" s="22"/>
    </row>
    <row r="140" spans="1:3" ht="18.75" customHeight="1">
      <c r="A140" s="20"/>
      <c r="B140" s="21"/>
      <c r="C140" s="22"/>
    </row>
    <row r="141" spans="1:3" ht="18.75" customHeight="1">
      <c r="A141" s="20"/>
      <c r="B141" s="21"/>
      <c r="C141" s="22"/>
    </row>
    <row r="142" spans="1:3" ht="18.75" customHeight="1">
      <c r="A142" s="20"/>
      <c r="B142" s="21"/>
      <c r="C142" s="22"/>
    </row>
    <row r="143" spans="1:3" ht="18.75" customHeight="1">
      <c r="A143" s="20"/>
      <c r="B143" s="21"/>
      <c r="C143" s="22"/>
    </row>
    <row r="144" spans="1:3" ht="18.75" customHeight="1">
      <c r="A144" s="20"/>
      <c r="B144" s="21"/>
      <c r="C144" s="22"/>
    </row>
    <row r="145" spans="1:3" ht="18.75" customHeight="1">
      <c r="A145" s="20"/>
      <c r="B145" s="21"/>
      <c r="C145" s="22"/>
    </row>
    <row r="146" spans="1:3" ht="18.75" customHeight="1">
      <c r="A146" s="20"/>
      <c r="B146" s="21"/>
      <c r="C146" s="22"/>
    </row>
    <row r="147" spans="1:3" ht="18.75" customHeight="1">
      <c r="A147" s="20"/>
      <c r="B147" s="21"/>
      <c r="C147" s="22"/>
    </row>
    <row r="148" spans="1:3" ht="18.75" customHeight="1">
      <c r="A148" s="20"/>
      <c r="B148" s="21"/>
      <c r="C148" s="22"/>
    </row>
    <row r="149" spans="1:3" ht="18.75" customHeight="1">
      <c r="A149" s="20"/>
      <c r="B149" s="21"/>
      <c r="C149" s="22"/>
    </row>
    <row r="150" spans="1:3" ht="18.75" customHeight="1">
      <c r="A150" s="20"/>
      <c r="B150" s="21"/>
      <c r="C150" s="22"/>
    </row>
    <row r="151" spans="1:3" ht="18.75" customHeight="1">
      <c r="A151" s="20"/>
      <c r="B151" s="21"/>
      <c r="C151" s="22"/>
    </row>
    <row r="152" spans="1:3" ht="18.75" customHeight="1">
      <c r="A152" s="20"/>
      <c r="B152" s="21"/>
      <c r="C152" s="22"/>
    </row>
    <row r="153" spans="1:3" ht="18.75" customHeight="1">
      <c r="A153" s="20"/>
      <c r="B153" s="21"/>
      <c r="C153" s="22"/>
    </row>
    <row r="154" spans="1:3" ht="18.75" customHeight="1">
      <c r="A154" s="20"/>
      <c r="B154" s="21"/>
      <c r="C154" s="22"/>
    </row>
    <row r="155" spans="1:3" ht="18.75" customHeight="1">
      <c r="A155" s="20"/>
      <c r="B155" s="21"/>
      <c r="C155" s="22"/>
    </row>
    <row r="156" spans="1:3" ht="18.75" customHeight="1">
      <c r="A156" s="20"/>
      <c r="B156" s="21"/>
      <c r="C156" s="22"/>
    </row>
    <row r="157" spans="1:3" ht="18.75" customHeight="1">
      <c r="A157" s="20"/>
      <c r="B157" s="21"/>
      <c r="C157" s="22"/>
    </row>
    <row r="158" spans="1:3" ht="18.75" customHeight="1">
      <c r="A158" s="20"/>
      <c r="B158" s="23"/>
      <c r="C158" s="22"/>
    </row>
    <row r="159" spans="1:3" ht="18.75" customHeight="1">
      <c r="A159" s="20"/>
      <c r="B159" s="23"/>
      <c r="C159" s="22"/>
    </row>
    <row r="160" spans="1:3" ht="18.75" customHeight="1">
      <c r="A160" s="20"/>
      <c r="B160" s="21"/>
      <c r="C160" s="22"/>
    </row>
    <row r="161" spans="1:3" ht="18.75" customHeight="1">
      <c r="A161" s="20"/>
      <c r="B161" s="21"/>
      <c r="C161" s="22"/>
    </row>
    <row r="162" spans="1:3" ht="18.75" customHeight="1">
      <c r="A162" s="20"/>
      <c r="B162" s="21"/>
      <c r="C162" s="22"/>
    </row>
    <row r="163" spans="1:3" ht="18.75" customHeight="1">
      <c r="A163" s="20"/>
      <c r="B163" s="21"/>
      <c r="C163" s="22"/>
    </row>
    <row r="164" spans="1:3" ht="18.75" customHeight="1">
      <c r="A164" s="20"/>
      <c r="B164" s="21"/>
      <c r="C164" s="22"/>
    </row>
    <row r="165" spans="1:3" ht="18.75" customHeight="1">
      <c r="A165" s="20"/>
      <c r="B165" s="21"/>
      <c r="C165" s="22"/>
    </row>
    <row r="166" spans="1:3" ht="18.75" customHeight="1">
      <c r="A166" s="20"/>
      <c r="B166" s="21"/>
      <c r="C166" s="22"/>
    </row>
    <row r="167" spans="1:3" ht="18.75" customHeight="1">
      <c r="A167" s="20"/>
      <c r="B167" s="21"/>
      <c r="C167" s="22"/>
    </row>
    <row r="168" spans="1:3" ht="18.75" customHeight="1">
      <c r="A168" s="20"/>
      <c r="B168" s="21"/>
      <c r="C168" s="22"/>
    </row>
    <row r="169" spans="1:3" ht="18.75" customHeight="1">
      <c r="A169" s="20"/>
      <c r="B169" s="21"/>
      <c r="C169" s="22"/>
    </row>
    <row r="170" spans="1:3" ht="18.75" customHeight="1">
      <c r="A170" s="20"/>
      <c r="B170" s="21"/>
      <c r="C170" s="22"/>
    </row>
    <row r="171" spans="1:3" ht="18.75" customHeight="1">
      <c r="A171" s="20"/>
      <c r="B171" s="21"/>
      <c r="C171" s="22"/>
    </row>
    <row r="172" spans="1:3" ht="18.75" customHeight="1">
      <c r="A172" s="20"/>
      <c r="B172" s="21"/>
      <c r="C172" s="22"/>
    </row>
    <row r="173" spans="1:3" ht="18.75" customHeight="1">
      <c r="A173" s="20"/>
      <c r="B173" s="21"/>
      <c r="C173" s="22"/>
    </row>
    <row r="174" spans="1:3" ht="18.75" customHeight="1">
      <c r="A174" s="20"/>
      <c r="B174" s="21"/>
      <c r="C174" s="22"/>
    </row>
    <row r="175" spans="1:3" ht="18.75" customHeight="1">
      <c r="A175" s="20"/>
      <c r="B175" s="21"/>
      <c r="C175" s="22"/>
    </row>
    <row r="176" spans="1:3" ht="18.75" customHeight="1">
      <c r="A176" s="20"/>
      <c r="B176" s="21"/>
      <c r="C176" s="22"/>
    </row>
    <row r="177" spans="1:3" ht="18.75" customHeight="1">
      <c r="A177" s="20"/>
      <c r="B177" s="21"/>
      <c r="C177" s="22"/>
    </row>
    <row r="178" spans="1:3" ht="18.75" customHeight="1">
      <c r="A178" s="20"/>
      <c r="B178" s="21"/>
      <c r="C178" s="22"/>
    </row>
    <row r="179" spans="1:3" ht="18.75" customHeight="1">
      <c r="A179" s="20"/>
      <c r="B179" s="21"/>
      <c r="C179" s="22"/>
    </row>
    <row r="180" spans="1:3" ht="18.75" customHeight="1">
      <c r="A180" s="20"/>
      <c r="B180" s="21"/>
      <c r="C180" s="22"/>
    </row>
    <row r="181" spans="1:3" ht="18.75" customHeight="1">
      <c r="A181" s="20"/>
      <c r="B181" s="21"/>
      <c r="C181" s="22"/>
    </row>
    <row r="182" spans="1:3" ht="18.75" customHeight="1">
      <c r="A182" s="20"/>
      <c r="B182" s="21"/>
      <c r="C182" s="22"/>
    </row>
    <row r="183" spans="1:3" ht="18.75" customHeight="1">
      <c r="A183" s="20"/>
      <c r="B183" s="21"/>
      <c r="C183" s="22"/>
    </row>
    <row r="184" spans="1:3" ht="18.75" customHeight="1">
      <c r="A184" s="20"/>
      <c r="B184" s="21"/>
      <c r="C184" s="22"/>
    </row>
    <row r="185" spans="1:3" ht="18.75" customHeight="1">
      <c r="A185" s="20"/>
      <c r="B185" s="21"/>
      <c r="C185" s="22"/>
    </row>
    <row r="186" spans="1:3" ht="18.75" customHeight="1">
      <c r="A186" s="20"/>
      <c r="B186" s="21"/>
      <c r="C186" s="22"/>
    </row>
    <row r="187" spans="1:3" ht="18.75" customHeight="1">
      <c r="A187" s="20"/>
      <c r="B187" s="21"/>
      <c r="C187" s="22"/>
    </row>
    <row r="188" spans="1:3" ht="18.75" customHeight="1">
      <c r="A188" s="20"/>
      <c r="B188" s="21"/>
      <c r="C188" s="22"/>
    </row>
    <row r="189" spans="1:3" ht="18.75" customHeight="1">
      <c r="A189" s="20"/>
      <c r="B189" s="21"/>
      <c r="C189" s="22"/>
    </row>
    <row r="190" spans="1:3" ht="18.75" customHeight="1">
      <c r="A190" s="20"/>
      <c r="B190" s="21"/>
      <c r="C190" s="22"/>
    </row>
    <row r="191" spans="1:3" ht="18.75" customHeight="1">
      <c r="A191" s="20"/>
      <c r="B191" s="21"/>
      <c r="C191" s="22"/>
    </row>
    <row r="192" spans="1:3" ht="18.75" customHeight="1">
      <c r="A192" s="20"/>
      <c r="B192" s="21"/>
      <c r="C192" s="22"/>
    </row>
    <row r="193" spans="1:3" ht="18.75" customHeight="1">
      <c r="A193" s="20"/>
      <c r="B193" s="21"/>
      <c r="C193" s="22"/>
    </row>
    <row r="194" spans="1:3" ht="18.75" customHeight="1">
      <c r="A194" s="20"/>
      <c r="B194" s="21"/>
      <c r="C194" s="22"/>
    </row>
    <row r="195" spans="1:3" ht="18.75" customHeight="1">
      <c r="A195" s="20"/>
      <c r="B195" s="21"/>
      <c r="C195" s="22"/>
    </row>
    <row r="196" spans="1:3" ht="18.75" customHeight="1">
      <c r="A196" s="20"/>
      <c r="B196" s="21"/>
      <c r="C196" s="22"/>
    </row>
    <row r="197" spans="1:3" ht="18.75" customHeight="1">
      <c r="A197" s="20"/>
      <c r="B197" s="21"/>
      <c r="C197" s="22"/>
    </row>
    <row r="198" spans="1:3" ht="18.75" customHeight="1">
      <c r="A198" s="20"/>
      <c r="B198" s="21"/>
      <c r="C198" s="22"/>
    </row>
    <row r="199" spans="1:3" ht="18.75" customHeight="1">
      <c r="A199" s="20"/>
      <c r="B199" s="21"/>
      <c r="C199" s="22"/>
    </row>
    <row r="200" spans="1:3" ht="18.75" customHeight="1">
      <c r="A200" s="20"/>
      <c r="B200" s="21"/>
      <c r="C200" s="22"/>
    </row>
    <row r="201" spans="1:3" ht="18.75" customHeight="1">
      <c r="A201" s="20"/>
      <c r="B201" s="21"/>
      <c r="C201" s="22"/>
    </row>
    <row r="202" spans="1:3" ht="18.75" customHeight="1">
      <c r="A202" s="20"/>
      <c r="B202" s="21"/>
      <c r="C202" s="22"/>
    </row>
    <row r="203" spans="1:3" ht="18.75" customHeight="1">
      <c r="A203" s="20"/>
      <c r="B203" s="21"/>
      <c r="C203" s="22"/>
    </row>
    <row r="204" spans="1:3" ht="18.75" customHeight="1">
      <c r="A204" s="20"/>
      <c r="B204" s="21"/>
      <c r="C204" s="22"/>
    </row>
    <row r="205" spans="1:3" ht="18.75" customHeight="1">
      <c r="A205" s="20"/>
      <c r="B205" s="21"/>
      <c r="C205" s="22"/>
    </row>
    <row r="206" spans="1:3" ht="18.75" customHeight="1">
      <c r="A206" s="20"/>
      <c r="B206" s="21"/>
      <c r="C206" s="22"/>
    </row>
    <row r="207" spans="1:3" ht="18.75" customHeight="1">
      <c r="A207" s="20"/>
      <c r="B207" s="21"/>
      <c r="C207" s="22"/>
    </row>
    <row r="208" spans="1:3" ht="18.75" customHeight="1">
      <c r="A208" s="20"/>
      <c r="B208" s="21"/>
      <c r="C208" s="22"/>
    </row>
    <row r="209" spans="1:3" ht="18.75" customHeight="1">
      <c r="A209" s="20"/>
      <c r="B209" s="21"/>
      <c r="C209" s="22"/>
    </row>
    <row r="210" spans="1:3" ht="18.75" customHeight="1">
      <c r="A210" s="20"/>
      <c r="B210" s="21"/>
      <c r="C210" s="22"/>
    </row>
    <row r="211" spans="1:3" ht="18.75" customHeight="1">
      <c r="A211" s="20"/>
      <c r="B211" s="21"/>
      <c r="C211" s="22"/>
    </row>
    <row r="212" spans="1:3" ht="18.75" customHeight="1">
      <c r="A212" s="20"/>
      <c r="B212" s="21"/>
      <c r="C212" s="22"/>
    </row>
    <row r="213" spans="1:3" ht="18.75" customHeight="1">
      <c r="A213" s="20"/>
      <c r="B213" s="21"/>
      <c r="C213" s="22"/>
    </row>
    <row r="214" spans="1:3" ht="18.75" customHeight="1">
      <c r="A214" s="20"/>
      <c r="B214" s="21"/>
      <c r="C214" s="22"/>
    </row>
    <row r="215" spans="1:3" ht="18.75" customHeight="1">
      <c r="A215" s="20"/>
      <c r="B215" s="21"/>
      <c r="C215" s="22"/>
    </row>
    <row r="216" spans="1:3" ht="18.75" customHeight="1">
      <c r="A216" s="20"/>
      <c r="B216" s="21"/>
      <c r="C216" s="22"/>
    </row>
    <row r="217" spans="1:3" ht="18.75" customHeight="1">
      <c r="A217" s="20"/>
      <c r="B217" s="21"/>
      <c r="C217" s="22"/>
    </row>
    <row r="218" spans="1:3" ht="18.75" customHeight="1">
      <c r="A218" s="20"/>
      <c r="B218" s="21"/>
      <c r="C218" s="22"/>
    </row>
    <row r="219" spans="1:3" ht="18.75" customHeight="1">
      <c r="A219" s="20"/>
      <c r="B219" s="21"/>
      <c r="C219" s="22"/>
    </row>
    <row r="220" spans="1:3" ht="18.75" customHeight="1">
      <c r="A220" s="20"/>
      <c r="B220" s="21"/>
      <c r="C220" s="22"/>
    </row>
    <row r="221" spans="1:3" ht="18.75" customHeight="1">
      <c r="A221" s="20"/>
      <c r="B221" s="21"/>
      <c r="C221" s="22"/>
    </row>
    <row r="222" spans="1:3" ht="18.75" customHeight="1">
      <c r="A222" s="20"/>
      <c r="B222" s="21"/>
      <c r="C222" s="22"/>
    </row>
    <row r="223" spans="1:3" ht="18.75" customHeight="1">
      <c r="A223" s="20"/>
      <c r="B223" s="21"/>
      <c r="C223" s="22"/>
    </row>
    <row r="224" spans="1:3" ht="18.75" customHeight="1">
      <c r="A224" s="20"/>
      <c r="B224" s="21"/>
      <c r="C224" s="22"/>
    </row>
    <row r="225" spans="1:3" ht="18.75" customHeight="1">
      <c r="A225" s="20"/>
      <c r="B225" s="21"/>
      <c r="C225" s="22"/>
    </row>
    <row r="226" spans="1:3" ht="18.75" customHeight="1">
      <c r="A226" s="20"/>
      <c r="B226" s="21"/>
      <c r="C226" s="22"/>
    </row>
    <row r="227" spans="1:3" ht="18.75" customHeight="1">
      <c r="A227" s="20"/>
      <c r="B227" s="21"/>
      <c r="C227" s="22"/>
    </row>
    <row r="228" spans="1:3" ht="18.75" customHeight="1">
      <c r="A228" s="20"/>
      <c r="B228" s="21"/>
      <c r="C228" s="22"/>
    </row>
    <row r="229" spans="1:3" ht="18.75" customHeight="1">
      <c r="A229" s="20"/>
      <c r="B229" s="21"/>
      <c r="C229" s="22"/>
    </row>
    <row r="230" spans="1:3" ht="18.75" customHeight="1">
      <c r="A230" s="20"/>
      <c r="B230" s="21"/>
      <c r="C230" s="22"/>
    </row>
    <row r="231" spans="1:3" ht="18.75" customHeight="1">
      <c r="A231" s="20"/>
      <c r="B231" s="21"/>
      <c r="C231" s="22"/>
    </row>
    <row r="232" spans="1:3" ht="18.75" customHeight="1">
      <c r="A232" s="20"/>
      <c r="B232" s="21"/>
      <c r="C232" s="22"/>
    </row>
    <row r="233" spans="1:3" ht="18.75" customHeight="1">
      <c r="A233" s="20"/>
      <c r="B233" s="21"/>
      <c r="C233" s="22"/>
    </row>
    <row r="234" spans="1:3" ht="18.75" customHeight="1">
      <c r="A234" s="20"/>
      <c r="B234" s="21"/>
      <c r="C234" s="22"/>
    </row>
    <row r="235" spans="1:3" ht="18.75" customHeight="1">
      <c r="A235" s="20"/>
      <c r="B235" s="21"/>
      <c r="C235" s="22"/>
    </row>
    <row r="236" spans="1:3" ht="18.75" customHeight="1">
      <c r="A236" s="20"/>
      <c r="B236" s="21"/>
      <c r="C236" s="22"/>
    </row>
    <row r="237" spans="1:3" ht="18.75" customHeight="1">
      <c r="A237" s="20"/>
      <c r="B237" s="21"/>
      <c r="C237" s="22"/>
    </row>
    <row r="238" spans="1:3" ht="18.75" customHeight="1">
      <c r="A238" s="20"/>
      <c r="B238" s="21"/>
      <c r="C238" s="22"/>
    </row>
    <row r="239" spans="1:3" ht="18.75" customHeight="1">
      <c r="A239" s="20"/>
      <c r="B239" s="21"/>
      <c r="C239" s="22"/>
    </row>
    <row r="240" spans="1:3" ht="18.75" customHeight="1">
      <c r="A240" s="20"/>
      <c r="B240" s="21"/>
      <c r="C240" s="22"/>
    </row>
    <row r="241" spans="1:3" ht="18.75" customHeight="1">
      <c r="A241" s="20"/>
      <c r="B241" s="21"/>
      <c r="C241" s="22"/>
    </row>
    <row r="242" spans="1:3" ht="18.75" customHeight="1">
      <c r="A242" s="20"/>
      <c r="B242" s="21"/>
      <c r="C242" s="22"/>
    </row>
    <row r="243" spans="1:3" ht="18.75" customHeight="1">
      <c r="A243" s="20"/>
      <c r="B243" s="21"/>
      <c r="C243" s="22"/>
    </row>
    <row r="244" spans="1:3" ht="18.75" customHeight="1">
      <c r="A244" s="20"/>
      <c r="B244" s="21"/>
      <c r="C244" s="22"/>
    </row>
    <row r="245" spans="1:3" ht="18.75" customHeight="1">
      <c r="A245" s="20"/>
      <c r="B245" s="21"/>
      <c r="C245" s="22"/>
    </row>
    <row r="246" spans="1:3" ht="18.75" customHeight="1">
      <c r="A246" s="20"/>
      <c r="B246" s="21"/>
      <c r="C246" s="22"/>
    </row>
    <row r="247" spans="1:3" ht="18.75" customHeight="1">
      <c r="A247" s="20"/>
      <c r="B247" s="21"/>
      <c r="C247" s="22"/>
    </row>
    <row r="248" spans="1:3" ht="18.75" customHeight="1">
      <c r="A248" s="20"/>
      <c r="B248" s="21"/>
      <c r="C248" s="22"/>
    </row>
    <row r="249" spans="1:3" ht="18.75" customHeight="1">
      <c r="A249" s="20"/>
      <c r="B249" s="21"/>
      <c r="C249" s="22"/>
    </row>
    <row r="250" spans="1:3" ht="18.75" customHeight="1">
      <c r="A250" s="20"/>
      <c r="B250" s="21"/>
      <c r="C250" s="22"/>
    </row>
    <row r="251" spans="1:3" ht="18.75" customHeight="1">
      <c r="A251" s="20"/>
      <c r="B251" s="21"/>
      <c r="C251" s="22"/>
    </row>
    <row r="252" spans="1:3" ht="18.75" customHeight="1">
      <c r="A252" s="20"/>
      <c r="B252" s="21"/>
      <c r="C252" s="22"/>
    </row>
    <row r="253" spans="1:3" ht="18.75" customHeight="1">
      <c r="A253" s="20"/>
      <c r="B253" s="21"/>
      <c r="C253" s="22"/>
    </row>
    <row r="254" spans="1:3" ht="18.75" customHeight="1">
      <c r="A254" s="20"/>
      <c r="B254" s="21"/>
      <c r="C254" s="22"/>
    </row>
    <row r="255" spans="1:3" ht="18.75" customHeight="1">
      <c r="A255" s="20"/>
      <c r="B255" s="21"/>
      <c r="C255" s="22"/>
    </row>
    <row r="256" spans="1:3" ht="18.75" customHeight="1">
      <c r="A256" s="20"/>
      <c r="B256" s="21"/>
      <c r="C256" s="22"/>
    </row>
    <row r="257" spans="1:3" ht="18.75" customHeight="1">
      <c r="A257" s="20"/>
      <c r="B257" s="21"/>
      <c r="C257" s="22"/>
    </row>
    <row r="258" spans="1:3" ht="18.75" customHeight="1">
      <c r="A258" s="20"/>
      <c r="B258" s="21"/>
      <c r="C258" s="22"/>
    </row>
    <row r="259" spans="1:3" ht="18.75" customHeight="1">
      <c r="A259" s="20"/>
      <c r="B259" s="21"/>
      <c r="C259" s="22"/>
    </row>
    <row r="260" spans="1:3" ht="18.75" customHeight="1">
      <c r="A260" s="20"/>
      <c r="B260" s="21"/>
      <c r="C260" s="22"/>
    </row>
    <row r="261" spans="1:3" ht="18.75" customHeight="1">
      <c r="A261" s="20"/>
      <c r="B261" s="21"/>
      <c r="C261" s="22"/>
    </row>
    <row r="262" spans="1:3" ht="18.75" customHeight="1">
      <c r="A262" s="20"/>
      <c r="B262" s="21"/>
      <c r="C262" s="22"/>
    </row>
    <row r="263" spans="1:3" ht="18.75" customHeight="1">
      <c r="A263" s="20"/>
      <c r="B263" s="21"/>
      <c r="C263" s="22"/>
    </row>
    <row r="264" spans="1:3" ht="18.75" customHeight="1">
      <c r="A264" s="20"/>
      <c r="B264" s="21"/>
      <c r="C264" s="22"/>
    </row>
    <row r="265" spans="1:3" ht="18.75" customHeight="1">
      <c r="A265" s="20"/>
      <c r="B265" s="21"/>
      <c r="C265" s="22"/>
    </row>
    <row r="266" spans="1:3" ht="18.75" customHeight="1">
      <c r="A266" s="20"/>
      <c r="B266" s="21"/>
      <c r="C266" s="22"/>
    </row>
    <row r="267" spans="1:3" ht="18.75" customHeight="1">
      <c r="A267" s="20"/>
      <c r="B267" s="21"/>
      <c r="C267" s="22"/>
    </row>
    <row r="268" spans="1:3" ht="18.75" customHeight="1">
      <c r="A268" s="20"/>
      <c r="B268" s="21"/>
      <c r="C268" s="22"/>
    </row>
    <row r="269" spans="1:3" ht="18.75" customHeight="1">
      <c r="A269" s="20"/>
      <c r="B269" s="21"/>
      <c r="C269" s="22"/>
    </row>
    <row r="270" spans="1:3" ht="18.75" customHeight="1">
      <c r="A270" s="20"/>
      <c r="B270" s="21"/>
      <c r="C270" s="22"/>
    </row>
    <row r="271" spans="1:3" ht="18.75" customHeight="1">
      <c r="A271" s="20"/>
      <c r="B271" s="21"/>
      <c r="C271" s="22"/>
    </row>
    <row r="272" spans="1:3" ht="18.75" customHeight="1">
      <c r="A272" s="20"/>
      <c r="B272" s="21"/>
      <c r="C272" s="22"/>
    </row>
    <row r="273" spans="1:3" ht="18.75" customHeight="1">
      <c r="A273" s="20"/>
      <c r="B273" s="21"/>
      <c r="C273" s="22"/>
    </row>
    <row r="274" spans="1:3" ht="18.75" customHeight="1">
      <c r="A274" s="20"/>
      <c r="B274" s="21"/>
      <c r="C274" s="22"/>
    </row>
    <row r="275" spans="1:3" ht="18.75" customHeight="1">
      <c r="A275" s="20"/>
      <c r="B275" s="21"/>
      <c r="C275" s="22"/>
    </row>
    <row r="276" spans="1:3" ht="18.75" customHeight="1">
      <c r="A276" s="20"/>
      <c r="B276" s="21"/>
      <c r="C276" s="22"/>
    </row>
    <row r="277" spans="1:3" ht="18.75" customHeight="1">
      <c r="A277" s="20"/>
      <c r="B277" s="21"/>
      <c r="C277" s="22"/>
    </row>
    <row r="278" spans="1:3" ht="18.75" customHeight="1">
      <c r="A278" s="20"/>
      <c r="B278" s="21"/>
      <c r="C278" s="22"/>
    </row>
    <row r="279" spans="1:3" ht="18.75" customHeight="1">
      <c r="A279" s="20"/>
      <c r="B279" s="21"/>
      <c r="C279" s="22"/>
    </row>
    <row r="280" spans="1:3" ht="18.75" customHeight="1">
      <c r="A280" s="20"/>
      <c r="B280" s="21"/>
      <c r="C280" s="22"/>
    </row>
    <row r="281" spans="1:3" ht="18.75" customHeight="1">
      <c r="A281" s="20"/>
      <c r="B281" s="21"/>
      <c r="C281" s="22"/>
    </row>
    <row r="282" spans="1:3" ht="18.75" customHeight="1">
      <c r="A282" s="20"/>
      <c r="B282" s="21"/>
      <c r="C282" s="22"/>
    </row>
    <row r="283" spans="1:3" ht="18.75" customHeight="1">
      <c r="A283" s="20"/>
      <c r="B283" s="21"/>
      <c r="C283" s="22"/>
    </row>
    <row r="284" spans="1:3" ht="18.75" customHeight="1">
      <c r="A284" s="20"/>
      <c r="B284" s="21"/>
      <c r="C284" s="22"/>
    </row>
    <row r="285" spans="1:3" ht="18.75" customHeight="1">
      <c r="A285" s="20"/>
      <c r="B285" s="21"/>
      <c r="C285" s="22"/>
    </row>
    <row r="286" spans="1:3" ht="18.75" customHeight="1">
      <c r="A286" s="20"/>
      <c r="B286" s="21"/>
      <c r="C286" s="22"/>
    </row>
    <row r="287" spans="1:3" ht="18.75" customHeight="1">
      <c r="A287" s="20"/>
      <c r="B287" s="21"/>
      <c r="C287" s="22"/>
    </row>
    <row r="288" spans="1:3" ht="18.75" customHeight="1">
      <c r="A288" s="20"/>
      <c r="B288" s="21"/>
      <c r="C288" s="22"/>
    </row>
    <row r="289" spans="1:3" ht="18.75" customHeight="1">
      <c r="A289" s="20"/>
      <c r="B289" s="21"/>
      <c r="C289" s="22"/>
    </row>
    <row r="290" spans="1:3" ht="18.75" customHeight="1">
      <c r="A290" s="20"/>
      <c r="B290" s="21"/>
      <c r="C290" s="22"/>
    </row>
    <row r="291" spans="1:3" ht="18.75" customHeight="1">
      <c r="A291" s="20"/>
      <c r="B291" s="21"/>
      <c r="C291" s="22"/>
    </row>
    <row r="292" spans="1:3" ht="18.75" customHeight="1">
      <c r="A292" s="20"/>
      <c r="B292" s="21"/>
      <c r="C292" s="22"/>
    </row>
    <row r="293" spans="1:3" ht="18.75" customHeight="1">
      <c r="A293" s="20"/>
      <c r="B293" s="21"/>
      <c r="C293" s="22"/>
    </row>
    <row r="294" spans="1:3" ht="18.75" customHeight="1">
      <c r="A294" s="20"/>
      <c r="B294" s="21"/>
      <c r="C294" s="22"/>
    </row>
    <row r="295" spans="1:3" ht="18.75" customHeight="1">
      <c r="A295" s="20"/>
      <c r="B295" s="21"/>
      <c r="C295" s="22"/>
    </row>
    <row r="296" spans="1:3" ht="18.75" customHeight="1">
      <c r="A296" s="20"/>
      <c r="B296" s="21"/>
      <c r="C296" s="22"/>
    </row>
    <row r="297" spans="1:3" ht="18.75" customHeight="1">
      <c r="A297" s="20"/>
      <c r="B297" s="21"/>
      <c r="C297" s="22"/>
    </row>
    <row r="298" spans="1:3" ht="18.75" customHeight="1">
      <c r="A298" s="20"/>
      <c r="B298" s="21"/>
      <c r="C298" s="22"/>
    </row>
    <row r="299" spans="1:3" ht="18.75" customHeight="1">
      <c r="A299" s="20"/>
      <c r="B299" s="21"/>
      <c r="C299" s="22"/>
    </row>
    <row r="300" spans="1:3" ht="18.75" customHeight="1">
      <c r="A300" s="20"/>
      <c r="B300" s="21"/>
      <c r="C300" s="22"/>
    </row>
    <row r="301" spans="1:3" ht="18.75" customHeight="1">
      <c r="A301" s="20"/>
      <c r="B301" s="21"/>
      <c r="C301" s="22"/>
    </row>
    <row r="302" spans="1:3" ht="18.75" customHeight="1">
      <c r="A302" s="20"/>
      <c r="B302" s="21"/>
      <c r="C302" s="22"/>
    </row>
    <row r="303" spans="1:3" ht="18.75" customHeight="1">
      <c r="A303" s="20"/>
      <c r="B303" s="21"/>
      <c r="C303" s="22"/>
    </row>
    <row r="304" spans="1:3" ht="18.75" customHeight="1">
      <c r="A304" s="20"/>
      <c r="B304" s="21"/>
      <c r="C304" s="22"/>
    </row>
    <row r="305" spans="1:3" ht="18.75" customHeight="1">
      <c r="A305" s="20"/>
      <c r="B305" s="21"/>
      <c r="C305" s="22"/>
    </row>
    <row r="306" spans="1:3" ht="18.75" customHeight="1">
      <c r="A306" s="20"/>
      <c r="B306" s="21"/>
      <c r="C306" s="22"/>
    </row>
    <row r="307" spans="1:3" ht="18.75" customHeight="1">
      <c r="A307" s="20"/>
      <c r="B307" s="21"/>
      <c r="C307" s="22"/>
    </row>
    <row r="308" spans="1:3" ht="18.75" customHeight="1">
      <c r="A308" s="20"/>
      <c r="B308" s="21"/>
      <c r="C308" s="22"/>
    </row>
    <row r="309" spans="1:3" ht="18.75" customHeight="1">
      <c r="A309" s="20"/>
      <c r="B309" s="21"/>
      <c r="C309" s="22"/>
    </row>
    <row r="310" spans="1:3" ht="18.75" customHeight="1">
      <c r="A310" s="20"/>
      <c r="B310" s="21"/>
      <c r="C310" s="22"/>
    </row>
    <row r="311" spans="1:3" ht="18.75" customHeight="1">
      <c r="A311" s="20"/>
      <c r="B311" s="21"/>
      <c r="C311" s="22"/>
    </row>
    <row r="312" spans="1:3" ht="18.75" customHeight="1">
      <c r="A312" s="20"/>
      <c r="B312" s="21"/>
      <c r="C312" s="22"/>
    </row>
    <row r="313" spans="1:3" ht="18.75" customHeight="1">
      <c r="A313" s="20"/>
      <c r="B313" s="21"/>
      <c r="C313" s="22"/>
    </row>
    <row r="314" spans="1:3" ht="18.75" customHeight="1">
      <c r="A314" s="20"/>
      <c r="B314" s="21"/>
      <c r="C314" s="22"/>
    </row>
    <row r="315" spans="1:3" ht="18.75" customHeight="1">
      <c r="A315" s="20"/>
      <c r="B315" s="21"/>
      <c r="C315" s="22"/>
    </row>
    <row r="316" spans="1:3" ht="18.75" customHeight="1">
      <c r="A316" s="20"/>
      <c r="B316" s="21"/>
      <c r="C316" s="22"/>
    </row>
    <row r="317" spans="1:3" ht="18.75" customHeight="1">
      <c r="A317" s="20"/>
      <c r="B317" s="21"/>
      <c r="C317" s="22"/>
    </row>
    <row r="318" spans="1:3" ht="18.75" customHeight="1">
      <c r="A318" s="20"/>
      <c r="B318" s="21"/>
      <c r="C318" s="22"/>
    </row>
    <row r="319" spans="1:3" ht="18.75" customHeight="1">
      <c r="A319" s="20"/>
      <c r="B319" s="21"/>
      <c r="C319" s="22"/>
    </row>
    <row r="320" spans="1:3" ht="18.75" customHeight="1">
      <c r="A320" s="20"/>
      <c r="B320" s="21"/>
      <c r="C320" s="22"/>
    </row>
    <row r="321" spans="1:3" ht="18.75" customHeight="1">
      <c r="A321" s="20"/>
      <c r="B321" s="21"/>
      <c r="C321" s="22"/>
    </row>
    <row r="322" spans="1:3" ht="18.75" customHeight="1">
      <c r="A322" s="20"/>
      <c r="B322" s="21"/>
      <c r="C322" s="22"/>
    </row>
    <row r="323" spans="1:3" ht="18.75" customHeight="1">
      <c r="A323" s="20"/>
      <c r="B323" s="21"/>
      <c r="C323" s="22"/>
    </row>
    <row r="324" spans="1:3" ht="18.75" customHeight="1">
      <c r="A324" s="20"/>
      <c r="B324" s="21"/>
      <c r="C324" s="22"/>
    </row>
    <row r="325" spans="1:3" ht="18.75" customHeight="1">
      <c r="A325" s="20"/>
      <c r="B325" s="21"/>
      <c r="C325" s="22"/>
    </row>
    <row r="326" spans="1:3" ht="18.75" customHeight="1">
      <c r="A326" s="20"/>
      <c r="B326" s="21"/>
      <c r="C326" s="22"/>
    </row>
    <row r="327" spans="1:3" ht="18.75" customHeight="1">
      <c r="A327" s="20"/>
      <c r="B327" s="21"/>
      <c r="C327" s="22"/>
    </row>
    <row r="328" spans="1:3" ht="18.75" customHeight="1">
      <c r="A328" s="20"/>
      <c r="B328" s="21"/>
      <c r="C328" s="22"/>
    </row>
    <row r="329" spans="1:3" ht="18.75" customHeight="1">
      <c r="A329" s="20"/>
      <c r="B329" s="21"/>
      <c r="C329" s="22"/>
    </row>
    <row r="330" spans="1:3" ht="18.75" customHeight="1">
      <c r="A330" s="20"/>
      <c r="B330" s="21"/>
      <c r="C330" s="22"/>
    </row>
    <row r="331" spans="1:3" ht="18.75" customHeight="1">
      <c r="A331" s="20"/>
      <c r="B331" s="21"/>
      <c r="C331" s="22"/>
    </row>
    <row r="332" spans="1:3" ht="18.75" customHeight="1">
      <c r="A332" s="20"/>
      <c r="B332" s="21"/>
      <c r="C332" s="22"/>
    </row>
    <row r="333" spans="1:3" ht="18.75" customHeight="1">
      <c r="A333" s="20"/>
      <c r="B333" s="21"/>
      <c r="C333" s="22"/>
    </row>
    <row r="334" spans="1:3" ht="18.75" customHeight="1">
      <c r="A334" s="20"/>
      <c r="B334" s="21"/>
      <c r="C334" s="22"/>
    </row>
    <row r="335" spans="1:3" ht="18.75" customHeight="1">
      <c r="A335" s="20"/>
      <c r="B335" s="21"/>
      <c r="C335" s="22"/>
    </row>
    <row r="336" spans="1:3" ht="18.75" customHeight="1">
      <c r="A336" s="20"/>
      <c r="B336" s="21"/>
      <c r="C336" s="22"/>
    </row>
    <row r="337" spans="1:3" ht="18.75" customHeight="1">
      <c r="A337" s="20"/>
      <c r="B337" s="21"/>
      <c r="C337" s="22"/>
    </row>
    <row r="338" spans="1:3" ht="18.75" customHeight="1">
      <c r="A338" s="20"/>
      <c r="B338" s="21"/>
      <c r="C338" s="22"/>
    </row>
    <row r="339" spans="1:3" ht="18.75" customHeight="1">
      <c r="A339" s="20"/>
      <c r="B339" s="21"/>
      <c r="C339" s="22"/>
    </row>
    <row r="340" spans="1:3" ht="18.75" customHeight="1">
      <c r="A340" s="20"/>
      <c r="B340" s="21"/>
      <c r="C340" s="22"/>
    </row>
    <row r="341" spans="1:3" ht="18.75" customHeight="1">
      <c r="A341" s="20"/>
      <c r="B341" s="21"/>
      <c r="C341" s="22"/>
    </row>
    <row r="342" spans="1:3" ht="18.75" customHeight="1">
      <c r="A342" s="20"/>
      <c r="B342" s="21"/>
      <c r="C342" s="22"/>
    </row>
    <row r="343" spans="1:3" ht="18.75" customHeight="1">
      <c r="A343" s="20"/>
      <c r="B343" s="21"/>
      <c r="C343" s="22"/>
    </row>
    <row r="344" spans="1:3" ht="18.75" customHeight="1">
      <c r="A344" s="20"/>
      <c r="B344" s="21"/>
      <c r="C344" s="22"/>
    </row>
    <row r="345" spans="1:3" ht="18.75" customHeight="1">
      <c r="A345" s="20"/>
      <c r="B345" s="21"/>
      <c r="C345" s="22"/>
    </row>
    <row r="346" spans="1:3" ht="18.75" customHeight="1">
      <c r="A346" s="20"/>
      <c r="B346" s="21"/>
      <c r="C346" s="22"/>
    </row>
    <row r="347" spans="1:3" ht="18.75" customHeight="1">
      <c r="A347" s="20"/>
      <c r="B347" s="21"/>
      <c r="C347" s="22"/>
    </row>
    <row r="348" spans="1:3" ht="18.75" customHeight="1">
      <c r="A348" s="20"/>
      <c r="B348" s="21"/>
      <c r="C348" s="22"/>
    </row>
    <row r="349" spans="1:3" ht="18.75" customHeight="1">
      <c r="A349" s="20"/>
      <c r="B349" s="21"/>
      <c r="C349" s="22"/>
    </row>
    <row r="350" spans="1:3" ht="18.75" customHeight="1">
      <c r="A350" s="20"/>
      <c r="B350" s="21"/>
      <c r="C350" s="22"/>
    </row>
    <row r="351" spans="1:3" ht="18.75" customHeight="1">
      <c r="A351" s="20"/>
      <c r="B351" s="21"/>
      <c r="C351" s="22"/>
    </row>
    <row r="352" spans="1:3" ht="18.75" customHeight="1">
      <c r="A352" s="20"/>
      <c r="B352" s="21"/>
      <c r="C352" s="22"/>
    </row>
    <row r="353" spans="1:3" ht="18.75" customHeight="1">
      <c r="A353" s="20"/>
      <c r="B353" s="21"/>
      <c r="C353" s="22"/>
    </row>
    <row r="354" spans="1:3" ht="18.75" customHeight="1">
      <c r="A354" s="20"/>
      <c r="B354" s="21"/>
      <c r="C354" s="22"/>
    </row>
    <row r="355" spans="1:3" ht="18.75" customHeight="1">
      <c r="A355" s="20"/>
      <c r="B355" s="21"/>
      <c r="C355" s="22"/>
    </row>
    <row r="356" spans="1:3" ht="18.75" customHeight="1">
      <c r="A356" s="20"/>
      <c r="B356" s="21"/>
      <c r="C356" s="22"/>
    </row>
    <row r="357" spans="1:3" ht="18.75" customHeight="1">
      <c r="A357" s="20"/>
      <c r="B357" s="21"/>
      <c r="C357" s="22"/>
    </row>
    <row r="358" spans="1:3" ht="18.75" customHeight="1">
      <c r="A358" s="20"/>
      <c r="B358" s="21"/>
      <c r="C358" s="22"/>
    </row>
    <row r="359" spans="1:3" ht="18.75" customHeight="1">
      <c r="A359" s="20"/>
      <c r="B359" s="21"/>
      <c r="C359" s="22"/>
    </row>
    <row r="360" spans="1:3" ht="18.75" customHeight="1">
      <c r="A360" s="20"/>
      <c r="B360" s="21"/>
      <c r="C360" s="22"/>
    </row>
    <row r="361" spans="1:3" ht="18.75" customHeight="1">
      <c r="A361" s="20"/>
      <c r="B361" s="21"/>
      <c r="C361" s="22"/>
    </row>
    <row r="362" spans="1:3" ht="18.75" customHeight="1">
      <c r="A362" s="20"/>
      <c r="B362" s="21"/>
      <c r="C362" s="22"/>
    </row>
    <row r="363" spans="1:3" ht="18.75" customHeight="1">
      <c r="A363" s="20"/>
      <c r="B363" s="21"/>
      <c r="C363" s="22"/>
    </row>
    <row r="364" spans="1:3" ht="18.75" customHeight="1">
      <c r="A364" s="20"/>
      <c r="B364" s="21"/>
      <c r="C364" s="22"/>
    </row>
    <row r="365" spans="1:3" ht="18.75" customHeight="1">
      <c r="A365" s="20"/>
      <c r="B365" s="21"/>
      <c r="C365" s="22"/>
    </row>
    <row r="366" spans="1:3" ht="18.75" customHeight="1">
      <c r="A366" s="20"/>
      <c r="B366" s="21"/>
      <c r="C366" s="22"/>
    </row>
    <row r="367" spans="1:3" ht="18.75" customHeight="1">
      <c r="A367" s="20"/>
      <c r="B367" s="21"/>
      <c r="C367" s="22"/>
    </row>
    <row r="368" spans="1:3" ht="18.75" customHeight="1">
      <c r="A368" s="20"/>
      <c r="B368" s="21"/>
      <c r="C368" s="22"/>
    </row>
    <row r="369" spans="1:3" ht="18.75" customHeight="1">
      <c r="A369" s="20"/>
      <c r="B369" s="21"/>
      <c r="C369" s="22"/>
    </row>
    <row r="370" spans="1:3" ht="18.75" customHeight="1">
      <c r="A370" s="20"/>
      <c r="B370" s="21"/>
      <c r="C370" s="22"/>
    </row>
    <row r="371" spans="1:3" ht="18.75" customHeight="1">
      <c r="A371" s="20"/>
      <c r="B371" s="21"/>
      <c r="C371" s="22"/>
    </row>
    <row r="372" spans="1:3" ht="18.75" customHeight="1">
      <c r="A372" s="20"/>
      <c r="B372" s="21"/>
      <c r="C372" s="22"/>
    </row>
    <row r="373" spans="1:3" ht="18.75" customHeight="1">
      <c r="A373" s="20"/>
      <c r="B373" s="21"/>
      <c r="C373" s="22"/>
    </row>
    <row r="374" spans="1:3" ht="18.75" customHeight="1">
      <c r="A374" s="20"/>
      <c r="B374" s="21"/>
      <c r="C374" s="22"/>
    </row>
    <row r="375" spans="1:3" ht="18.75" customHeight="1">
      <c r="A375" s="20"/>
      <c r="B375" s="21"/>
      <c r="C375" s="22"/>
    </row>
    <row r="376" spans="1:3" ht="18.75" customHeight="1">
      <c r="A376" s="20"/>
      <c r="B376" s="21"/>
      <c r="C376" s="22"/>
    </row>
    <row r="377" spans="1:3" ht="18.75" customHeight="1">
      <c r="A377" s="20"/>
      <c r="B377" s="21"/>
      <c r="C377" s="22"/>
    </row>
    <row r="378" spans="1:3" ht="18.75" customHeight="1">
      <c r="A378" s="20"/>
      <c r="B378" s="21"/>
      <c r="C378" s="22"/>
    </row>
    <row r="379" spans="1:3" ht="18.75" customHeight="1">
      <c r="A379" s="20"/>
      <c r="B379" s="21"/>
      <c r="C379" s="22"/>
    </row>
    <row r="380" spans="1:3" ht="18.75" customHeight="1">
      <c r="A380" s="20"/>
      <c r="B380" s="21"/>
      <c r="C380" s="22"/>
    </row>
    <row r="381" spans="1:3" ht="18.75" customHeight="1">
      <c r="A381" s="20"/>
      <c r="B381" s="21"/>
      <c r="C381" s="22"/>
    </row>
    <row r="382" spans="1:3" ht="18.75" customHeight="1">
      <c r="A382" s="20"/>
      <c r="B382" s="21"/>
      <c r="C382" s="22"/>
    </row>
    <row r="383" spans="1:3" ht="18.75" customHeight="1">
      <c r="A383" s="20"/>
      <c r="B383" s="21"/>
      <c r="C383" s="22"/>
    </row>
    <row r="384" spans="1:3" ht="18.75" customHeight="1">
      <c r="A384" s="20"/>
      <c r="B384" s="21"/>
      <c r="C384" s="22"/>
    </row>
    <row r="385" spans="1:3" ht="18.75" customHeight="1">
      <c r="A385" s="20"/>
      <c r="B385" s="21"/>
      <c r="C385" s="22"/>
    </row>
    <row r="386" spans="1:3" ht="18.75" customHeight="1">
      <c r="A386" s="20"/>
      <c r="B386" s="21"/>
      <c r="C386" s="22"/>
    </row>
    <row r="387" spans="1:3" ht="18.75" customHeight="1">
      <c r="A387" s="20"/>
      <c r="B387" s="21"/>
      <c r="C387" s="22"/>
    </row>
    <row r="388" spans="1:3" ht="18.75" customHeight="1">
      <c r="A388" s="20"/>
      <c r="B388" s="21"/>
      <c r="C388" s="22"/>
    </row>
    <row r="389" spans="1:3" ht="18.75" customHeight="1">
      <c r="A389" s="20"/>
      <c r="B389" s="21"/>
      <c r="C389" s="22"/>
    </row>
    <row r="390" spans="1:3" ht="18.75" customHeight="1">
      <c r="A390" s="20"/>
      <c r="B390" s="21"/>
      <c r="C390" s="22"/>
    </row>
    <row r="391" spans="1:3" ht="18.75" customHeight="1">
      <c r="A391" s="20"/>
      <c r="B391" s="21"/>
      <c r="C391" s="22"/>
    </row>
    <row r="392" spans="1:3" ht="18.75" customHeight="1">
      <c r="A392" s="20"/>
      <c r="B392" s="21"/>
      <c r="C392" s="22"/>
    </row>
    <row r="393" spans="1:3" ht="18.75" customHeight="1">
      <c r="A393" s="20"/>
      <c r="B393" s="21"/>
      <c r="C393" s="22"/>
    </row>
    <row r="394" spans="1:3" ht="18.75" customHeight="1">
      <c r="A394" s="20"/>
      <c r="B394" s="21"/>
      <c r="C394" s="22"/>
    </row>
    <row r="395" spans="1:3" ht="18.75" customHeight="1">
      <c r="A395" s="20"/>
      <c r="B395" s="21"/>
      <c r="C395" s="22"/>
    </row>
    <row r="396" spans="1:3" ht="18.75" customHeight="1">
      <c r="A396" s="20"/>
      <c r="B396" s="21"/>
      <c r="C396" s="22"/>
    </row>
    <row r="397" spans="1:3" ht="18.75" customHeight="1">
      <c r="A397" s="20"/>
      <c r="B397" s="21"/>
      <c r="C397" s="22"/>
    </row>
    <row r="398" spans="1:3" ht="18.75" customHeight="1">
      <c r="A398" s="20"/>
      <c r="B398" s="21"/>
      <c r="C398" s="22"/>
    </row>
    <row r="399" spans="1:3" ht="18.75" customHeight="1">
      <c r="A399" s="20"/>
      <c r="B399" s="21"/>
      <c r="C399" s="22"/>
    </row>
    <row r="400" spans="1:3" ht="18.75" customHeight="1">
      <c r="A400" s="20"/>
      <c r="B400" s="21"/>
      <c r="C400" s="22"/>
    </row>
    <row r="401" spans="1:3" ht="18.75" customHeight="1">
      <c r="A401" s="20"/>
      <c r="B401" s="21"/>
      <c r="C401" s="22"/>
    </row>
    <row r="402" spans="1:3" ht="18.75" customHeight="1">
      <c r="A402" s="20"/>
      <c r="B402" s="21"/>
      <c r="C402" s="22"/>
    </row>
    <row r="403" spans="1:3" ht="18.75" customHeight="1">
      <c r="A403" s="20"/>
      <c r="B403" s="21"/>
      <c r="C403" s="22"/>
    </row>
    <row r="404" spans="1:3" ht="18.75" customHeight="1">
      <c r="A404" s="20"/>
      <c r="B404" s="21"/>
      <c r="C404" s="22"/>
    </row>
    <row r="405" spans="1:3" ht="18.75" customHeight="1">
      <c r="A405" s="20"/>
      <c r="B405" s="21"/>
      <c r="C405" s="22"/>
    </row>
    <row r="406" spans="1:3" ht="18.75" customHeight="1">
      <c r="A406" s="20"/>
      <c r="B406" s="21"/>
      <c r="C406" s="22"/>
    </row>
    <row r="407" spans="1:3" ht="18.75" customHeight="1">
      <c r="A407" s="20"/>
      <c r="B407" s="21"/>
      <c r="C407" s="22"/>
    </row>
    <row r="408" spans="1:3" ht="18.75" customHeight="1">
      <c r="A408" s="20"/>
      <c r="B408" s="21"/>
      <c r="C408" s="22"/>
    </row>
    <row r="409" spans="1:3" ht="18.75" customHeight="1">
      <c r="A409" s="20"/>
      <c r="B409" s="21"/>
      <c r="C409" s="22"/>
    </row>
    <row r="410" spans="1:3" ht="18.75" customHeight="1">
      <c r="A410" s="20"/>
      <c r="B410" s="21"/>
      <c r="C410" s="22"/>
    </row>
    <row r="411" spans="1:3" ht="18.75" customHeight="1">
      <c r="A411" s="20"/>
      <c r="B411" s="21"/>
      <c r="C411" s="22"/>
    </row>
    <row r="412" spans="1:3" ht="18.75" customHeight="1">
      <c r="A412" s="20"/>
      <c r="B412" s="21"/>
      <c r="C412" s="22"/>
    </row>
    <row r="413" spans="1:3" ht="18.75" customHeight="1">
      <c r="A413" s="20"/>
      <c r="B413" s="21"/>
      <c r="C413" s="22"/>
    </row>
    <row r="414" spans="1:3" ht="18.75" customHeight="1">
      <c r="A414" s="20"/>
      <c r="B414" s="21"/>
      <c r="C414" s="22"/>
    </row>
    <row r="415" spans="1:3" ht="18.75" customHeight="1">
      <c r="A415" s="20"/>
      <c r="B415" s="21"/>
      <c r="C415" s="22"/>
    </row>
    <row r="416" spans="1:3" ht="18.75" customHeight="1">
      <c r="A416" s="20"/>
      <c r="B416" s="21"/>
      <c r="C416" s="22"/>
    </row>
    <row r="417" spans="1:3" ht="18.75" customHeight="1">
      <c r="A417" s="20"/>
      <c r="B417" s="21"/>
      <c r="C417" s="22"/>
    </row>
    <row r="418" spans="1:3" ht="18.75" customHeight="1">
      <c r="A418" s="20"/>
      <c r="B418" s="21"/>
      <c r="C418" s="22"/>
    </row>
    <row r="419" spans="1:3" ht="18.75" customHeight="1">
      <c r="A419" s="20"/>
      <c r="B419" s="21"/>
      <c r="C419" s="22"/>
    </row>
    <row r="420" spans="1:3" ht="18.75" customHeight="1">
      <c r="A420" s="20"/>
      <c r="B420" s="21"/>
      <c r="C420" s="22"/>
    </row>
    <row r="421" spans="1:3" ht="18.75" customHeight="1">
      <c r="A421" s="20"/>
      <c r="B421" s="21"/>
      <c r="C421" s="22"/>
    </row>
    <row r="422" spans="1:3" ht="18.75" customHeight="1">
      <c r="A422" s="20"/>
      <c r="B422" s="21"/>
      <c r="C422" s="22"/>
    </row>
    <row r="423" spans="1:3" ht="18.75" customHeight="1">
      <c r="A423" s="20"/>
      <c r="B423" s="21"/>
      <c r="C423" s="22"/>
    </row>
    <row r="424" spans="1:3" ht="18.75" customHeight="1">
      <c r="A424" s="20"/>
      <c r="B424" s="21"/>
      <c r="C424" s="22"/>
    </row>
    <row r="425" spans="1:3" ht="18.75" customHeight="1">
      <c r="A425" s="20"/>
      <c r="B425" s="21"/>
      <c r="C425" s="22"/>
    </row>
    <row r="426" spans="1:3" ht="18.75" customHeight="1">
      <c r="A426" s="20"/>
      <c r="B426" s="21"/>
      <c r="C426" s="22"/>
    </row>
    <row r="427" spans="1:3" ht="18.75" customHeight="1">
      <c r="A427" s="20"/>
      <c r="B427" s="21"/>
      <c r="C427" s="22"/>
    </row>
    <row r="428" spans="1:3" ht="18.75" customHeight="1">
      <c r="A428" s="20"/>
      <c r="B428" s="21"/>
      <c r="C428" s="22"/>
    </row>
    <row r="429" spans="1:3" ht="18.75" customHeight="1">
      <c r="A429" s="20"/>
      <c r="B429" s="21"/>
      <c r="C429" s="22"/>
    </row>
    <row r="430" spans="1:3" ht="18.75" customHeight="1">
      <c r="A430" s="20"/>
      <c r="B430" s="21"/>
      <c r="C430" s="22"/>
    </row>
    <row r="431" spans="1:3" ht="18.75" customHeight="1">
      <c r="A431" s="20"/>
      <c r="B431" s="21"/>
      <c r="C431" s="22"/>
    </row>
    <row r="432" spans="1:3" ht="18.75" customHeight="1">
      <c r="A432" s="20"/>
      <c r="B432" s="21"/>
      <c r="C432" s="22"/>
    </row>
    <row r="433" spans="1:3" ht="18.75" customHeight="1">
      <c r="A433" s="20"/>
      <c r="B433" s="21"/>
      <c r="C433" s="22"/>
    </row>
    <row r="434" spans="1:3" ht="18.75" customHeight="1">
      <c r="A434" s="20"/>
      <c r="B434" s="21"/>
      <c r="C434" s="22"/>
    </row>
    <row r="435" spans="1:3" ht="18.75" customHeight="1">
      <c r="A435" s="20"/>
      <c r="B435" s="21"/>
      <c r="C435" s="22"/>
    </row>
    <row r="436" spans="1:3" ht="18.75" customHeight="1">
      <c r="A436" s="20"/>
      <c r="B436" s="21"/>
      <c r="C436" s="22"/>
    </row>
    <row r="437" spans="1:3" ht="18.75" customHeight="1">
      <c r="A437" s="20"/>
      <c r="B437" s="21"/>
      <c r="C437" s="22"/>
    </row>
    <row r="438" spans="1:3" ht="18.75" customHeight="1">
      <c r="A438" s="20"/>
      <c r="B438" s="21"/>
      <c r="C438" s="22"/>
    </row>
    <row r="439" spans="1:3" ht="18.75" customHeight="1">
      <c r="A439" s="20"/>
      <c r="B439" s="21"/>
      <c r="C439" s="22"/>
    </row>
    <row r="440" spans="1:3" ht="18.75" customHeight="1">
      <c r="A440" s="20"/>
      <c r="B440" s="21"/>
      <c r="C440" s="22"/>
    </row>
    <row r="441" spans="1:3" ht="18.75" customHeight="1">
      <c r="A441" s="20"/>
      <c r="B441" s="21"/>
      <c r="C441" s="22"/>
    </row>
    <row r="442" spans="1:3" ht="18.75" customHeight="1">
      <c r="A442" s="20"/>
      <c r="B442" s="21"/>
      <c r="C442" s="22"/>
    </row>
    <row r="443" spans="1:3" ht="18.75" customHeight="1">
      <c r="A443" s="20"/>
      <c r="B443" s="21"/>
      <c r="C443" s="22"/>
    </row>
    <row r="444" spans="1:3" ht="18.75" customHeight="1">
      <c r="A444" s="20"/>
      <c r="B444" s="21"/>
      <c r="C444" s="22"/>
    </row>
    <row r="445" spans="1:3" ht="18.75" customHeight="1">
      <c r="A445" s="20"/>
      <c r="B445" s="21"/>
      <c r="C445" s="22"/>
    </row>
    <row r="446" spans="1:3" ht="18.75" customHeight="1">
      <c r="A446" s="20"/>
      <c r="B446" s="21"/>
      <c r="C446" s="22"/>
    </row>
    <row r="447" spans="1:3" ht="18.75" customHeight="1">
      <c r="A447" s="20"/>
      <c r="B447" s="21"/>
      <c r="C447" s="22"/>
    </row>
    <row r="448" spans="1:3" ht="18.75" customHeight="1">
      <c r="A448" s="20"/>
      <c r="B448" s="21"/>
      <c r="C448" s="22"/>
    </row>
    <row r="449" spans="1:3" ht="18.75" customHeight="1">
      <c r="A449" s="20"/>
      <c r="B449" s="21"/>
      <c r="C449" s="22"/>
    </row>
    <row r="450" spans="1:3" ht="18.75" customHeight="1">
      <c r="A450" s="20"/>
      <c r="B450" s="21"/>
      <c r="C450" s="22"/>
    </row>
    <row r="451" spans="1:3" ht="18.75" customHeight="1">
      <c r="A451" s="20"/>
      <c r="B451" s="21"/>
      <c r="C451" s="22"/>
    </row>
    <row r="452" spans="1:3" ht="18.75" customHeight="1">
      <c r="A452" s="20"/>
      <c r="B452" s="21"/>
      <c r="C452" s="22"/>
    </row>
    <row r="453" spans="1:3" ht="18.75" customHeight="1">
      <c r="A453" s="20"/>
      <c r="B453" s="21"/>
      <c r="C453" s="22"/>
    </row>
    <row r="454" spans="1:3" ht="18.75" customHeight="1">
      <c r="A454" s="20"/>
      <c r="B454" s="21"/>
      <c r="C454" s="22"/>
    </row>
    <row r="455" spans="1:3" ht="18.75" customHeight="1">
      <c r="A455" s="20"/>
      <c r="B455" s="21"/>
      <c r="C455" s="22"/>
    </row>
    <row r="456" spans="1:3" ht="18.75" customHeight="1">
      <c r="A456" s="20"/>
      <c r="B456" s="21"/>
      <c r="C456" s="22"/>
    </row>
    <row r="457" spans="1:3" ht="18.75" customHeight="1">
      <c r="A457" s="20"/>
      <c r="B457" s="21"/>
      <c r="C457" s="22"/>
    </row>
    <row r="458" spans="1:3" ht="18.75" customHeight="1">
      <c r="A458" s="20"/>
      <c r="B458" s="21"/>
      <c r="C458" s="22"/>
    </row>
    <row r="459" spans="1:3" ht="18.75" customHeight="1">
      <c r="A459" s="20"/>
      <c r="B459" s="21"/>
      <c r="C459" s="22"/>
    </row>
    <row r="460" spans="1:3" ht="18.75" customHeight="1">
      <c r="A460" s="20"/>
      <c r="B460" s="21"/>
      <c r="C460" s="22"/>
    </row>
    <row r="461" spans="1:3" ht="18.75" customHeight="1">
      <c r="A461" s="20"/>
      <c r="B461" s="21"/>
      <c r="C461" s="22"/>
    </row>
    <row r="462" spans="1:3" ht="18.75" customHeight="1">
      <c r="A462" s="20"/>
      <c r="B462" s="21"/>
      <c r="C462" s="22"/>
    </row>
    <row r="463" spans="1:3" ht="18.75" customHeight="1">
      <c r="A463" s="20"/>
      <c r="B463" s="21"/>
      <c r="C463" s="22"/>
    </row>
    <row r="464" spans="1:3" ht="18.75" customHeight="1">
      <c r="A464" s="20"/>
      <c r="B464" s="21"/>
      <c r="C464" s="22"/>
    </row>
    <row r="465" spans="1:3" ht="18.75" customHeight="1">
      <c r="A465" s="20"/>
      <c r="B465" s="21"/>
      <c r="C465" s="22"/>
    </row>
    <row r="466" spans="1:3" ht="18.75" customHeight="1">
      <c r="A466" s="20"/>
      <c r="B466" s="21"/>
      <c r="C466" s="22"/>
    </row>
    <row r="467" spans="1:3" ht="18.75" customHeight="1">
      <c r="A467" s="20"/>
      <c r="B467" s="21"/>
      <c r="C467" s="22"/>
    </row>
    <row r="468" spans="1:3" ht="18.75" customHeight="1">
      <c r="A468" s="20"/>
      <c r="B468" s="21"/>
      <c r="C468" s="22"/>
    </row>
    <row r="469" spans="1:3" ht="18.75" customHeight="1">
      <c r="A469" s="20"/>
      <c r="B469" s="21"/>
      <c r="C469" s="22"/>
    </row>
    <row r="470" spans="1:3" ht="18.75" customHeight="1">
      <c r="A470" s="20"/>
      <c r="B470" s="21"/>
      <c r="C470" s="22"/>
    </row>
    <row r="471" spans="1:3" ht="18.75" customHeight="1">
      <c r="A471" s="20"/>
      <c r="B471" s="21"/>
      <c r="C471" s="22"/>
    </row>
    <row r="472" spans="1:3" ht="18.75" customHeight="1">
      <c r="A472" s="20"/>
      <c r="B472" s="21"/>
      <c r="C472" s="22"/>
    </row>
    <row r="473" spans="1:3" ht="18.75" customHeight="1">
      <c r="A473" s="20"/>
      <c r="B473" s="21"/>
      <c r="C473" s="22"/>
    </row>
    <row r="474" spans="1:3" ht="18.75" customHeight="1">
      <c r="A474" s="20"/>
      <c r="B474" s="21"/>
      <c r="C474" s="22"/>
    </row>
    <row r="475" spans="1:3" ht="18.75" customHeight="1">
      <c r="A475" s="20"/>
      <c r="B475" s="21"/>
      <c r="C475" s="22"/>
    </row>
    <row r="476" spans="1:3" ht="18.75" customHeight="1">
      <c r="A476" s="20"/>
      <c r="B476" s="21"/>
      <c r="C476" s="22"/>
    </row>
    <row r="477" spans="1:3" ht="18.75" customHeight="1">
      <c r="A477" s="20"/>
      <c r="B477" s="21"/>
      <c r="C477" s="22"/>
    </row>
    <row r="478" spans="1:3" ht="18.75" customHeight="1">
      <c r="A478" s="20"/>
      <c r="B478" s="21"/>
      <c r="C478" s="22"/>
    </row>
    <row r="479" spans="1:3" ht="18.75" customHeight="1">
      <c r="A479" s="20"/>
      <c r="B479" s="21"/>
      <c r="C479" s="22"/>
    </row>
    <row r="480" spans="1:3" ht="18.75" customHeight="1">
      <c r="A480" s="20"/>
      <c r="B480" s="21"/>
      <c r="C480" s="22"/>
    </row>
    <row r="481" spans="1:3" ht="18.75" customHeight="1">
      <c r="A481" s="20"/>
      <c r="B481" s="21"/>
      <c r="C481" s="22"/>
    </row>
    <row r="482" spans="1:3" ht="18.75" customHeight="1">
      <c r="A482" s="20"/>
      <c r="B482" s="21"/>
      <c r="C482" s="22"/>
    </row>
    <row r="483" spans="1:3" ht="18.75" customHeight="1">
      <c r="A483" s="20"/>
      <c r="B483" s="21"/>
      <c r="C483" s="22"/>
    </row>
    <row r="484" spans="1:3" ht="18.75" customHeight="1">
      <c r="A484" s="20"/>
      <c r="B484" s="21"/>
      <c r="C484" s="22"/>
    </row>
    <row r="485" spans="1:3" ht="18.75" customHeight="1">
      <c r="A485" s="20"/>
      <c r="B485" s="21"/>
      <c r="C485" s="22"/>
    </row>
    <row r="486" spans="1:3" ht="18.75" customHeight="1">
      <c r="A486" s="20"/>
      <c r="B486" s="21"/>
      <c r="C486" s="22"/>
    </row>
    <row r="487" spans="1:3" ht="18.75" customHeight="1">
      <c r="A487" s="20"/>
      <c r="B487" s="21"/>
      <c r="C487" s="22"/>
    </row>
    <row r="488" spans="1:3" ht="18.75" customHeight="1">
      <c r="A488" s="20"/>
      <c r="B488" s="21"/>
      <c r="C488" s="22"/>
    </row>
    <row r="489" spans="1:3" ht="18.75" customHeight="1">
      <c r="A489" s="20"/>
      <c r="B489" s="21"/>
      <c r="C489" s="22"/>
    </row>
    <row r="490" spans="1:3" ht="18.75" customHeight="1">
      <c r="A490" s="20"/>
      <c r="B490" s="21"/>
      <c r="C490" s="22"/>
    </row>
    <row r="491" spans="1:3" ht="18.75" customHeight="1">
      <c r="A491" s="20"/>
      <c r="B491" s="21"/>
      <c r="C491" s="22"/>
    </row>
    <row r="492" spans="1:3" ht="18.75" customHeight="1">
      <c r="A492" s="20"/>
      <c r="B492" s="21"/>
      <c r="C492" s="22"/>
    </row>
    <row r="493" spans="1:3" ht="18.75" customHeight="1">
      <c r="A493" s="20"/>
      <c r="B493" s="21"/>
      <c r="C493" s="22"/>
    </row>
    <row r="494" spans="1:3" ht="18.75" customHeight="1">
      <c r="A494" s="20"/>
      <c r="B494" s="21"/>
      <c r="C494" s="22"/>
    </row>
    <row r="495" spans="1:3" ht="18.75" customHeight="1">
      <c r="A495" s="20"/>
      <c r="B495" s="21"/>
      <c r="C495" s="22"/>
    </row>
    <row r="496" spans="1:3" ht="18.75" customHeight="1">
      <c r="A496" s="20"/>
      <c r="B496" s="21"/>
      <c r="C496" s="22"/>
    </row>
    <row r="497" spans="1:3" ht="18.75" customHeight="1">
      <c r="A497" s="20"/>
      <c r="B497" s="21"/>
      <c r="C497" s="22"/>
    </row>
    <row r="498" spans="1:3" ht="18.75" customHeight="1">
      <c r="A498" s="20"/>
      <c r="B498" s="21"/>
      <c r="C498" s="22"/>
    </row>
    <row r="499" spans="1:3" ht="18.75" customHeight="1">
      <c r="A499" s="20"/>
      <c r="B499" s="21"/>
      <c r="C499" s="22"/>
    </row>
    <row r="500" spans="1:3" ht="18.75" customHeight="1">
      <c r="A500" s="20"/>
      <c r="B500" s="21"/>
      <c r="C500" s="22"/>
    </row>
    <row r="501" spans="1:3" ht="18.75" customHeight="1">
      <c r="A501" s="20"/>
      <c r="B501" s="21"/>
      <c r="C501" s="22"/>
    </row>
    <row r="502" spans="1:3" ht="18.75" customHeight="1">
      <c r="A502" s="20"/>
      <c r="B502" s="21"/>
      <c r="C502" s="22"/>
    </row>
    <row r="503" spans="1:3" ht="18.75" customHeight="1">
      <c r="A503" s="20"/>
      <c r="B503" s="21"/>
      <c r="C503" s="22"/>
    </row>
    <row r="504" spans="1:3" ht="18.75" customHeight="1">
      <c r="A504" s="20"/>
      <c r="B504" s="21"/>
      <c r="C504" s="22"/>
    </row>
    <row r="505" spans="1:3" ht="18.75" customHeight="1">
      <c r="A505" s="20"/>
      <c r="B505" s="21"/>
      <c r="C505" s="22"/>
    </row>
    <row r="506" spans="1:3" ht="18.75" customHeight="1">
      <c r="A506" s="20"/>
      <c r="B506" s="21"/>
      <c r="C506" s="22"/>
    </row>
    <row r="507" spans="1:3" ht="18.75" customHeight="1">
      <c r="A507" s="20"/>
      <c r="B507" s="21"/>
      <c r="C507" s="22"/>
    </row>
    <row r="508" spans="1:3" ht="18.75" customHeight="1">
      <c r="A508" s="20"/>
      <c r="B508" s="21"/>
      <c r="C508" s="22"/>
    </row>
    <row r="509" spans="1:3" ht="18.75" customHeight="1">
      <c r="A509" s="20"/>
      <c r="B509" s="21"/>
      <c r="C509" s="22"/>
    </row>
    <row r="510" spans="1:3" ht="18.75" customHeight="1">
      <c r="A510" s="20"/>
      <c r="B510" s="21"/>
      <c r="C510" s="22"/>
    </row>
    <row r="511" spans="1:3" ht="18.75" customHeight="1">
      <c r="A511" s="20"/>
      <c r="B511" s="21"/>
      <c r="C511" s="22"/>
    </row>
    <row r="512" spans="1:3" ht="18.75" customHeight="1">
      <c r="A512" s="20"/>
      <c r="B512" s="21"/>
      <c r="C512" s="22"/>
    </row>
    <row r="513" spans="1:3" ht="18.75" customHeight="1">
      <c r="A513" s="20"/>
      <c r="B513" s="21"/>
      <c r="C513" s="22"/>
    </row>
    <row r="514" spans="1:3" ht="18.75" customHeight="1">
      <c r="A514" s="20"/>
      <c r="B514" s="21"/>
      <c r="C514" s="22"/>
    </row>
    <row r="515" spans="1:3" ht="18.75" customHeight="1">
      <c r="A515" s="20"/>
      <c r="B515" s="21"/>
      <c r="C515" s="22"/>
    </row>
    <row r="516" spans="1:3" ht="18.75" customHeight="1">
      <c r="A516" s="20"/>
      <c r="B516" s="21"/>
      <c r="C516" s="22"/>
    </row>
    <row r="517" spans="1:3" ht="18.75" customHeight="1">
      <c r="A517" s="20"/>
      <c r="B517" s="21"/>
      <c r="C517" s="22"/>
    </row>
    <row r="518" spans="1:3" ht="18.75" customHeight="1">
      <c r="A518" s="20"/>
      <c r="B518" s="21"/>
      <c r="C518" s="22"/>
    </row>
    <row r="519" spans="1:3" ht="18.75" customHeight="1">
      <c r="A519" s="20"/>
      <c r="B519" s="21"/>
      <c r="C519" s="22"/>
    </row>
    <row r="520" spans="1:3" ht="18.75" customHeight="1">
      <c r="A520" s="20"/>
      <c r="B520" s="21"/>
      <c r="C520" s="22"/>
    </row>
    <row r="521" spans="1:3" ht="18.75" customHeight="1">
      <c r="A521" s="20"/>
      <c r="B521" s="21"/>
      <c r="C521" s="22"/>
    </row>
    <row r="522" spans="1:3" ht="18.75" customHeight="1">
      <c r="A522" s="20"/>
      <c r="B522" s="21"/>
      <c r="C522" s="22"/>
    </row>
    <row r="523" spans="1:3" ht="18.75" customHeight="1">
      <c r="A523" s="20"/>
      <c r="B523" s="21"/>
      <c r="C523" s="22"/>
    </row>
    <row r="524" spans="1:3" ht="18.75" customHeight="1">
      <c r="A524" s="20"/>
      <c r="B524" s="21"/>
      <c r="C524" s="22"/>
    </row>
    <row r="525" spans="1:3" ht="18.75" customHeight="1">
      <c r="A525" s="20"/>
      <c r="B525" s="21"/>
      <c r="C525" s="22"/>
    </row>
    <row r="526" spans="1:3" ht="18.75" customHeight="1">
      <c r="A526" s="20"/>
      <c r="B526" s="21"/>
      <c r="C526" s="22"/>
    </row>
    <row r="527" spans="1:3" ht="18.75" customHeight="1">
      <c r="A527" s="20"/>
      <c r="B527" s="21"/>
      <c r="C527" s="22"/>
    </row>
    <row r="528" spans="1:3" ht="18.75" customHeight="1">
      <c r="A528" s="20"/>
      <c r="B528" s="21"/>
      <c r="C528" s="22"/>
    </row>
    <row r="529" spans="1:3" ht="18.75" customHeight="1">
      <c r="A529" s="20"/>
      <c r="B529" s="21"/>
      <c r="C529" s="22"/>
    </row>
    <row r="530" spans="1:3" ht="18.75" customHeight="1">
      <c r="A530" s="20"/>
      <c r="B530" s="21"/>
      <c r="C530" s="22"/>
    </row>
    <row r="531" spans="1:3" ht="18.75" customHeight="1">
      <c r="A531" s="20"/>
      <c r="B531" s="21"/>
      <c r="C531" s="22"/>
    </row>
    <row r="532" spans="1:3" ht="18.75" customHeight="1">
      <c r="A532" s="20"/>
      <c r="B532" s="21"/>
      <c r="C532" s="22"/>
    </row>
    <row r="533" spans="1:3" ht="18.75" customHeight="1">
      <c r="A533" s="20"/>
      <c r="B533" s="21"/>
      <c r="C533" s="22"/>
    </row>
    <row r="534" spans="1:3" ht="18.75" customHeight="1">
      <c r="A534" s="20"/>
      <c r="B534" s="21"/>
      <c r="C534" s="22"/>
    </row>
    <row r="535" spans="1:3" ht="18.75" customHeight="1">
      <c r="A535" s="20"/>
      <c r="B535" s="21"/>
      <c r="C535" s="22"/>
    </row>
    <row r="536" spans="1:3" ht="18.75" customHeight="1">
      <c r="A536" s="20"/>
      <c r="B536" s="21"/>
      <c r="C536" s="22"/>
    </row>
    <row r="537" spans="1:3" ht="18.75" customHeight="1">
      <c r="A537" s="20"/>
      <c r="B537" s="21"/>
      <c r="C537" s="22"/>
    </row>
    <row r="538" spans="1:3" ht="18.75" customHeight="1">
      <c r="A538" s="20"/>
      <c r="B538" s="21"/>
      <c r="C538" s="22"/>
    </row>
    <row r="539" spans="1:3" ht="18.75" customHeight="1">
      <c r="A539" s="20"/>
      <c r="B539" s="21"/>
      <c r="C539" s="22"/>
    </row>
    <row r="540" spans="1:3" ht="18.75" customHeight="1">
      <c r="A540" s="20"/>
      <c r="B540" s="21"/>
      <c r="C540" s="22"/>
    </row>
    <row r="541" spans="1:3" ht="18.75" customHeight="1">
      <c r="A541" s="20"/>
      <c r="B541" s="21"/>
      <c r="C541" s="22"/>
    </row>
    <row r="542" spans="1:3" ht="18.75" customHeight="1">
      <c r="A542" s="20"/>
      <c r="B542" s="21"/>
      <c r="C542" s="22"/>
    </row>
    <row r="543" spans="1:3" ht="18.75" customHeight="1">
      <c r="A543" s="20"/>
      <c r="B543" s="21"/>
      <c r="C543" s="22"/>
    </row>
    <row r="544" spans="1:3" ht="18.75" customHeight="1">
      <c r="A544" s="20"/>
      <c r="B544" s="21"/>
      <c r="C544" s="22"/>
    </row>
    <row r="545" spans="1:3" ht="18.75" customHeight="1">
      <c r="A545" s="20"/>
      <c r="B545" s="21"/>
      <c r="C545" s="22"/>
    </row>
    <row r="546" spans="1:3" ht="18.75" customHeight="1">
      <c r="A546" s="20"/>
      <c r="B546" s="21"/>
      <c r="C546" s="22"/>
    </row>
    <row r="547" spans="1:3" ht="18.75" customHeight="1">
      <c r="A547" s="20"/>
      <c r="B547" s="21"/>
      <c r="C547" s="22"/>
    </row>
    <row r="548" spans="1:3" ht="18.75" customHeight="1">
      <c r="A548" s="20"/>
      <c r="B548" s="21"/>
      <c r="C548" s="22"/>
    </row>
    <row r="549" spans="1:3" ht="18.75" customHeight="1">
      <c r="A549" s="20"/>
      <c r="B549" s="21"/>
      <c r="C549" s="22"/>
    </row>
    <row r="550" spans="1:3" ht="18.75" customHeight="1">
      <c r="A550" s="20"/>
      <c r="B550" s="21"/>
      <c r="C550" s="22"/>
    </row>
    <row r="551" spans="1:3" ht="18.75" customHeight="1">
      <c r="A551" s="20"/>
      <c r="B551" s="21"/>
      <c r="C551" s="22"/>
    </row>
    <row r="552" spans="1:3" ht="18.75" customHeight="1">
      <c r="A552" s="20"/>
      <c r="B552" s="21"/>
      <c r="C552" s="22"/>
    </row>
    <row r="553" spans="1:3" ht="18.75" customHeight="1">
      <c r="A553" s="20"/>
      <c r="B553" s="21"/>
      <c r="C553" s="22"/>
    </row>
    <row r="554" spans="1:3" ht="18.75" customHeight="1">
      <c r="A554" s="20"/>
      <c r="B554" s="21"/>
      <c r="C554" s="22"/>
    </row>
    <row r="555" spans="1:3" ht="18.75" customHeight="1">
      <c r="A555" s="20"/>
      <c r="B555" s="21"/>
      <c r="C555" s="22"/>
    </row>
    <row r="556" spans="1:3" ht="18.75" customHeight="1">
      <c r="A556" s="20"/>
      <c r="B556" s="21"/>
      <c r="C556" s="22"/>
    </row>
    <row r="557" spans="1:3" ht="18.75" customHeight="1">
      <c r="A557" s="20"/>
      <c r="B557" s="21"/>
      <c r="C557" s="22"/>
    </row>
    <row r="558" spans="1:3" ht="18.75" customHeight="1">
      <c r="A558" s="20"/>
      <c r="B558" s="21"/>
      <c r="C558" s="22"/>
    </row>
    <row r="559" spans="1:3" ht="18.75" customHeight="1">
      <c r="A559" s="20"/>
      <c r="B559" s="21"/>
      <c r="C559" s="22"/>
    </row>
    <row r="560" spans="1:3" ht="18.75" customHeight="1">
      <c r="A560" s="20"/>
      <c r="B560" s="21"/>
      <c r="C560" s="22"/>
    </row>
    <row r="561" spans="1:3" ht="18.75" customHeight="1">
      <c r="A561" s="20"/>
      <c r="B561" s="21"/>
      <c r="C561" s="22"/>
    </row>
    <row r="562" spans="1:3" ht="18.75" customHeight="1">
      <c r="A562" s="20"/>
      <c r="B562" s="21"/>
      <c r="C562" s="22"/>
    </row>
    <row r="563" spans="1:3" ht="18.75" customHeight="1">
      <c r="A563" s="20"/>
      <c r="B563" s="21"/>
      <c r="C563" s="22"/>
    </row>
    <row r="564" spans="1:3" ht="18.75" customHeight="1">
      <c r="A564" s="20"/>
      <c r="B564" s="21"/>
      <c r="C564" s="22"/>
    </row>
    <row r="565" spans="1:3" ht="18.75" customHeight="1">
      <c r="A565" s="20"/>
      <c r="B565" s="21"/>
      <c r="C565" s="22"/>
    </row>
    <row r="566" spans="1:3" ht="18.75" customHeight="1">
      <c r="A566" s="20"/>
      <c r="B566" s="21"/>
      <c r="C566" s="22"/>
    </row>
    <row r="567" spans="1:3" ht="18.75" customHeight="1">
      <c r="A567" s="20"/>
      <c r="B567" s="21"/>
      <c r="C567" s="22"/>
    </row>
    <row r="568" spans="1:3" ht="18.75" customHeight="1">
      <c r="A568" s="20"/>
      <c r="B568" s="21"/>
      <c r="C568" s="22"/>
    </row>
    <row r="569" spans="1:3" ht="18.75" customHeight="1">
      <c r="A569" s="20"/>
      <c r="B569" s="21"/>
      <c r="C569" s="22"/>
    </row>
    <row r="570" spans="1:3" ht="18.75" customHeight="1">
      <c r="A570" s="20"/>
      <c r="B570" s="21"/>
      <c r="C570" s="22"/>
    </row>
    <row r="571" spans="1:3" ht="18.75" customHeight="1">
      <c r="A571" s="20"/>
      <c r="B571" s="21"/>
      <c r="C571" s="22"/>
    </row>
    <row r="572" spans="1:3" ht="18.75" customHeight="1">
      <c r="A572" s="20"/>
      <c r="B572" s="21"/>
      <c r="C572" s="22"/>
    </row>
    <row r="573" spans="1:3" ht="18.75" customHeight="1">
      <c r="A573" s="20"/>
      <c r="B573" s="21"/>
      <c r="C573" s="22"/>
    </row>
    <row r="574" spans="1:3" ht="18.75" customHeight="1">
      <c r="A574" s="20"/>
      <c r="B574" s="21"/>
      <c r="C574" s="22"/>
    </row>
    <row r="575" spans="1:3" ht="18.75" customHeight="1">
      <c r="A575" s="20"/>
      <c r="B575" s="21"/>
      <c r="C575" s="22"/>
    </row>
    <row r="576" spans="1:3" ht="18.75" customHeight="1">
      <c r="A576" s="20"/>
      <c r="B576" s="21"/>
      <c r="C576" s="22"/>
    </row>
    <row r="577" spans="1:3" ht="18.75" customHeight="1">
      <c r="A577" s="20"/>
      <c r="B577" s="21"/>
      <c r="C577" s="22"/>
    </row>
    <row r="578" spans="1:3" ht="18.75" customHeight="1">
      <c r="A578" s="20"/>
      <c r="B578" s="21"/>
      <c r="C578" s="22"/>
    </row>
    <row r="579" spans="1:3" ht="18.75" customHeight="1">
      <c r="A579" s="20"/>
      <c r="B579" s="21"/>
      <c r="C579" s="22"/>
    </row>
    <row r="580" spans="1:3" ht="18.75" customHeight="1">
      <c r="A580" s="20"/>
      <c r="B580" s="21"/>
      <c r="C580" s="22"/>
    </row>
    <row r="581" spans="1:3" ht="18.75" customHeight="1">
      <c r="A581" s="20"/>
      <c r="B581" s="21"/>
      <c r="C581" s="22"/>
    </row>
    <row r="582" spans="1:3" ht="18.75" customHeight="1">
      <c r="A582" s="20"/>
      <c r="B582" s="21"/>
      <c r="C582" s="22"/>
    </row>
    <row r="583" spans="1:3" ht="18.75" customHeight="1">
      <c r="A583" s="20"/>
      <c r="B583" s="21"/>
      <c r="C583" s="22"/>
    </row>
    <row r="584" spans="1:3" ht="18.75" customHeight="1">
      <c r="A584" s="20"/>
      <c r="B584" s="21"/>
      <c r="C584" s="22"/>
    </row>
    <row r="585" spans="1:3" ht="18.75" customHeight="1">
      <c r="A585" s="20"/>
      <c r="B585" s="21"/>
      <c r="C585" s="22"/>
    </row>
    <row r="586" spans="1:3" ht="18.75" customHeight="1">
      <c r="A586" s="20"/>
      <c r="B586" s="21"/>
      <c r="C586" s="22"/>
    </row>
    <row r="587" spans="1:3" ht="18.75" customHeight="1">
      <c r="A587" s="20"/>
      <c r="B587" s="21"/>
      <c r="C587" s="22"/>
    </row>
    <row r="588" spans="1:3" ht="18.75" customHeight="1">
      <c r="A588" s="20"/>
      <c r="B588" s="21"/>
      <c r="C588" s="22"/>
    </row>
    <row r="589" spans="1:3" ht="18.75" customHeight="1">
      <c r="A589" s="20"/>
      <c r="B589" s="21"/>
      <c r="C589" s="22"/>
    </row>
    <row r="590" spans="1:3" ht="18.75" customHeight="1">
      <c r="A590" s="20"/>
      <c r="B590" s="21"/>
      <c r="C590" s="22"/>
    </row>
    <row r="591" spans="1:3" ht="18.75" customHeight="1">
      <c r="A591" s="20"/>
      <c r="B591" s="21"/>
      <c r="C591" s="22"/>
    </row>
    <row r="592" spans="1:3" ht="18.75" customHeight="1">
      <c r="A592" s="20"/>
      <c r="B592" s="21"/>
      <c r="C592" s="22"/>
    </row>
    <row r="593" spans="1:3" ht="18.75" customHeight="1">
      <c r="A593" s="20"/>
      <c r="B593" s="21"/>
      <c r="C593" s="22"/>
    </row>
    <row r="594" spans="1:3" ht="18.75" customHeight="1">
      <c r="A594" s="20"/>
      <c r="B594" s="21"/>
      <c r="C594" s="22"/>
    </row>
    <row r="595" spans="1:3" ht="18.75" customHeight="1">
      <c r="A595" s="20"/>
      <c r="B595" s="21"/>
      <c r="C595" s="22"/>
    </row>
    <row r="596" spans="1:3" ht="18.75" customHeight="1">
      <c r="A596" s="20"/>
      <c r="B596" s="21"/>
      <c r="C596" s="22"/>
    </row>
    <row r="597" spans="1:3" ht="18.75" customHeight="1">
      <c r="A597" s="20"/>
      <c r="B597" s="21"/>
      <c r="C597" s="22"/>
    </row>
    <row r="598" spans="1:3" ht="18.75" customHeight="1">
      <c r="A598" s="20"/>
      <c r="B598" s="21"/>
      <c r="C598" s="22"/>
    </row>
    <row r="599" spans="1:3" ht="18.75" customHeight="1">
      <c r="A599" s="20"/>
      <c r="B599" s="21"/>
      <c r="C599" s="22"/>
    </row>
    <row r="600" spans="1:3" ht="18.75" customHeight="1">
      <c r="A600" s="20"/>
      <c r="B600" s="21"/>
      <c r="C600" s="22"/>
    </row>
    <row r="601" spans="1:3" ht="18.75" customHeight="1">
      <c r="A601" s="20"/>
      <c r="B601" s="21"/>
      <c r="C601" s="22"/>
    </row>
    <row r="602" spans="1:3" ht="18.75" customHeight="1">
      <c r="A602" s="20"/>
      <c r="B602" s="21"/>
      <c r="C602" s="22"/>
    </row>
    <row r="603" spans="1:3" ht="18.75" customHeight="1">
      <c r="A603" s="20"/>
      <c r="B603" s="21"/>
      <c r="C603" s="22"/>
    </row>
    <row r="604" spans="1:3" ht="18.75" customHeight="1">
      <c r="A604" s="20"/>
      <c r="B604" s="21"/>
      <c r="C604" s="22"/>
    </row>
    <row r="605" spans="1:3" ht="18.75" customHeight="1">
      <c r="A605" s="20"/>
      <c r="B605" s="21"/>
      <c r="C605" s="22"/>
    </row>
    <row r="606" spans="1:3" ht="18.75" customHeight="1">
      <c r="A606" s="20"/>
      <c r="B606" s="21"/>
      <c r="C606" s="22"/>
    </row>
    <row r="607" spans="1:3" ht="18.75" customHeight="1">
      <c r="A607" s="20"/>
      <c r="B607" s="21"/>
      <c r="C607" s="22"/>
    </row>
    <row r="608" spans="1:3" ht="18.75" customHeight="1">
      <c r="A608" s="20"/>
      <c r="B608" s="21"/>
      <c r="C608" s="22"/>
    </row>
    <row r="609" spans="1:3" ht="18.75" customHeight="1">
      <c r="A609" s="20"/>
      <c r="B609" s="21"/>
      <c r="C609" s="22"/>
    </row>
    <row r="610" spans="1:3" ht="18.75" customHeight="1">
      <c r="A610" s="20"/>
      <c r="B610" s="21"/>
      <c r="C610" s="22"/>
    </row>
    <row r="611" spans="1:3" ht="18.75" customHeight="1">
      <c r="A611" s="20"/>
      <c r="B611" s="21"/>
      <c r="C611" s="22"/>
    </row>
    <row r="612" spans="1:3" ht="18.75" customHeight="1">
      <c r="A612" s="20"/>
      <c r="B612" s="21"/>
      <c r="C612" s="22"/>
    </row>
    <row r="613" spans="1:3" ht="18.75" customHeight="1">
      <c r="A613" s="20"/>
      <c r="B613" s="21"/>
      <c r="C613" s="22"/>
    </row>
    <row r="614" spans="1:3" ht="18.75" customHeight="1">
      <c r="A614" s="20"/>
      <c r="B614" s="21"/>
      <c r="C614" s="22"/>
    </row>
    <row r="615" spans="1:3" ht="18.75" customHeight="1">
      <c r="A615" s="20"/>
      <c r="B615" s="21"/>
      <c r="C615" s="22"/>
    </row>
    <row r="616" spans="1:3" ht="18.75" customHeight="1">
      <c r="A616" s="20"/>
      <c r="B616" s="21"/>
      <c r="C616" s="22"/>
    </row>
    <row r="617" spans="1:3" ht="18.75" customHeight="1">
      <c r="A617" s="20"/>
      <c r="B617" s="21"/>
      <c r="C617" s="22"/>
    </row>
    <row r="618" spans="1:3" ht="18.75" customHeight="1">
      <c r="A618" s="20"/>
      <c r="B618" s="21"/>
      <c r="C618" s="22"/>
    </row>
    <row r="619" spans="1:3" ht="18.75" customHeight="1">
      <c r="A619" s="20"/>
      <c r="B619" s="21"/>
      <c r="C619" s="22"/>
    </row>
    <row r="620" spans="1:3" ht="18.75" customHeight="1">
      <c r="A620" s="20"/>
      <c r="B620" s="21"/>
      <c r="C620" s="22"/>
    </row>
    <row r="621" spans="1:3" ht="18.75" customHeight="1">
      <c r="A621" s="20"/>
      <c r="B621" s="21"/>
      <c r="C621" s="22"/>
    </row>
    <row r="622" spans="1:3" ht="18.75" customHeight="1">
      <c r="A622" s="20"/>
      <c r="B622" s="21"/>
      <c r="C622" s="22"/>
    </row>
    <row r="623" spans="1:3" ht="18.75" customHeight="1">
      <c r="A623" s="20"/>
      <c r="B623" s="21"/>
      <c r="C623" s="22"/>
    </row>
    <row r="624" spans="1:3" ht="18.75" customHeight="1">
      <c r="A624" s="20"/>
      <c r="B624" s="21"/>
      <c r="C624" s="22"/>
    </row>
    <row r="625" spans="1:3" ht="18.75" customHeight="1">
      <c r="A625" s="20"/>
      <c r="B625" s="21"/>
      <c r="C625" s="22"/>
    </row>
    <row r="626" spans="1:3" ht="18.75" customHeight="1">
      <c r="A626" s="20"/>
      <c r="B626" s="21"/>
      <c r="C626" s="22"/>
    </row>
    <row r="627" spans="1:3" ht="18.75" customHeight="1">
      <c r="A627" s="20"/>
      <c r="B627" s="21"/>
      <c r="C627" s="22"/>
    </row>
    <row r="628" spans="1:3" ht="18.75" customHeight="1">
      <c r="A628" s="20"/>
      <c r="B628" s="21"/>
      <c r="C628" s="22"/>
    </row>
    <row r="629" spans="1:3" ht="18.75" customHeight="1">
      <c r="A629" s="20"/>
      <c r="B629" s="21"/>
      <c r="C629" s="22"/>
    </row>
    <row r="630" spans="1:3" ht="18.75" customHeight="1">
      <c r="A630" s="20"/>
      <c r="B630" s="21"/>
      <c r="C630" s="22"/>
    </row>
    <row r="631" spans="1:3" ht="18.75" customHeight="1">
      <c r="A631" s="20"/>
      <c r="B631" s="21"/>
      <c r="C631" s="22"/>
    </row>
    <row r="632" spans="1:3" ht="18.75" customHeight="1">
      <c r="A632" s="20"/>
      <c r="B632" s="21"/>
      <c r="C632" s="22"/>
    </row>
    <row r="633" spans="1:3" ht="18.75" customHeight="1">
      <c r="A633" s="20"/>
      <c r="B633" s="21"/>
      <c r="C633" s="22"/>
    </row>
    <row r="634" spans="1:3" ht="18.75" customHeight="1">
      <c r="A634" s="20"/>
      <c r="B634" s="21"/>
      <c r="C634" s="22"/>
    </row>
    <row r="635" spans="1:3" ht="18.75" customHeight="1">
      <c r="A635" s="20"/>
      <c r="B635" s="21"/>
      <c r="C635" s="22"/>
    </row>
    <row r="636" spans="1:3" ht="18.75" customHeight="1">
      <c r="A636" s="20"/>
      <c r="B636" s="21"/>
      <c r="C636" s="22"/>
    </row>
    <row r="637" spans="1:3" ht="18.75" customHeight="1">
      <c r="A637" s="20"/>
      <c r="B637" s="21"/>
      <c r="C637" s="22"/>
    </row>
    <row r="638" spans="1:3" ht="18.75" customHeight="1">
      <c r="A638" s="20"/>
      <c r="B638" s="21"/>
      <c r="C638" s="22"/>
    </row>
    <row r="639" spans="1:3" ht="18.75" customHeight="1">
      <c r="A639" s="20"/>
      <c r="B639" s="21"/>
      <c r="C639" s="22"/>
    </row>
    <row r="640" spans="1:3" ht="18.75" customHeight="1">
      <c r="A640" s="20"/>
      <c r="B640" s="21"/>
      <c r="C640" s="22"/>
    </row>
    <row r="641" spans="1:3" ht="18.75" customHeight="1">
      <c r="A641" s="20"/>
      <c r="B641" s="21"/>
      <c r="C641" s="22"/>
    </row>
    <row r="642" spans="1:3" ht="18.75" customHeight="1">
      <c r="A642" s="20"/>
      <c r="B642" s="21"/>
      <c r="C642" s="22"/>
    </row>
    <row r="643" spans="1:3" ht="18.75" customHeight="1">
      <c r="A643" s="20"/>
      <c r="B643" s="21"/>
      <c r="C643" s="22"/>
    </row>
    <row r="644" spans="1:3" ht="18.75" customHeight="1">
      <c r="A644" s="20"/>
      <c r="B644" s="21"/>
      <c r="C644" s="22"/>
    </row>
    <row r="645" spans="1:3" ht="18.75" customHeight="1">
      <c r="A645" s="20"/>
      <c r="B645" s="21"/>
      <c r="C645" s="22"/>
    </row>
    <row r="646" spans="1:3" ht="18.75" customHeight="1">
      <c r="A646" s="20"/>
      <c r="B646" s="21"/>
      <c r="C646" s="22"/>
    </row>
    <row r="647" spans="1:3" ht="18.75" customHeight="1">
      <c r="A647" s="20"/>
      <c r="B647" s="21"/>
      <c r="C647" s="22"/>
    </row>
    <row r="648" spans="1:3" ht="18.75" customHeight="1">
      <c r="A648" s="20"/>
      <c r="B648" s="21"/>
      <c r="C648" s="22"/>
    </row>
    <row r="649" spans="1:3" ht="18.75" customHeight="1">
      <c r="A649" s="20"/>
      <c r="B649" s="21"/>
      <c r="C649" s="22"/>
    </row>
    <row r="650" spans="1:3" ht="18.75" customHeight="1">
      <c r="A650" s="20"/>
      <c r="B650" s="21"/>
      <c r="C650" s="22"/>
    </row>
    <row r="651" spans="1:3" ht="18.75" customHeight="1">
      <c r="A651" s="20"/>
      <c r="B651" s="21"/>
      <c r="C651" s="22"/>
    </row>
    <row r="652" spans="1:3" ht="18.75" customHeight="1">
      <c r="A652" s="20"/>
      <c r="B652" s="21"/>
      <c r="C652" s="22"/>
    </row>
    <row r="653" spans="1:3" ht="18.75" customHeight="1">
      <c r="A653" s="20"/>
      <c r="B653" s="21"/>
      <c r="C653" s="22"/>
    </row>
    <row r="654" spans="1:3" ht="18.75" customHeight="1">
      <c r="A654" s="20"/>
      <c r="B654" s="21"/>
      <c r="C654" s="22"/>
    </row>
    <row r="655" spans="1:3" ht="18.75" customHeight="1">
      <c r="A655" s="20"/>
      <c r="B655" s="21"/>
      <c r="C655" s="22"/>
    </row>
    <row r="656" spans="1:3" ht="18.75" customHeight="1">
      <c r="A656" s="20"/>
      <c r="B656" s="21"/>
      <c r="C656" s="22"/>
    </row>
    <row r="657" spans="1:3" ht="18.75" customHeight="1">
      <c r="A657" s="20"/>
      <c r="B657" s="21"/>
      <c r="C657" s="22"/>
    </row>
    <row r="658" spans="1:3" ht="18.75" customHeight="1">
      <c r="A658" s="20"/>
      <c r="B658" s="21"/>
      <c r="C658" s="22"/>
    </row>
    <row r="659" spans="1:3" ht="18.75" customHeight="1">
      <c r="A659" s="20"/>
      <c r="B659" s="21"/>
      <c r="C659" s="22"/>
    </row>
    <row r="660" spans="1:3" ht="18.75" customHeight="1">
      <c r="A660" s="20"/>
      <c r="B660" s="21"/>
      <c r="C660" s="22"/>
    </row>
    <row r="661" spans="1:3" ht="18.75" customHeight="1">
      <c r="A661" s="20"/>
      <c r="B661" s="21"/>
      <c r="C661" s="22"/>
    </row>
    <row r="662" spans="1:3" ht="18.75" customHeight="1">
      <c r="A662" s="20"/>
      <c r="B662" s="21"/>
      <c r="C662" s="22"/>
    </row>
    <row r="663" spans="1:3" ht="18.75" customHeight="1">
      <c r="A663" s="20"/>
      <c r="B663" s="21"/>
      <c r="C663" s="22"/>
    </row>
    <row r="664" spans="1:3" ht="18.75" customHeight="1">
      <c r="A664" s="20"/>
      <c r="B664" s="21"/>
      <c r="C664" s="22"/>
    </row>
    <row r="665" spans="1:3" ht="18.75" customHeight="1">
      <c r="A665" s="20"/>
      <c r="B665" s="21"/>
      <c r="C665" s="22"/>
    </row>
    <row r="666" spans="1:3" ht="18.75" customHeight="1">
      <c r="A666" s="20"/>
      <c r="B666" s="21"/>
      <c r="C666" s="22"/>
    </row>
    <row r="667" spans="1:3" ht="18.75" customHeight="1">
      <c r="A667" s="20"/>
      <c r="B667" s="21"/>
      <c r="C667" s="22"/>
    </row>
    <row r="668" spans="1:3" ht="18.75" customHeight="1">
      <c r="A668" s="20"/>
      <c r="B668" s="21"/>
      <c r="C668" s="22"/>
    </row>
    <row r="669" spans="1:3" ht="18.75" customHeight="1">
      <c r="A669" s="20"/>
      <c r="B669" s="21"/>
      <c r="C669" s="22"/>
    </row>
    <row r="670" spans="1:3" ht="18.75" customHeight="1">
      <c r="A670" s="20"/>
      <c r="B670" s="21"/>
      <c r="C670" s="22"/>
    </row>
    <row r="671" spans="1:3" ht="18.75" customHeight="1">
      <c r="A671" s="20"/>
      <c r="B671" s="21"/>
      <c r="C671" s="22"/>
    </row>
    <row r="672" spans="1:3" ht="18.75" customHeight="1">
      <c r="A672" s="20"/>
      <c r="B672" s="21"/>
      <c r="C672" s="22"/>
    </row>
    <row r="673" spans="1:3" ht="18.75" customHeight="1">
      <c r="A673" s="20"/>
      <c r="B673" s="21"/>
      <c r="C673" s="22"/>
    </row>
    <row r="674" spans="1:3" ht="18.75" customHeight="1">
      <c r="A674" s="20"/>
      <c r="B674" s="21"/>
      <c r="C674" s="22"/>
    </row>
    <row r="675" spans="1:3" ht="18.75" customHeight="1">
      <c r="A675" s="20"/>
      <c r="B675" s="21"/>
      <c r="C675" s="22"/>
    </row>
    <row r="676" spans="1:3" ht="18.75" customHeight="1">
      <c r="A676" s="20"/>
      <c r="B676" s="21"/>
      <c r="C676" s="22"/>
    </row>
    <row r="677" spans="1:3" ht="18.75" customHeight="1">
      <c r="A677" s="20"/>
      <c r="B677" s="21"/>
      <c r="C677" s="22"/>
    </row>
    <row r="678" spans="1:3" ht="18.75" customHeight="1">
      <c r="A678" s="20"/>
      <c r="B678" s="21"/>
      <c r="C678" s="22"/>
    </row>
    <row r="679" spans="1:3" ht="18.75" customHeight="1">
      <c r="A679" s="20"/>
      <c r="B679" s="21"/>
      <c r="C679" s="22"/>
    </row>
    <row r="680" spans="1:3" ht="18.75" customHeight="1">
      <c r="A680" s="20"/>
      <c r="B680" s="21"/>
      <c r="C680" s="22"/>
    </row>
    <row r="681" spans="1:3" ht="18.75" customHeight="1">
      <c r="A681" s="20"/>
      <c r="B681" s="21"/>
      <c r="C681" s="22"/>
    </row>
    <row r="682" spans="1:3" ht="18.75" customHeight="1">
      <c r="A682" s="20"/>
      <c r="B682" s="21"/>
      <c r="C682" s="22"/>
    </row>
    <row r="683" spans="1:3" ht="18.75" customHeight="1">
      <c r="A683" s="20"/>
      <c r="B683" s="21"/>
      <c r="C683" s="22"/>
    </row>
    <row r="684" spans="1:3" ht="18.75" customHeight="1">
      <c r="A684" s="20"/>
      <c r="B684" s="21"/>
      <c r="C684" s="22"/>
    </row>
    <row r="685" spans="1:3" ht="18.75" customHeight="1">
      <c r="A685" s="20"/>
      <c r="B685" s="21"/>
      <c r="C685" s="22"/>
    </row>
    <row r="686" spans="1:3" ht="18.75" customHeight="1">
      <c r="A686" s="20"/>
      <c r="B686" s="21"/>
      <c r="C686" s="22"/>
    </row>
    <row r="687" spans="1:3" ht="18.75" customHeight="1">
      <c r="A687" s="20"/>
      <c r="B687" s="21"/>
      <c r="C687" s="22"/>
    </row>
    <row r="688" spans="1:3" ht="18.75" customHeight="1">
      <c r="A688" s="20"/>
      <c r="B688" s="21"/>
      <c r="C688" s="22"/>
    </row>
    <row r="689" spans="1:3" ht="18.75" customHeight="1">
      <c r="A689" s="20"/>
      <c r="B689" s="21"/>
      <c r="C689" s="22"/>
    </row>
    <row r="690" spans="1:3" ht="18.75" customHeight="1">
      <c r="A690" s="20"/>
      <c r="B690" s="21"/>
      <c r="C690" s="22"/>
    </row>
    <row r="691" spans="1:3" ht="18.75" customHeight="1">
      <c r="A691" s="20"/>
      <c r="B691" s="21"/>
      <c r="C691" s="22"/>
    </row>
    <row r="692" spans="1:3" ht="18.75" customHeight="1">
      <c r="A692" s="20"/>
      <c r="B692" s="21"/>
      <c r="C692" s="22"/>
    </row>
    <row r="693" spans="1:3" ht="18.75" customHeight="1">
      <c r="A693" s="20"/>
      <c r="B693" s="21"/>
      <c r="C693" s="22"/>
    </row>
    <row r="694" spans="1:3" ht="18.75" customHeight="1">
      <c r="A694" s="20"/>
      <c r="B694" s="21"/>
      <c r="C694" s="22"/>
    </row>
    <row r="695" spans="1:3" ht="18.75" customHeight="1">
      <c r="A695" s="20"/>
      <c r="B695" s="21"/>
      <c r="C695" s="22"/>
    </row>
    <row r="696" spans="1:3" ht="18.75" customHeight="1">
      <c r="A696" s="20"/>
      <c r="B696" s="21"/>
      <c r="C696" s="22"/>
    </row>
    <row r="697" spans="1:3" ht="18.75" customHeight="1">
      <c r="A697" s="20"/>
      <c r="B697" s="21"/>
      <c r="C697" s="22"/>
    </row>
    <row r="698" spans="1:3" ht="18.75" customHeight="1">
      <c r="A698" s="20"/>
      <c r="B698" s="21"/>
      <c r="C698" s="22"/>
    </row>
    <row r="699" spans="1:3" ht="18.75" customHeight="1">
      <c r="A699" s="20"/>
      <c r="B699" s="21"/>
      <c r="C699" s="22"/>
    </row>
    <row r="700" spans="1:3" ht="18.75" customHeight="1">
      <c r="A700" s="20"/>
      <c r="B700" s="21"/>
      <c r="C700" s="22"/>
    </row>
    <row r="701" spans="1:3" ht="18.75" customHeight="1">
      <c r="A701" s="20"/>
      <c r="B701" s="21"/>
      <c r="C701" s="22"/>
    </row>
    <row r="702" spans="1:3" ht="18.75" customHeight="1">
      <c r="A702" s="20"/>
      <c r="B702" s="21"/>
      <c r="C702" s="22"/>
    </row>
    <row r="703" spans="1:3" ht="18.75" customHeight="1">
      <c r="A703" s="20"/>
      <c r="B703" s="21"/>
      <c r="C703" s="22"/>
    </row>
    <row r="704" spans="1:3" ht="18.75" customHeight="1">
      <c r="A704" s="20"/>
      <c r="B704" s="21"/>
      <c r="C704" s="22"/>
    </row>
    <row r="705" spans="1:3" ht="18.75" customHeight="1">
      <c r="A705" s="20"/>
      <c r="B705" s="21"/>
      <c r="C705" s="22"/>
    </row>
    <row r="706" spans="1:3" ht="18.75" customHeight="1">
      <c r="A706" s="20"/>
      <c r="B706" s="21"/>
      <c r="C706" s="22"/>
    </row>
    <row r="707" spans="1:3" ht="18.75" customHeight="1">
      <c r="A707" s="20"/>
      <c r="B707" s="21"/>
      <c r="C707" s="22"/>
    </row>
    <row r="708" spans="1:3" ht="18.75" customHeight="1">
      <c r="A708" s="20"/>
      <c r="B708" s="21"/>
      <c r="C708" s="22"/>
    </row>
    <row r="709" spans="1:3" ht="18.75" customHeight="1">
      <c r="A709" s="20"/>
      <c r="B709" s="21"/>
      <c r="C709" s="22"/>
    </row>
    <row r="710" spans="1:3" ht="18.75" customHeight="1">
      <c r="A710" s="20"/>
      <c r="B710" s="21"/>
      <c r="C710" s="22"/>
    </row>
    <row r="711" spans="1:3" ht="18.75" customHeight="1">
      <c r="A711" s="20"/>
      <c r="B711" s="21"/>
      <c r="C711" s="22"/>
    </row>
    <row r="712" spans="1:3" ht="18.75" customHeight="1">
      <c r="A712" s="20"/>
      <c r="B712" s="21"/>
      <c r="C712" s="22"/>
    </row>
    <row r="713" spans="1:3" ht="18.75" customHeight="1">
      <c r="A713" s="20"/>
      <c r="B713" s="21"/>
      <c r="C713" s="22"/>
    </row>
    <row r="714" spans="1:3" ht="18.75" customHeight="1">
      <c r="A714" s="20"/>
      <c r="B714" s="21"/>
      <c r="C714" s="22"/>
    </row>
    <row r="715" spans="1:3" ht="18.75" customHeight="1">
      <c r="A715" s="20"/>
      <c r="B715" s="21"/>
      <c r="C715" s="22"/>
    </row>
    <row r="716" spans="1:3" ht="18.75" customHeight="1">
      <c r="A716" s="20"/>
      <c r="B716" s="21"/>
      <c r="C716" s="22"/>
    </row>
    <row r="717" spans="1:3" ht="18.75" customHeight="1">
      <c r="A717" s="20"/>
      <c r="B717" s="21"/>
      <c r="C717" s="22"/>
    </row>
    <row r="718" spans="1:3" ht="18.75" customHeight="1">
      <c r="A718" s="20"/>
      <c r="B718" s="21"/>
      <c r="C718" s="22"/>
    </row>
    <row r="719" spans="1:3" ht="18.75" customHeight="1">
      <c r="A719" s="20"/>
      <c r="B719" s="21"/>
      <c r="C719" s="22"/>
    </row>
    <row r="720" spans="1:3" ht="18.75" customHeight="1">
      <c r="A720" s="20"/>
      <c r="B720" s="21"/>
      <c r="C720" s="22"/>
    </row>
    <row r="721" spans="1:3" ht="18.75" customHeight="1">
      <c r="A721" s="20"/>
      <c r="B721" s="21"/>
      <c r="C721" s="22"/>
    </row>
    <row r="722" spans="1:3" ht="18.75" customHeight="1">
      <c r="A722" s="20"/>
      <c r="B722" s="21"/>
      <c r="C722" s="22"/>
    </row>
    <row r="723" spans="1:3" ht="18.75" customHeight="1">
      <c r="A723" s="20"/>
      <c r="B723" s="21"/>
      <c r="C723" s="22"/>
    </row>
    <row r="724" spans="1:3" ht="18.75" customHeight="1">
      <c r="A724" s="20"/>
      <c r="B724" s="21"/>
      <c r="C724" s="22"/>
    </row>
    <row r="725" spans="1:3" ht="18.75" customHeight="1">
      <c r="A725" s="20"/>
      <c r="B725" s="21"/>
      <c r="C725" s="22"/>
    </row>
    <row r="726" spans="1:3" ht="18.75" customHeight="1">
      <c r="A726" s="20"/>
      <c r="B726" s="21"/>
      <c r="C726" s="22"/>
    </row>
    <row r="727" spans="1:3" ht="18.75" customHeight="1">
      <c r="A727" s="20"/>
      <c r="B727" s="21"/>
      <c r="C727" s="22"/>
    </row>
    <row r="728" spans="1:3" ht="18.75" customHeight="1">
      <c r="A728" s="20"/>
      <c r="B728" s="21"/>
      <c r="C728" s="22"/>
    </row>
    <row r="729" spans="1:3" ht="18.75" customHeight="1">
      <c r="A729" s="20"/>
      <c r="B729" s="21"/>
      <c r="C729" s="22"/>
    </row>
    <row r="730" spans="1:3" ht="18.75" customHeight="1">
      <c r="A730" s="20"/>
      <c r="B730" s="21"/>
      <c r="C730" s="22"/>
    </row>
    <row r="731" spans="1:3" ht="18.75" customHeight="1">
      <c r="A731" s="20"/>
      <c r="B731" s="21"/>
      <c r="C731" s="22"/>
    </row>
    <row r="732" spans="1:3" ht="18.75" customHeight="1">
      <c r="A732" s="20"/>
      <c r="B732" s="21"/>
      <c r="C732" s="22"/>
    </row>
    <row r="733" spans="1:3" ht="18.75" customHeight="1">
      <c r="A733" s="20"/>
      <c r="B733" s="21"/>
      <c r="C733" s="22"/>
    </row>
    <row r="734" spans="1:3" ht="18.75" customHeight="1">
      <c r="A734" s="20"/>
      <c r="B734" s="21"/>
      <c r="C734" s="22"/>
    </row>
    <row r="735" spans="1:3" ht="18.75" customHeight="1">
      <c r="A735" s="20"/>
      <c r="B735" s="21"/>
      <c r="C735" s="22"/>
    </row>
    <row r="736" spans="1:3" ht="18.75" customHeight="1">
      <c r="A736" s="20"/>
      <c r="B736" s="21"/>
      <c r="C736" s="22"/>
    </row>
    <row r="737" spans="1:3" ht="18.75" customHeight="1">
      <c r="A737" s="20"/>
      <c r="B737" s="21"/>
      <c r="C737" s="22"/>
    </row>
    <row r="738" spans="1:3" ht="18.75" customHeight="1">
      <c r="A738" s="20"/>
      <c r="B738" s="21"/>
      <c r="C738" s="22"/>
    </row>
    <row r="739" spans="1:3" ht="18.75" customHeight="1">
      <c r="A739" s="20"/>
      <c r="B739" s="21"/>
      <c r="C739" s="22"/>
    </row>
    <row r="740" spans="1:3" ht="18.75" customHeight="1">
      <c r="A740" s="20"/>
      <c r="B740" s="21"/>
      <c r="C740" s="22"/>
    </row>
    <row r="741" spans="1:3" ht="18.75" customHeight="1">
      <c r="A741" s="20"/>
      <c r="B741" s="21"/>
      <c r="C741" s="22"/>
    </row>
    <row r="742" spans="1:3" ht="18.75" customHeight="1">
      <c r="A742" s="20"/>
      <c r="B742" s="21"/>
      <c r="C742" s="22"/>
    </row>
    <row r="743" spans="1:3" ht="18.75" customHeight="1">
      <c r="A743" s="20"/>
      <c r="B743" s="21"/>
      <c r="C743" s="22"/>
    </row>
    <row r="744" spans="1:3" ht="18.75" customHeight="1">
      <c r="A744" s="20"/>
      <c r="B744" s="21"/>
      <c r="C744" s="22"/>
    </row>
    <row r="745" spans="1:3" ht="18.75" customHeight="1">
      <c r="A745" s="20"/>
      <c r="B745" s="21"/>
      <c r="C745" s="22"/>
    </row>
    <row r="746" spans="1:3" ht="18.75" customHeight="1">
      <c r="A746" s="20"/>
      <c r="B746" s="21"/>
      <c r="C746" s="22"/>
    </row>
    <row r="747" spans="1:3" ht="18.75" customHeight="1">
      <c r="A747" s="20"/>
      <c r="B747" s="21"/>
      <c r="C747" s="22"/>
    </row>
    <row r="748" spans="1:3" ht="18.75" customHeight="1">
      <c r="A748" s="20"/>
      <c r="B748" s="21"/>
      <c r="C748" s="22"/>
    </row>
    <row r="749" spans="1:3" ht="18.75" customHeight="1">
      <c r="A749" s="20"/>
      <c r="B749" s="21"/>
      <c r="C749" s="22"/>
    </row>
    <row r="750" spans="1:3" ht="18.75" customHeight="1">
      <c r="A750" s="20"/>
      <c r="B750" s="21"/>
      <c r="C750" s="22"/>
    </row>
    <row r="751" spans="1:3" ht="18.75" customHeight="1">
      <c r="A751" s="20"/>
      <c r="B751" s="21"/>
      <c r="C751" s="22"/>
    </row>
    <row r="752" spans="1:3" ht="18.75" customHeight="1">
      <c r="A752" s="20"/>
      <c r="B752" s="21"/>
      <c r="C752" s="22"/>
    </row>
    <row r="753" spans="1:3" ht="18.75" customHeight="1">
      <c r="A753" s="20"/>
      <c r="B753" s="21"/>
      <c r="C753" s="22"/>
    </row>
    <row r="754" spans="1:3" ht="18.75" customHeight="1">
      <c r="A754" s="20"/>
      <c r="B754" s="21"/>
      <c r="C754" s="22"/>
    </row>
    <row r="755" spans="1:3" ht="18.75" customHeight="1">
      <c r="A755" s="20"/>
      <c r="B755" s="21"/>
      <c r="C755" s="22"/>
    </row>
    <row r="756" spans="1:3" ht="18.75" customHeight="1">
      <c r="A756" s="20"/>
      <c r="B756" s="21"/>
      <c r="C756" s="22"/>
    </row>
    <row r="757" spans="1:3" ht="18.75" customHeight="1">
      <c r="A757" s="20"/>
      <c r="B757" s="21"/>
      <c r="C757" s="22"/>
    </row>
    <row r="758" spans="1:3" ht="18.75" customHeight="1">
      <c r="A758" s="20"/>
      <c r="B758" s="21"/>
      <c r="C758" s="22"/>
    </row>
    <row r="759" spans="1:3" ht="18.75" customHeight="1">
      <c r="A759" s="20"/>
      <c r="B759" s="21"/>
      <c r="C759" s="22"/>
    </row>
    <row r="760" spans="1:3" ht="18.75" customHeight="1">
      <c r="A760" s="20"/>
      <c r="B760" s="21"/>
      <c r="C760" s="22"/>
    </row>
    <row r="761" spans="1:3" ht="18.75" customHeight="1">
      <c r="A761" s="20"/>
      <c r="B761" s="21"/>
      <c r="C761" s="22"/>
    </row>
    <row r="762" spans="1:3" ht="18.75" customHeight="1">
      <c r="A762" s="20"/>
      <c r="B762" s="21"/>
      <c r="C762" s="22"/>
    </row>
    <row r="763" spans="1:3" ht="18.75" customHeight="1">
      <c r="A763" s="20"/>
      <c r="B763" s="21"/>
      <c r="C763" s="22"/>
    </row>
    <row r="764" spans="1:3" ht="18.75" customHeight="1">
      <c r="A764" s="20"/>
      <c r="B764" s="21"/>
      <c r="C764" s="22"/>
    </row>
    <row r="765" spans="1:3" ht="18.75" customHeight="1">
      <c r="A765" s="20"/>
      <c r="B765" s="21"/>
      <c r="C765" s="22"/>
    </row>
    <row r="766" spans="1:3" ht="18.75" customHeight="1">
      <c r="A766" s="20"/>
      <c r="B766" s="21"/>
      <c r="C766" s="22"/>
    </row>
    <row r="767" spans="1:3" ht="18.75" customHeight="1">
      <c r="A767" s="20"/>
      <c r="B767" s="21"/>
      <c r="C767" s="22"/>
    </row>
    <row r="768" spans="1:3" ht="18.75" customHeight="1">
      <c r="A768" s="20"/>
      <c r="B768" s="21"/>
      <c r="C768" s="22"/>
    </row>
    <row r="769" spans="1:3" ht="18.75" customHeight="1">
      <c r="A769" s="20"/>
      <c r="B769" s="21"/>
      <c r="C769" s="22"/>
    </row>
    <row r="770" spans="1:3" ht="18.75" customHeight="1">
      <c r="A770" s="20"/>
      <c r="B770" s="21"/>
      <c r="C770" s="22"/>
    </row>
    <row r="771" spans="1:3" ht="18.75" customHeight="1">
      <c r="A771" s="20"/>
      <c r="B771" s="21"/>
      <c r="C771" s="22"/>
    </row>
    <row r="772" spans="1:3" ht="18.75" customHeight="1">
      <c r="A772" s="20"/>
      <c r="B772" s="21"/>
      <c r="C772" s="22"/>
    </row>
    <row r="773" spans="1:3" ht="18.75" customHeight="1">
      <c r="A773" s="20"/>
      <c r="B773" s="21"/>
      <c r="C773" s="22"/>
    </row>
    <row r="774" spans="1:3" ht="18.75" customHeight="1">
      <c r="A774" s="20"/>
      <c r="B774" s="21"/>
      <c r="C774" s="22"/>
    </row>
    <row r="775" spans="1:3" ht="18.75" customHeight="1">
      <c r="A775" s="20"/>
      <c r="B775" s="21"/>
      <c r="C775" s="22"/>
    </row>
    <row r="776" spans="1:3" ht="18.75" customHeight="1">
      <c r="A776" s="20"/>
      <c r="B776" s="21"/>
      <c r="C776" s="22"/>
    </row>
    <row r="777" spans="1:3" ht="18.75" customHeight="1">
      <c r="A777" s="20"/>
      <c r="B777" s="21"/>
      <c r="C777" s="22"/>
    </row>
    <row r="778" spans="1:3" ht="18.75" customHeight="1">
      <c r="A778" s="20"/>
      <c r="B778" s="21"/>
      <c r="C778" s="22"/>
    </row>
    <row r="779" spans="1:3" ht="18.75" customHeight="1">
      <c r="A779" s="20"/>
      <c r="B779" s="21"/>
      <c r="C779" s="22"/>
    </row>
    <row r="780" spans="1:3" ht="18.75" customHeight="1">
      <c r="A780" s="20"/>
      <c r="B780" s="21"/>
      <c r="C780" s="22"/>
    </row>
    <row r="781" spans="1:3" ht="18.75" customHeight="1">
      <c r="A781" s="20"/>
      <c r="B781" s="21"/>
      <c r="C781" s="22"/>
    </row>
    <row r="782" spans="1:3" ht="18.75" customHeight="1">
      <c r="A782" s="20"/>
      <c r="B782" s="21"/>
      <c r="C782" s="22"/>
    </row>
    <row r="783" spans="1:3" ht="18.75" customHeight="1">
      <c r="A783" s="20"/>
      <c r="B783" s="21"/>
      <c r="C783" s="22"/>
    </row>
    <row r="784" spans="1:3" ht="18.75" customHeight="1">
      <c r="A784" s="20"/>
      <c r="B784" s="21"/>
      <c r="C784" s="22"/>
    </row>
    <row r="785" spans="1:3" ht="18.75" customHeight="1">
      <c r="A785" s="20"/>
      <c r="B785" s="21"/>
      <c r="C785" s="22"/>
    </row>
    <row r="786" spans="1:3" ht="18.75" customHeight="1">
      <c r="A786" s="20"/>
      <c r="B786" s="21"/>
      <c r="C786" s="22"/>
    </row>
    <row r="787" spans="1:3" ht="18.75" customHeight="1">
      <c r="A787" s="20"/>
      <c r="B787" s="21"/>
      <c r="C787" s="22"/>
    </row>
    <row r="788" spans="1:3" ht="18.75" customHeight="1">
      <c r="A788" s="20"/>
      <c r="B788" s="21"/>
      <c r="C788" s="22"/>
    </row>
    <row r="789" spans="1:3" ht="18.75" customHeight="1">
      <c r="A789" s="20"/>
      <c r="B789" s="21"/>
      <c r="C789" s="22"/>
    </row>
    <row r="790" spans="1:3" ht="18.75" customHeight="1">
      <c r="A790" s="20"/>
      <c r="B790" s="21"/>
      <c r="C790" s="22"/>
    </row>
    <row r="791" spans="1:3" ht="18.75" customHeight="1">
      <c r="A791" s="20"/>
      <c r="B791" s="21"/>
      <c r="C791" s="22"/>
    </row>
    <row r="792" spans="1:3" ht="18.75" customHeight="1">
      <c r="A792" s="20"/>
      <c r="B792" s="21"/>
      <c r="C792" s="22"/>
    </row>
    <row r="793" spans="1:3" ht="18.75" customHeight="1">
      <c r="A793" s="20"/>
      <c r="B793" s="21"/>
      <c r="C793" s="22"/>
    </row>
    <row r="794" spans="1:3" ht="18.75" customHeight="1">
      <c r="A794" s="20"/>
      <c r="B794" s="21"/>
      <c r="C794" s="22"/>
    </row>
    <row r="795" spans="1:3" ht="18.75" customHeight="1">
      <c r="A795" s="20"/>
      <c r="B795" s="21"/>
      <c r="C795" s="22"/>
    </row>
    <row r="796" spans="1:3" ht="18.75" customHeight="1">
      <c r="A796" s="20"/>
      <c r="B796" s="21"/>
      <c r="C796" s="22"/>
    </row>
    <row r="797" spans="1:3" ht="18.75" customHeight="1">
      <c r="A797" s="20"/>
      <c r="B797" s="21"/>
      <c r="C797" s="22"/>
    </row>
    <row r="798" spans="1:3" ht="18.75" customHeight="1">
      <c r="A798" s="20"/>
      <c r="B798" s="21"/>
      <c r="C798" s="22"/>
    </row>
    <row r="799" spans="1:3" ht="18.75" customHeight="1">
      <c r="A799" s="20"/>
      <c r="B799" s="21"/>
      <c r="C799" s="22"/>
    </row>
    <row r="800" spans="1:3" ht="18.75" customHeight="1">
      <c r="A800" s="20"/>
      <c r="B800" s="21"/>
      <c r="C800" s="22"/>
    </row>
    <row r="801" spans="1:3" ht="18.75" customHeight="1">
      <c r="A801" s="20"/>
      <c r="B801" s="21"/>
      <c r="C801" s="22"/>
    </row>
    <row r="802" spans="1:3" ht="18.75" customHeight="1">
      <c r="A802" s="20"/>
      <c r="B802" s="21"/>
      <c r="C802" s="22"/>
    </row>
    <row r="803" spans="1:3" ht="18.75" customHeight="1">
      <c r="A803" s="20"/>
      <c r="B803" s="21"/>
      <c r="C803" s="22"/>
    </row>
    <row r="804" spans="1:3" ht="18.75" customHeight="1">
      <c r="A804" s="20"/>
      <c r="B804" s="21"/>
      <c r="C804" s="22"/>
    </row>
    <row r="805" spans="1:3" ht="18.75" customHeight="1">
      <c r="A805" s="20"/>
      <c r="B805" s="21"/>
      <c r="C805" s="22"/>
    </row>
    <row r="806" spans="1:3" ht="18.75" customHeight="1">
      <c r="A806" s="20"/>
      <c r="B806" s="21"/>
      <c r="C806" s="22"/>
    </row>
    <row r="807" spans="1:3" ht="18.75" customHeight="1">
      <c r="A807" s="20"/>
      <c r="B807" s="21"/>
      <c r="C807" s="22"/>
    </row>
    <row r="808" spans="1:3" ht="18.75" customHeight="1">
      <c r="A808" s="20"/>
      <c r="B808" s="21"/>
      <c r="C808" s="22"/>
    </row>
    <row r="809" spans="1:3" ht="18.75" customHeight="1">
      <c r="A809" s="20"/>
      <c r="B809" s="21"/>
      <c r="C809" s="22"/>
    </row>
    <row r="810" spans="1:3" ht="18.75" customHeight="1">
      <c r="A810" s="20"/>
      <c r="B810" s="21"/>
      <c r="C810" s="22"/>
    </row>
    <row r="811" spans="1:3" ht="18.75" customHeight="1">
      <c r="A811" s="20"/>
      <c r="B811" s="21"/>
      <c r="C811" s="22"/>
    </row>
    <row r="812" spans="1:3" ht="18.75" customHeight="1">
      <c r="A812" s="20"/>
      <c r="B812" s="21"/>
      <c r="C812" s="22"/>
    </row>
    <row r="813" spans="1:3" ht="18.75" customHeight="1">
      <c r="A813" s="20"/>
      <c r="B813" s="21"/>
      <c r="C813" s="22"/>
    </row>
    <row r="814" spans="1:3" ht="18.75" customHeight="1">
      <c r="A814" s="20"/>
      <c r="B814" s="21"/>
      <c r="C814" s="22"/>
    </row>
    <row r="815" spans="1:3" ht="18.75" customHeight="1">
      <c r="A815" s="20"/>
      <c r="B815" s="21"/>
      <c r="C815" s="22"/>
    </row>
    <row r="816" spans="1:3" ht="18.75" customHeight="1">
      <c r="A816" s="20"/>
      <c r="B816" s="21"/>
      <c r="C816" s="22"/>
    </row>
    <row r="817" spans="1:3" ht="18.75" customHeight="1">
      <c r="A817" s="20"/>
      <c r="B817" s="21"/>
      <c r="C817" s="22"/>
    </row>
    <row r="818" spans="1:3" ht="18.75" customHeight="1">
      <c r="A818" s="20"/>
      <c r="B818" s="21"/>
      <c r="C818" s="22"/>
    </row>
    <row r="819" spans="1:3" ht="18.75" customHeight="1">
      <c r="A819" s="20"/>
      <c r="B819" s="21"/>
      <c r="C819" s="22"/>
    </row>
    <row r="820" spans="1:3" ht="18.75" customHeight="1">
      <c r="A820" s="20"/>
      <c r="B820" s="21"/>
      <c r="C820" s="22"/>
    </row>
    <row r="821" spans="1:3" ht="18.75" customHeight="1">
      <c r="A821" s="20"/>
      <c r="B821" s="21"/>
      <c r="C821" s="22"/>
    </row>
    <row r="822" spans="1:3" ht="18.75" customHeight="1">
      <c r="A822" s="20"/>
      <c r="B822" s="21"/>
      <c r="C822" s="22"/>
    </row>
    <row r="823" spans="1:3" ht="18.75" customHeight="1">
      <c r="A823" s="20"/>
      <c r="B823" s="21"/>
      <c r="C823" s="22"/>
    </row>
    <row r="824" spans="1:3" ht="18.75" customHeight="1">
      <c r="A824" s="20"/>
      <c r="B824" s="21"/>
      <c r="C824" s="22"/>
    </row>
    <row r="825" spans="1:3" ht="18.75" customHeight="1">
      <c r="A825" s="20"/>
      <c r="B825" s="21"/>
      <c r="C825" s="22"/>
    </row>
    <row r="826" spans="1:3" ht="18.75" customHeight="1">
      <c r="A826" s="20"/>
      <c r="B826" s="21"/>
      <c r="C826" s="22"/>
    </row>
    <row r="827" spans="1:3" ht="18.75" customHeight="1">
      <c r="A827" s="20"/>
      <c r="B827" s="21"/>
      <c r="C827" s="22"/>
    </row>
    <row r="828" spans="1:3" ht="18.75" customHeight="1">
      <c r="A828" s="20"/>
      <c r="B828" s="21"/>
      <c r="C828" s="22"/>
    </row>
    <row r="829" spans="1:3" ht="18.75" customHeight="1">
      <c r="A829" s="20"/>
      <c r="B829" s="21"/>
      <c r="C829" s="22"/>
    </row>
    <row r="830" spans="1:3" ht="18.75" customHeight="1">
      <c r="A830" s="20"/>
      <c r="B830" s="21"/>
      <c r="C830" s="22"/>
    </row>
    <row r="831" spans="1:3" ht="18.75" customHeight="1">
      <c r="A831" s="20"/>
      <c r="B831" s="21"/>
      <c r="C831" s="22"/>
    </row>
    <row r="832" spans="1:3" ht="18.75" customHeight="1">
      <c r="A832" s="20"/>
      <c r="B832" s="21"/>
      <c r="C832" s="22"/>
    </row>
    <row r="833" spans="1:3" ht="18.75" customHeight="1">
      <c r="A833" s="20"/>
      <c r="B833" s="21"/>
      <c r="C833" s="22"/>
    </row>
    <row r="834" spans="1:3" ht="18.75" customHeight="1">
      <c r="A834" s="20"/>
      <c r="B834" s="21"/>
      <c r="C834" s="22"/>
    </row>
    <row r="835" spans="1:3" ht="18.75" customHeight="1">
      <c r="A835" s="20"/>
      <c r="B835" s="21"/>
      <c r="C835" s="22"/>
    </row>
    <row r="836" spans="1:3" ht="18.75" customHeight="1">
      <c r="A836" s="20"/>
      <c r="B836" s="21"/>
      <c r="C836" s="22"/>
    </row>
    <row r="837" spans="1:3" ht="18.75" customHeight="1">
      <c r="A837" s="20"/>
      <c r="B837" s="21"/>
      <c r="C837" s="22"/>
    </row>
    <row r="838" spans="1:3" ht="18.75" customHeight="1">
      <c r="A838" s="20"/>
      <c r="B838" s="21"/>
      <c r="C838" s="22"/>
    </row>
    <row r="839" spans="1:3" ht="18.75" customHeight="1">
      <c r="A839" s="20"/>
      <c r="B839" s="21"/>
      <c r="C839" s="22"/>
    </row>
    <row r="840" spans="1:3" ht="18.75" customHeight="1">
      <c r="A840" s="20"/>
      <c r="B840" s="21"/>
      <c r="C840" s="22"/>
    </row>
    <row r="841" spans="1:3" ht="18.75" customHeight="1">
      <c r="A841" s="20"/>
      <c r="B841" s="21"/>
      <c r="C841" s="22"/>
    </row>
    <row r="842" spans="1:3" ht="18.75" customHeight="1">
      <c r="A842" s="20"/>
      <c r="B842" s="21"/>
      <c r="C842" s="22"/>
    </row>
    <row r="843" spans="1:3" ht="18.75" customHeight="1">
      <c r="A843" s="20"/>
      <c r="B843" s="21"/>
      <c r="C843" s="22"/>
    </row>
    <row r="844" spans="1:3" ht="18.75" customHeight="1">
      <c r="A844" s="20"/>
      <c r="B844" s="21"/>
      <c r="C844" s="22"/>
    </row>
    <row r="845" spans="1:3" ht="18.75" customHeight="1">
      <c r="A845" s="20"/>
      <c r="B845" s="21"/>
      <c r="C845" s="22"/>
    </row>
    <row r="846" spans="1:3" ht="18.75" customHeight="1">
      <c r="A846" s="20"/>
      <c r="B846" s="21"/>
      <c r="C846" s="22"/>
    </row>
    <row r="847" spans="1:3" ht="18.75" customHeight="1">
      <c r="A847" s="20"/>
      <c r="B847" s="21"/>
      <c r="C847" s="22"/>
    </row>
    <row r="848" spans="1:3" ht="18.75" customHeight="1">
      <c r="A848" s="20"/>
      <c r="B848" s="21"/>
      <c r="C848" s="22"/>
    </row>
    <row r="849" spans="1:3" ht="18.75" customHeight="1">
      <c r="A849" s="20"/>
      <c r="B849" s="21"/>
      <c r="C849" s="22"/>
    </row>
    <row r="850" spans="1:3" ht="18.75" customHeight="1">
      <c r="A850" s="20"/>
      <c r="B850" s="21"/>
      <c r="C850" s="22"/>
    </row>
    <row r="851" spans="1:3" ht="18.75" customHeight="1">
      <c r="A851" s="20"/>
      <c r="B851" s="21"/>
      <c r="C851" s="22"/>
    </row>
    <row r="852" spans="1:3" ht="18.75" customHeight="1">
      <c r="A852" s="20"/>
      <c r="B852" s="21"/>
      <c r="C852" s="22"/>
    </row>
    <row r="853" spans="1:3" ht="18.75" customHeight="1">
      <c r="A853" s="20"/>
      <c r="B853" s="21"/>
      <c r="C853" s="22"/>
    </row>
    <row r="854" spans="1:3" ht="18.75" customHeight="1">
      <c r="A854" s="20"/>
      <c r="B854" s="21"/>
      <c r="C854" s="22"/>
    </row>
    <row r="855" spans="1:3" ht="18.75" customHeight="1">
      <c r="A855" s="20"/>
      <c r="B855" s="21"/>
      <c r="C855" s="22"/>
    </row>
    <row r="856" spans="1:3" ht="18.75" customHeight="1">
      <c r="A856" s="20"/>
      <c r="B856" s="21"/>
      <c r="C856" s="22"/>
    </row>
    <row r="857" spans="1:3" ht="18.75" customHeight="1">
      <c r="A857" s="20"/>
      <c r="B857" s="21"/>
      <c r="C857" s="22"/>
    </row>
    <row r="858" spans="1:3" ht="18.75" customHeight="1">
      <c r="A858" s="20"/>
      <c r="B858" s="21"/>
      <c r="C858" s="22"/>
    </row>
    <row r="859" spans="1:3" ht="18.75" customHeight="1">
      <c r="A859" s="20"/>
      <c r="B859" s="21"/>
      <c r="C859" s="22"/>
    </row>
    <row r="860" spans="1:3" ht="18.75" customHeight="1">
      <c r="A860" s="20"/>
      <c r="B860" s="21"/>
      <c r="C860" s="22"/>
    </row>
    <row r="861" spans="1:3" ht="18.75" customHeight="1">
      <c r="A861" s="20"/>
      <c r="B861" s="21"/>
      <c r="C861" s="22"/>
    </row>
    <row r="862" spans="1:3" ht="18.75" customHeight="1">
      <c r="A862" s="20"/>
      <c r="B862" s="21"/>
      <c r="C862" s="22"/>
    </row>
    <row r="863" spans="1:3" ht="18.75" customHeight="1">
      <c r="A863" s="20"/>
      <c r="B863" s="21"/>
      <c r="C863" s="22"/>
    </row>
    <row r="864" spans="1:3" ht="18.75" customHeight="1">
      <c r="A864" s="20"/>
      <c r="B864" s="21"/>
      <c r="C864" s="22"/>
    </row>
    <row r="865" spans="1:3" ht="18.75" customHeight="1">
      <c r="A865" s="20"/>
      <c r="B865" s="21"/>
      <c r="C865" s="22"/>
    </row>
    <row r="866" spans="1:3" ht="18.75" customHeight="1">
      <c r="A866" s="20"/>
      <c r="B866" s="21"/>
      <c r="C866" s="22"/>
    </row>
    <row r="867" spans="1:3" ht="18.75" customHeight="1">
      <c r="A867" s="20"/>
      <c r="B867" s="21"/>
      <c r="C867" s="22"/>
    </row>
    <row r="868" spans="1:3" ht="18.75" customHeight="1">
      <c r="A868" s="20"/>
      <c r="B868" s="21"/>
      <c r="C868" s="22"/>
    </row>
    <row r="869" spans="1:3" ht="18.75" customHeight="1">
      <c r="A869" s="20"/>
      <c r="B869" s="21"/>
      <c r="C869" s="22"/>
    </row>
    <row r="870" spans="1:3" ht="18.75" customHeight="1">
      <c r="A870" s="20"/>
      <c r="B870" s="21"/>
      <c r="C870" s="22"/>
    </row>
    <row r="871" spans="1:3" ht="18.75" customHeight="1">
      <c r="A871" s="20"/>
      <c r="B871" s="21"/>
      <c r="C871" s="22"/>
    </row>
    <row r="872" spans="1:3" ht="18.75" customHeight="1">
      <c r="A872" s="20"/>
      <c r="B872" s="21"/>
      <c r="C872" s="22"/>
    </row>
    <row r="873" spans="1:3" ht="18.75" customHeight="1">
      <c r="A873" s="20"/>
      <c r="B873" s="21"/>
      <c r="C873" s="22"/>
    </row>
    <row r="874" spans="1:3" ht="18.75" customHeight="1">
      <c r="A874" s="20"/>
      <c r="B874" s="21"/>
      <c r="C874" s="22"/>
    </row>
    <row r="875" spans="1:3" ht="18.75" customHeight="1">
      <c r="A875" s="20"/>
      <c r="B875" s="21"/>
      <c r="C875" s="22"/>
    </row>
    <row r="876" spans="1:3" ht="18.75" customHeight="1">
      <c r="A876" s="20"/>
      <c r="B876" s="21"/>
      <c r="C876" s="22"/>
    </row>
    <row r="877" spans="1:3" ht="18.75" customHeight="1">
      <c r="A877" s="20"/>
      <c r="B877" s="21"/>
      <c r="C877" s="22"/>
    </row>
    <row r="878" spans="1:3" ht="18.75" customHeight="1">
      <c r="A878" s="20"/>
      <c r="B878" s="21"/>
      <c r="C878" s="22"/>
    </row>
    <row r="879" spans="1:3" ht="18.75" customHeight="1">
      <c r="A879" s="20"/>
      <c r="B879" s="21"/>
      <c r="C879" s="22"/>
    </row>
    <row r="880" spans="1:3" ht="18.75" customHeight="1">
      <c r="A880" s="20"/>
      <c r="B880" s="21"/>
      <c r="C880" s="22"/>
    </row>
    <row r="881" spans="1:3" ht="18.75" customHeight="1">
      <c r="A881" s="20"/>
      <c r="B881" s="21"/>
      <c r="C881" s="22"/>
    </row>
    <row r="882" spans="1:3" ht="18.75" customHeight="1">
      <c r="A882" s="20"/>
      <c r="B882" s="21"/>
      <c r="C882" s="22"/>
    </row>
    <row r="883" spans="1:3" ht="18.75" customHeight="1">
      <c r="A883" s="20"/>
      <c r="B883" s="21"/>
      <c r="C883" s="22"/>
    </row>
    <row r="884" spans="1:3" ht="18.75" customHeight="1">
      <c r="A884" s="20"/>
      <c r="B884" s="21"/>
      <c r="C884" s="22"/>
    </row>
    <row r="885" spans="1:3" ht="18.75" customHeight="1">
      <c r="A885" s="20"/>
      <c r="B885" s="21"/>
      <c r="C885" s="22"/>
    </row>
    <row r="886" spans="1:3" ht="18.75" customHeight="1">
      <c r="A886" s="20"/>
      <c r="B886" s="21"/>
      <c r="C886" s="22"/>
    </row>
    <row r="887" spans="1:3" ht="18.75" customHeight="1">
      <c r="A887" s="20"/>
      <c r="B887" s="21"/>
      <c r="C887" s="22"/>
    </row>
    <row r="888" spans="1:3" ht="18.75" customHeight="1">
      <c r="A888" s="20"/>
      <c r="B888" s="21"/>
      <c r="C888" s="22"/>
    </row>
    <row r="889" spans="1:3" ht="18.75" customHeight="1">
      <c r="A889" s="20"/>
      <c r="B889" s="21"/>
      <c r="C889" s="22"/>
    </row>
    <row r="890" spans="1:3" ht="18.75" customHeight="1">
      <c r="A890" s="20"/>
      <c r="B890" s="21"/>
      <c r="C890" s="22"/>
    </row>
    <row r="891" spans="1:3" ht="18.75" customHeight="1">
      <c r="A891" s="20"/>
      <c r="B891" s="21"/>
      <c r="C891" s="22"/>
    </row>
    <row r="892" spans="1:3" ht="18.75" customHeight="1">
      <c r="A892" s="20"/>
      <c r="B892" s="21"/>
      <c r="C892" s="22"/>
    </row>
    <row r="893" spans="1:3" ht="18.75" customHeight="1">
      <c r="A893" s="20"/>
      <c r="B893" s="21"/>
      <c r="C893" s="22"/>
    </row>
    <row r="894" spans="1:3" ht="18.75" customHeight="1">
      <c r="A894" s="20"/>
      <c r="B894" s="21"/>
      <c r="C894" s="22"/>
    </row>
    <row r="895" spans="1:3" ht="18.75" customHeight="1">
      <c r="A895" s="20"/>
      <c r="B895" s="21"/>
      <c r="C895" s="22"/>
    </row>
    <row r="896" spans="1:3" ht="18.75" customHeight="1">
      <c r="A896" s="20"/>
      <c r="B896" s="21"/>
      <c r="C896" s="22"/>
    </row>
    <row r="897" spans="1:3" ht="18.75" customHeight="1">
      <c r="A897" s="20"/>
      <c r="B897" s="21"/>
      <c r="C897" s="22"/>
    </row>
    <row r="898" spans="1:3" ht="18.75" customHeight="1">
      <c r="A898" s="20"/>
      <c r="B898" s="21"/>
      <c r="C898" s="22"/>
    </row>
    <row r="899" spans="1:3" ht="18.75" customHeight="1">
      <c r="A899" s="20"/>
      <c r="B899" s="21"/>
      <c r="C899" s="22"/>
    </row>
    <row r="900" spans="1:3" ht="18.75" customHeight="1">
      <c r="A900" s="20"/>
      <c r="B900" s="21"/>
      <c r="C900" s="22"/>
    </row>
    <row r="901" spans="1:3" ht="18.75" customHeight="1">
      <c r="A901" s="20"/>
      <c r="B901" s="21"/>
      <c r="C901" s="22"/>
    </row>
    <row r="902" spans="1:3" ht="18.75" customHeight="1">
      <c r="A902" s="20"/>
      <c r="B902" s="21"/>
      <c r="C902" s="22"/>
    </row>
    <row r="903" spans="1:3" ht="18.75" customHeight="1">
      <c r="A903" s="20"/>
      <c r="B903" s="21"/>
      <c r="C903" s="22"/>
    </row>
    <row r="904" spans="1:3" ht="18.75" customHeight="1">
      <c r="A904" s="20"/>
      <c r="B904" s="21"/>
      <c r="C904" s="22"/>
    </row>
    <row r="905" spans="1:3" ht="18.75" customHeight="1">
      <c r="A905" s="20"/>
      <c r="B905" s="21"/>
      <c r="C905" s="22"/>
    </row>
    <row r="906" spans="1:3" ht="18.75" customHeight="1">
      <c r="A906" s="20"/>
      <c r="B906" s="21"/>
      <c r="C906" s="22"/>
    </row>
    <row r="907" spans="1:3" ht="18.75" customHeight="1">
      <c r="A907" s="20"/>
      <c r="B907" s="21"/>
      <c r="C907" s="22"/>
    </row>
    <row r="908" spans="1:3" ht="18.75" customHeight="1">
      <c r="A908" s="20"/>
      <c r="B908" s="21"/>
      <c r="C908" s="22"/>
    </row>
    <row r="909" spans="1:3" ht="18.75" customHeight="1">
      <c r="A909" s="20"/>
      <c r="B909" s="21"/>
      <c r="C909" s="22"/>
    </row>
    <row r="910" spans="1:3" ht="18.75" customHeight="1">
      <c r="A910" s="20"/>
      <c r="B910" s="21"/>
      <c r="C910" s="22"/>
    </row>
    <row r="911" spans="1:3" ht="18.75" customHeight="1">
      <c r="A911" s="20"/>
      <c r="B911" s="21"/>
      <c r="C911" s="22"/>
    </row>
    <row r="912" spans="1:3" ht="18.75" customHeight="1">
      <c r="A912" s="20"/>
      <c r="B912" s="21"/>
      <c r="C912" s="22"/>
    </row>
    <row r="913" spans="1:3" ht="18.75" customHeight="1">
      <c r="A913" s="20"/>
      <c r="B913" s="21"/>
      <c r="C913" s="22"/>
    </row>
    <row r="914" spans="1:3" ht="18.75" customHeight="1">
      <c r="A914" s="20"/>
      <c r="B914" s="21"/>
      <c r="C914" s="22"/>
    </row>
    <row r="915" spans="1:3" ht="18.75" customHeight="1">
      <c r="A915" s="20"/>
      <c r="B915" s="21"/>
      <c r="C915" s="22"/>
    </row>
    <row r="916" spans="1:3" ht="18.75" customHeight="1">
      <c r="A916" s="20"/>
      <c r="B916" s="21"/>
      <c r="C916" s="22"/>
    </row>
    <row r="917" spans="1:3" ht="18.75" customHeight="1">
      <c r="A917" s="20"/>
      <c r="B917" s="21"/>
      <c r="C917" s="22"/>
    </row>
    <row r="918" spans="1:3" ht="18.75" customHeight="1">
      <c r="A918" s="20"/>
      <c r="B918" s="21"/>
      <c r="C918" s="22"/>
    </row>
    <row r="919" spans="1:3" ht="18.75" customHeight="1">
      <c r="A919" s="20"/>
      <c r="B919" s="21"/>
      <c r="C919" s="22"/>
    </row>
    <row r="920" spans="1:3" ht="18.75" customHeight="1">
      <c r="A920" s="20"/>
      <c r="B920" s="21"/>
      <c r="C920" s="22"/>
    </row>
    <row r="921" spans="1:3" ht="18.75" customHeight="1">
      <c r="A921" s="20"/>
      <c r="B921" s="21"/>
      <c r="C921" s="22"/>
    </row>
    <row r="922" spans="1:3" ht="18.75" customHeight="1">
      <c r="A922" s="20"/>
      <c r="B922" s="21"/>
      <c r="C922" s="22"/>
    </row>
    <row r="923" spans="1:3" ht="18.75" customHeight="1">
      <c r="A923" s="20"/>
      <c r="B923" s="21"/>
      <c r="C923" s="22"/>
    </row>
    <row r="924" spans="1:3" ht="18.75" customHeight="1">
      <c r="A924" s="20"/>
      <c r="B924" s="21"/>
      <c r="C924" s="22"/>
    </row>
    <row r="925" spans="1:3" ht="18.75" customHeight="1">
      <c r="A925" s="20"/>
      <c r="B925" s="21"/>
      <c r="C925" s="22"/>
    </row>
    <row r="926" spans="1:3" ht="18.75" customHeight="1">
      <c r="A926" s="20"/>
      <c r="B926" s="21"/>
      <c r="C926" s="22"/>
    </row>
    <row r="927" spans="1:3" ht="18.75" customHeight="1">
      <c r="A927" s="20"/>
      <c r="B927" s="21"/>
      <c r="C927" s="22"/>
    </row>
    <row r="928" spans="1:3" ht="18.75" customHeight="1">
      <c r="A928" s="20"/>
      <c r="B928" s="21"/>
      <c r="C928" s="22"/>
    </row>
    <row r="929" spans="1:3" ht="18.75" customHeight="1">
      <c r="A929" s="20"/>
      <c r="B929" s="21"/>
      <c r="C929" s="22"/>
    </row>
    <row r="930" spans="1:3" ht="18.75" customHeight="1">
      <c r="A930" s="20"/>
      <c r="B930" s="21"/>
      <c r="C930" s="22"/>
    </row>
    <row r="931" spans="1:3" ht="18.75" customHeight="1">
      <c r="A931" s="20"/>
      <c r="B931" s="21"/>
      <c r="C931" s="22"/>
    </row>
    <row r="932" spans="1:3" ht="18.75" customHeight="1">
      <c r="A932" s="20"/>
      <c r="B932" s="21"/>
      <c r="C932" s="22"/>
    </row>
    <row r="933" spans="1:3" ht="18.75" customHeight="1">
      <c r="A933" s="20"/>
      <c r="B933" s="21"/>
      <c r="C933" s="22"/>
    </row>
    <row r="934" spans="1:3" ht="18.75" customHeight="1">
      <c r="A934" s="20"/>
      <c r="B934" s="21"/>
      <c r="C934" s="22"/>
    </row>
    <row r="935" spans="1:3" ht="18.75" customHeight="1">
      <c r="A935" s="20"/>
      <c r="B935" s="21"/>
      <c r="C935" s="22"/>
    </row>
    <row r="936" spans="1:3" ht="18.75" customHeight="1">
      <c r="A936" s="20"/>
      <c r="B936" s="21"/>
      <c r="C936" s="22"/>
    </row>
    <row r="937" spans="1:3" ht="18.75" customHeight="1">
      <c r="A937" s="20"/>
      <c r="B937" s="21"/>
      <c r="C937" s="22"/>
    </row>
    <row r="938" spans="1:3" ht="18.75" customHeight="1">
      <c r="A938" s="20"/>
      <c r="B938" s="21"/>
      <c r="C938" s="22"/>
    </row>
    <row r="939" spans="1:3" ht="18.75" customHeight="1">
      <c r="A939" s="20"/>
      <c r="B939" s="21"/>
      <c r="C939" s="22"/>
    </row>
    <row r="940" spans="1:3" ht="18.75" customHeight="1">
      <c r="A940" s="20"/>
      <c r="B940" s="21"/>
      <c r="C940" s="22"/>
    </row>
    <row r="941" spans="1:3" ht="18.75" customHeight="1">
      <c r="A941" s="20"/>
      <c r="B941" s="21"/>
      <c r="C941" s="22"/>
    </row>
    <row r="942" spans="1:3" ht="18.75" customHeight="1">
      <c r="A942" s="20"/>
      <c r="B942" s="21"/>
      <c r="C942" s="22"/>
    </row>
    <row r="943" spans="1:3" ht="18.75" customHeight="1">
      <c r="A943" s="20"/>
      <c r="B943" s="21"/>
      <c r="C943" s="22"/>
    </row>
    <row r="944" spans="1:3" ht="18.75" customHeight="1">
      <c r="A944" s="20"/>
      <c r="B944" s="21"/>
      <c r="C944" s="22"/>
    </row>
    <row r="945" spans="1:3" ht="18.75" customHeight="1">
      <c r="A945" s="20"/>
      <c r="B945" s="21"/>
      <c r="C945" s="22"/>
    </row>
    <row r="946" spans="1:3" ht="18.75" customHeight="1">
      <c r="A946" s="20"/>
      <c r="B946" s="21"/>
      <c r="C946" s="22"/>
    </row>
    <row r="947" spans="1:3" ht="18.75" customHeight="1">
      <c r="A947" s="20"/>
      <c r="B947" s="21"/>
      <c r="C947" s="22"/>
    </row>
    <row r="948" spans="1:3" ht="18.75" customHeight="1">
      <c r="A948" s="20"/>
      <c r="B948" s="21"/>
      <c r="C948" s="22"/>
    </row>
    <row r="949" spans="1:3" ht="18.75" customHeight="1">
      <c r="A949" s="20"/>
      <c r="B949" s="21"/>
      <c r="C949" s="22"/>
    </row>
    <row r="950" spans="1:3" ht="18.75" customHeight="1">
      <c r="A950" s="20"/>
      <c r="B950" s="21"/>
      <c r="C950" s="22"/>
    </row>
    <row r="951" spans="1:3" ht="18.75" customHeight="1">
      <c r="A951" s="20"/>
      <c r="B951" s="21"/>
      <c r="C951" s="22"/>
    </row>
    <row r="952" spans="1:3" ht="18.75" customHeight="1">
      <c r="A952" s="20"/>
      <c r="B952" s="21"/>
      <c r="C952" s="22"/>
    </row>
    <row r="953" spans="1:3" ht="18.75" customHeight="1">
      <c r="A953" s="20"/>
      <c r="B953" s="21"/>
      <c r="C953" s="22"/>
    </row>
    <row r="954" spans="1:3" ht="18.75" customHeight="1">
      <c r="A954" s="20"/>
      <c r="B954" s="21"/>
      <c r="C954" s="22"/>
    </row>
    <row r="955" spans="1:3" ht="18.75" customHeight="1">
      <c r="A955" s="20"/>
      <c r="B955" s="21"/>
      <c r="C955" s="22"/>
    </row>
    <row r="956" spans="1:3" ht="18.75" customHeight="1">
      <c r="A956" s="20"/>
      <c r="B956" s="21"/>
      <c r="C956" s="22"/>
    </row>
    <row r="957" spans="1:3" ht="18.75" customHeight="1">
      <c r="A957" s="20"/>
      <c r="B957" s="21"/>
      <c r="C957" s="22"/>
    </row>
    <row r="958" spans="1:3" ht="18.75" customHeight="1">
      <c r="A958" s="20"/>
      <c r="B958" s="21"/>
      <c r="C958" s="22"/>
    </row>
    <row r="959" spans="1:3" ht="18.75" customHeight="1">
      <c r="A959" s="20"/>
      <c r="B959" s="21"/>
      <c r="C959" s="22"/>
    </row>
    <row r="960" spans="1:3" ht="18.75" customHeight="1">
      <c r="A960" s="20"/>
      <c r="B960" s="21"/>
      <c r="C960" s="22"/>
    </row>
    <row r="961" spans="1:3" ht="18.75" customHeight="1">
      <c r="A961" s="20"/>
      <c r="B961" s="21"/>
      <c r="C961" s="22"/>
    </row>
    <row r="962" spans="1:3" ht="18.75" customHeight="1">
      <c r="A962" s="20"/>
      <c r="B962" s="21"/>
      <c r="C962" s="22"/>
    </row>
    <row r="963" spans="1:3" ht="18.75" customHeight="1">
      <c r="A963" s="20"/>
      <c r="B963" s="21"/>
      <c r="C963" s="22"/>
    </row>
    <row r="964" spans="1:3" ht="18.75" customHeight="1">
      <c r="A964" s="20"/>
      <c r="B964" s="21"/>
      <c r="C964" s="22"/>
    </row>
    <row r="965" spans="1:3" ht="18.75" customHeight="1">
      <c r="A965" s="20"/>
      <c r="B965" s="21"/>
      <c r="C965" s="22"/>
    </row>
    <row r="966" spans="1:3" ht="18.75" customHeight="1">
      <c r="A966" s="20"/>
      <c r="B966" s="21"/>
      <c r="C966" s="22"/>
    </row>
    <row r="967" spans="1:3" ht="18.75" customHeight="1">
      <c r="A967" s="20"/>
      <c r="B967" s="21"/>
      <c r="C967" s="22"/>
    </row>
    <row r="968" spans="1:3" ht="18.75" customHeight="1">
      <c r="A968" s="20"/>
      <c r="B968" s="21"/>
      <c r="C968" s="22"/>
    </row>
    <row r="969" spans="1:3" ht="18.75" customHeight="1">
      <c r="A969" s="20"/>
      <c r="B969" s="21"/>
      <c r="C969" s="22"/>
    </row>
    <row r="970" spans="1:3" ht="18.75" customHeight="1">
      <c r="A970" s="20"/>
      <c r="B970" s="21"/>
      <c r="C970" s="22"/>
    </row>
    <row r="971" spans="1:3" ht="18.75" customHeight="1">
      <c r="A971" s="20"/>
      <c r="B971" s="21"/>
      <c r="C971" s="22"/>
    </row>
    <row r="972" spans="1:3" ht="18.75" customHeight="1">
      <c r="A972" s="20"/>
      <c r="B972" s="21"/>
      <c r="C972" s="22"/>
    </row>
    <row r="973" spans="1:3" ht="18.75" customHeight="1">
      <c r="A973" s="20"/>
      <c r="B973" s="21"/>
      <c r="C973" s="22"/>
    </row>
    <row r="974" spans="1:3" ht="18.75" customHeight="1">
      <c r="A974" s="20"/>
      <c r="B974" s="21"/>
      <c r="C974" s="22"/>
    </row>
    <row r="975" spans="1:3" ht="18.75" customHeight="1">
      <c r="A975" s="20"/>
      <c r="B975" s="21"/>
      <c r="C975" s="22"/>
    </row>
    <row r="976" spans="1:3" ht="18.75" customHeight="1">
      <c r="A976" s="20"/>
      <c r="B976" s="21"/>
      <c r="C976" s="22"/>
    </row>
    <row r="977" spans="1:3" ht="18.75" customHeight="1">
      <c r="A977" s="20"/>
      <c r="B977" s="21"/>
      <c r="C977" s="22"/>
    </row>
    <row r="978" spans="1:3" ht="18.75" customHeight="1">
      <c r="A978" s="20"/>
      <c r="B978" s="21"/>
      <c r="C978" s="22"/>
    </row>
    <row r="979" spans="1:3" ht="18.75" customHeight="1">
      <c r="A979" s="20"/>
      <c r="B979" s="21"/>
      <c r="C979" s="22"/>
    </row>
    <row r="980" spans="1:3" ht="18.75" customHeight="1">
      <c r="A980" s="20"/>
      <c r="B980" s="21"/>
      <c r="C980" s="22"/>
    </row>
    <row r="981" spans="1:3" ht="18.75" customHeight="1">
      <c r="A981" s="20"/>
      <c r="B981" s="21"/>
      <c r="C981" s="22"/>
    </row>
    <row r="982" spans="1:3" ht="18.75" customHeight="1">
      <c r="A982" s="20"/>
      <c r="B982" s="21"/>
      <c r="C982" s="22"/>
    </row>
    <row r="983" spans="1:3" ht="18.75" customHeight="1">
      <c r="A983" s="20"/>
      <c r="B983" s="21"/>
      <c r="C983" s="22"/>
    </row>
    <row r="984" spans="1:3" ht="18.75" customHeight="1">
      <c r="A984" s="20"/>
      <c r="B984" s="21"/>
      <c r="C984" s="22"/>
    </row>
    <row r="985" spans="1:3" ht="18.75" customHeight="1">
      <c r="A985" s="20"/>
      <c r="B985" s="21"/>
      <c r="C985" s="22"/>
    </row>
    <row r="986" spans="1:3" ht="18.75" customHeight="1">
      <c r="A986" s="20"/>
      <c r="B986" s="21"/>
      <c r="C986" s="22"/>
    </row>
    <row r="987" spans="1:3" ht="18.75" customHeight="1">
      <c r="A987" s="20"/>
      <c r="B987" s="21"/>
      <c r="C987" s="22"/>
    </row>
    <row r="988" spans="1:3" ht="18.75" customHeight="1">
      <c r="A988" s="20"/>
      <c r="B988" s="21"/>
      <c r="C988" s="22"/>
    </row>
    <row r="989" spans="1:3" ht="18.75" customHeight="1">
      <c r="A989" s="20"/>
      <c r="B989" s="21"/>
      <c r="C989" s="22"/>
    </row>
    <row r="990" spans="1:3" ht="18.75" customHeight="1">
      <c r="A990" s="20"/>
      <c r="B990" s="21"/>
      <c r="C990" s="22"/>
    </row>
    <row r="991" spans="1:3" ht="18.75" customHeight="1">
      <c r="A991" s="20"/>
      <c r="B991" s="21"/>
      <c r="C991" s="22"/>
    </row>
    <row r="992" spans="1:3" ht="18.75" customHeight="1">
      <c r="A992" s="20"/>
      <c r="B992" s="21"/>
      <c r="C992" s="22"/>
    </row>
    <row r="993" spans="1:3" ht="18.75" customHeight="1">
      <c r="A993" s="20"/>
      <c r="B993" s="21"/>
      <c r="C993" s="22"/>
    </row>
    <row r="994" spans="1:3" ht="18.75" customHeight="1">
      <c r="A994" s="20"/>
      <c r="B994" s="21"/>
      <c r="C994" s="22"/>
    </row>
    <row r="995" spans="1:3" ht="18.75" customHeight="1">
      <c r="A995" s="20"/>
      <c r="B995" s="21"/>
      <c r="C995" s="22"/>
    </row>
    <row r="996" spans="1:3" ht="18.75" customHeight="1">
      <c r="A996" s="20"/>
      <c r="B996" s="21"/>
      <c r="C996" s="22"/>
    </row>
    <row r="997" spans="1:3" ht="18.75" customHeight="1">
      <c r="A997" s="20"/>
      <c r="B997" s="21"/>
      <c r="C997" s="22"/>
    </row>
    <row r="998" spans="1:3" ht="18.75" customHeight="1">
      <c r="A998" s="20"/>
      <c r="B998" s="21"/>
      <c r="C998" s="22"/>
    </row>
    <row r="999" spans="1:3" ht="18.75" customHeight="1">
      <c r="A999" s="20"/>
      <c r="B999" s="21"/>
      <c r="C999" s="22"/>
    </row>
    <row r="1000" spans="1:3" ht="18.75" customHeight="1">
      <c r="A1000" s="20"/>
      <c r="B1000" s="21"/>
      <c r="C1000" s="22"/>
    </row>
    <row r="1001" spans="1:3" ht="18.75" customHeight="1">
      <c r="A1001" s="20"/>
      <c r="B1001" s="21"/>
      <c r="C1001" s="22"/>
    </row>
    <row r="1002" spans="1:3" ht="18.75" customHeight="1">
      <c r="A1002" s="20"/>
      <c r="B1002" s="21"/>
      <c r="C1002" s="22"/>
    </row>
    <row r="1003" spans="1:3" ht="18.75" customHeight="1">
      <c r="A1003" s="20"/>
      <c r="B1003" s="21"/>
      <c r="C1003" s="22"/>
    </row>
    <row r="1004" spans="1:3" ht="18.75" customHeight="1">
      <c r="A1004" s="20"/>
      <c r="B1004" s="21"/>
      <c r="C1004" s="22"/>
    </row>
    <row r="1005" spans="1:3" ht="18.75" customHeight="1">
      <c r="A1005" s="20"/>
      <c r="B1005" s="21"/>
      <c r="C1005" s="22"/>
    </row>
  </sheetData>
  <pageMargins left="0.78749999999999998" right="0.78749999999999998" top="1.0249999999999999" bottom="1.0249999999999999" header="0" footer="0"/>
  <pageSetup paperSize="9" scale="0" orientation="portrait"/>
  <headerFooter>
    <oddHeader>&amp;C&amp;A</oddHeader>
    <oddFooter>&amp;CPagina &amp;P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16"/>
  <sheetViews>
    <sheetView workbookViewId="0"/>
  </sheetViews>
  <sheetFormatPr defaultColWidth="11.20703125" defaultRowHeight="15" customHeight="1"/>
  <cols>
    <col min="1" max="1" width="4.20703125" customWidth="1"/>
    <col min="2" max="2" width="48.7890625" customWidth="1"/>
    <col min="3" max="4" width="8.7890625" customWidth="1"/>
    <col min="5" max="5" width="129.5390625" customWidth="1"/>
    <col min="6" max="6" width="34.4140625" customWidth="1"/>
    <col min="7" max="7" width="27.6640625" customWidth="1"/>
    <col min="8" max="20" width="8.7890625" customWidth="1"/>
  </cols>
  <sheetData>
    <row r="1" spans="1:20" ht="18.75" customHeight="1">
      <c r="A1" s="1" t="s">
        <v>0</v>
      </c>
      <c r="B1" s="69" t="s">
        <v>1</v>
      </c>
      <c r="C1" s="69" t="s">
        <v>2</v>
      </c>
      <c r="D1" s="70" t="s">
        <v>3</v>
      </c>
      <c r="E1" s="71" t="s">
        <v>627</v>
      </c>
      <c r="F1" s="71" t="s">
        <v>628</v>
      </c>
      <c r="G1" s="72"/>
      <c r="H1" s="73"/>
      <c r="I1" s="74"/>
      <c r="J1" s="74"/>
      <c r="K1" s="74"/>
      <c r="L1" s="74"/>
      <c r="M1" s="74"/>
      <c r="N1" s="74"/>
      <c r="O1" s="74"/>
      <c r="P1" s="74"/>
      <c r="Q1" s="74"/>
      <c r="R1" s="74"/>
      <c r="S1" s="74"/>
      <c r="T1" s="74"/>
    </row>
    <row r="2" spans="1:20" ht="18.75" customHeight="1">
      <c r="A2" s="4" t="s">
        <v>5</v>
      </c>
      <c r="B2" s="75" t="s">
        <v>6</v>
      </c>
      <c r="C2" s="75" t="s">
        <v>7</v>
      </c>
      <c r="D2" s="76">
        <v>2015</v>
      </c>
      <c r="E2" s="77" t="s">
        <v>629</v>
      </c>
      <c r="F2" s="17" t="s">
        <v>630</v>
      </c>
      <c r="G2" s="78"/>
      <c r="H2" s="21"/>
    </row>
    <row r="3" spans="1:20" ht="18.75" customHeight="1">
      <c r="A3" s="4" t="s">
        <v>9</v>
      </c>
      <c r="B3" s="75" t="s">
        <v>10</v>
      </c>
      <c r="C3" s="75" t="s">
        <v>11</v>
      </c>
      <c r="D3" s="76">
        <v>2015</v>
      </c>
      <c r="E3" s="79" t="s">
        <v>631</v>
      </c>
      <c r="F3" s="80" t="s">
        <v>630</v>
      </c>
      <c r="G3" s="81"/>
      <c r="I3" s="21"/>
    </row>
    <row r="4" spans="1:20" ht="18.75" customHeight="1">
      <c r="A4" s="4" t="s">
        <v>13</v>
      </c>
      <c r="B4" s="75" t="s">
        <v>14</v>
      </c>
      <c r="C4" s="75" t="s">
        <v>15</v>
      </c>
      <c r="D4" s="76">
        <v>2015</v>
      </c>
      <c r="E4" s="77" t="s">
        <v>632</v>
      </c>
      <c r="F4" s="82" t="s">
        <v>630</v>
      </c>
      <c r="G4" s="81"/>
      <c r="I4" s="21"/>
    </row>
    <row r="5" spans="1:20" ht="18.75" customHeight="1">
      <c r="A5" s="4" t="s">
        <v>17</v>
      </c>
      <c r="B5" s="75" t="s">
        <v>18</v>
      </c>
      <c r="C5" s="75" t="s">
        <v>19</v>
      </c>
      <c r="D5" s="76">
        <v>2015</v>
      </c>
      <c r="E5" s="79" t="s">
        <v>633</v>
      </c>
      <c r="F5" s="80" t="s">
        <v>634</v>
      </c>
      <c r="G5" s="81"/>
      <c r="I5" s="21"/>
    </row>
    <row r="6" spans="1:20" ht="18.75" customHeight="1">
      <c r="A6" s="4" t="s">
        <v>21</v>
      </c>
      <c r="B6" s="75" t="s">
        <v>22</v>
      </c>
      <c r="C6" s="75" t="s">
        <v>23</v>
      </c>
      <c r="D6" s="76">
        <v>2015</v>
      </c>
      <c r="E6" s="77" t="s">
        <v>635</v>
      </c>
      <c r="F6" s="83" t="s">
        <v>630</v>
      </c>
      <c r="G6" s="81"/>
      <c r="I6" s="21"/>
    </row>
    <row r="7" spans="1:20" ht="18.75" customHeight="1">
      <c r="A7" s="4" t="s">
        <v>25</v>
      </c>
      <c r="B7" s="75" t="s">
        <v>26</v>
      </c>
      <c r="C7" s="75" t="s">
        <v>27</v>
      </c>
      <c r="D7" s="76">
        <v>2015</v>
      </c>
      <c r="E7" s="79" t="s">
        <v>636</v>
      </c>
      <c r="F7" s="80" t="s">
        <v>630</v>
      </c>
      <c r="G7" s="81"/>
      <c r="I7" s="21"/>
    </row>
    <row r="8" spans="1:20" ht="18.75" customHeight="1">
      <c r="A8" s="4" t="s">
        <v>29</v>
      </c>
      <c r="B8" s="75" t="s">
        <v>30</v>
      </c>
      <c r="C8" s="75" t="s">
        <v>31</v>
      </c>
      <c r="D8" s="76">
        <v>2015</v>
      </c>
      <c r="E8" s="77" t="s">
        <v>637</v>
      </c>
      <c r="F8" s="82" t="s">
        <v>630</v>
      </c>
      <c r="G8" s="81"/>
    </row>
    <row r="9" spans="1:20" ht="18.75" customHeight="1">
      <c r="A9" s="4" t="s">
        <v>32</v>
      </c>
      <c r="B9" s="75" t="s">
        <v>33</v>
      </c>
      <c r="C9" s="75" t="s">
        <v>34</v>
      </c>
      <c r="D9" s="76">
        <v>2015</v>
      </c>
      <c r="E9" s="79" t="s">
        <v>638</v>
      </c>
      <c r="F9" s="80" t="s">
        <v>634</v>
      </c>
      <c r="G9" s="81"/>
    </row>
    <row r="10" spans="1:20" ht="18.75" customHeight="1">
      <c r="A10" s="4" t="s">
        <v>36</v>
      </c>
      <c r="B10" s="75" t="s">
        <v>37</v>
      </c>
      <c r="C10" s="75" t="s">
        <v>38</v>
      </c>
      <c r="D10" s="76">
        <v>2015</v>
      </c>
      <c r="E10" s="77" t="s">
        <v>639</v>
      </c>
      <c r="F10" s="82" t="s">
        <v>630</v>
      </c>
      <c r="G10" s="81"/>
    </row>
    <row r="11" spans="1:20" ht="18.75" customHeight="1">
      <c r="A11" s="4" t="s">
        <v>40</v>
      </c>
      <c r="B11" s="75" t="s">
        <v>41</v>
      </c>
      <c r="C11" s="75" t="s">
        <v>42</v>
      </c>
      <c r="D11" s="76">
        <v>2015</v>
      </c>
      <c r="E11" s="79" t="s">
        <v>640</v>
      </c>
      <c r="F11" s="80" t="s">
        <v>634</v>
      </c>
      <c r="G11" s="81"/>
    </row>
    <row r="12" spans="1:20" ht="18.75" customHeight="1">
      <c r="A12" s="4" t="s">
        <v>44</v>
      </c>
      <c r="B12" s="75" t="s">
        <v>45</v>
      </c>
      <c r="C12" s="75" t="s">
        <v>46</v>
      </c>
      <c r="D12" s="76">
        <v>2015</v>
      </c>
      <c r="E12" s="77" t="s">
        <v>641</v>
      </c>
      <c r="F12" s="82" t="s">
        <v>642</v>
      </c>
      <c r="G12" s="81"/>
    </row>
    <row r="13" spans="1:20" ht="18.75" customHeight="1">
      <c r="A13" s="4" t="s">
        <v>48</v>
      </c>
      <c r="B13" s="75" t="s">
        <v>49</v>
      </c>
      <c r="C13" s="75" t="s">
        <v>50</v>
      </c>
      <c r="D13" s="76">
        <v>2016</v>
      </c>
      <c r="E13" s="79" t="s">
        <v>643</v>
      </c>
      <c r="F13" s="80" t="s">
        <v>634</v>
      </c>
      <c r="G13" s="81"/>
    </row>
    <row r="14" spans="1:20" ht="18.75" customHeight="1">
      <c r="A14" s="4" t="s">
        <v>52</v>
      </c>
      <c r="B14" s="75" t="s">
        <v>53</v>
      </c>
      <c r="C14" s="75" t="s">
        <v>54</v>
      </c>
      <c r="D14" s="76">
        <v>2016</v>
      </c>
      <c r="E14" s="77" t="s">
        <v>644</v>
      </c>
      <c r="F14" s="82" t="s">
        <v>642</v>
      </c>
      <c r="G14" s="81"/>
    </row>
    <row r="15" spans="1:20" ht="18.75" customHeight="1">
      <c r="A15" s="4" t="s">
        <v>56</v>
      </c>
      <c r="B15" s="75" t="s">
        <v>57</v>
      </c>
      <c r="C15" s="75" t="s">
        <v>58</v>
      </c>
      <c r="D15" s="76">
        <v>2016</v>
      </c>
      <c r="E15" s="79" t="s">
        <v>645</v>
      </c>
      <c r="F15" s="80" t="s">
        <v>634</v>
      </c>
      <c r="G15" s="81"/>
    </row>
    <row r="16" spans="1:20" ht="18.75" customHeight="1">
      <c r="A16" s="4" t="s">
        <v>60</v>
      </c>
      <c r="B16" s="75" t="s">
        <v>61</v>
      </c>
      <c r="C16" s="75" t="s">
        <v>62</v>
      </c>
      <c r="D16" s="76">
        <v>2016</v>
      </c>
      <c r="E16" s="77" t="s">
        <v>646</v>
      </c>
      <c r="F16" s="82" t="s">
        <v>642</v>
      </c>
      <c r="G16" s="81"/>
    </row>
    <row r="17" spans="1:7" ht="18.75" customHeight="1">
      <c r="A17" s="4" t="s">
        <v>64</v>
      </c>
      <c r="B17" s="75" t="s">
        <v>65</v>
      </c>
      <c r="C17" s="75" t="s">
        <v>66</v>
      </c>
      <c r="D17" s="76">
        <v>2016</v>
      </c>
      <c r="E17" s="79" t="s">
        <v>647</v>
      </c>
      <c r="F17" s="80" t="s">
        <v>630</v>
      </c>
      <c r="G17" s="81"/>
    </row>
    <row r="18" spans="1:7" ht="18.75" customHeight="1">
      <c r="A18" s="4" t="s">
        <v>68</v>
      </c>
      <c r="B18" s="75" t="s">
        <v>69</v>
      </c>
      <c r="C18" s="75" t="s">
        <v>70</v>
      </c>
      <c r="D18" s="76">
        <v>2016</v>
      </c>
      <c r="E18" s="77" t="s">
        <v>648</v>
      </c>
      <c r="F18" s="82" t="s">
        <v>642</v>
      </c>
      <c r="G18" s="81"/>
    </row>
    <row r="19" spans="1:7" ht="18.75" customHeight="1">
      <c r="A19" s="4" t="s">
        <v>72</v>
      </c>
      <c r="B19" s="75" t="s">
        <v>73</v>
      </c>
      <c r="C19" s="75" t="s">
        <v>74</v>
      </c>
      <c r="D19" s="76">
        <v>2016</v>
      </c>
      <c r="E19" s="79" t="s">
        <v>649</v>
      </c>
      <c r="F19" s="80" t="s">
        <v>650</v>
      </c>
      <c r="G19" s="81"/>
    </row>
    <row r="20" spans="1:7" ht="18.75" customHeight="1">
      <c r="A20" s="4" t="s">
        <v>76</v>
      </c>
      <c r="B20" s="75" t="s">
        <v>77</v>
      </c>
      <c r="C20" s="75" t="s">
        <v>78</v>
      </c>
      <c r="D20" s="76">
        <v>2017</v>
      </c>
      <c r="E20" s="77" t="s">
        <v>651</v>
      </c>
      <c r="F20" s="82" t="s">
        <v>630</v>
      </c>
      <c r="G20" s="81"/>
    </row>
    <row r="21" spans="1:7" ht="18.75" customHeight="1">
      <c r="A21" s="4" t="s">
        <v>80</v>
      </c>
      <c r="B21" s="75" t="s">
        <v>81</v>
      </c>
      <c r="C21" s="75" t="s">
        <v>82</v>
      </c>
      <c r="D21" s="76">
        <v>2017</v>
      </c>
      <c r="E21" s="79" t="s">
        <v>652</v>
      </c>
      <c r="F21" s="80" t="s">
        <v>630</v>
      </c>
      <c r="G21" s="81"/>
    </row>
    <row r="22" spans="1:7" ht="18.75" customHeight="1">
      <c r="A22" s="4" t="s">
        <v>84</v>
      </c>
      <c r="B22" s="75" t="s">
        <v>85</v>
      </c>
      <c r="C22" s="75" t="s">
        <v>86</v>
      </c>
      <c r="D22" s="76">
        <v>2017</v>
      </c>
      <c r="E22" s="77" t="s">
        <v>653</v>
      </c>
      <c r="F22" s="82" t="s">
        <v>630</v>
      </c>
      <c r="G22" s="81"/>
    </row>
    <row r="23" spans="1:7" ht="18.75" customHeight="1">
      <c r="A23" s="4" t="s">
        <v>88</v>
      </c>
      <c r="B23" s="75" t="s">
        <v>89</v>
      </c>
      <c r="C23" s="75" t="s">
        <v>90</v>
      </c>
      <c r="D23" s="76">
        <v>2017</v>
      </c>
      <c r="E23" s="79" t="s">
        <v>654</v>
      </c>
      <c r="F23" s="80" t="s">
        <v>630</v>
      </c>
      <c r="G23" s="81"/>
    </row>
    <row r="24" spans="1:7" ht="18.75" customHeight="1">
      <c r="A24" s="4" t="s">
        <v>92</v>
      </c>
      <c r="B24" s="75" t="s">
        <v>93</v>
      </c>
      <c r="C24" s="75" t="s">
        <v>94</v>
      </c>
      <c r="D24" s="76">
        <v>2017</v>
      </c>
      <c r="E24" s="77" t="s">
        <v>655</v>
      </c>
      <c r="F24" s="82" t="s">
        <v>642</v>
      </c>
      <c r="G24" s="81"/>
    </row>
    <row r="25" spans="1:7" ht="18.75" customHeight="1">
      <c r="A25" s="4" t="s">
        <v>96</v>
      </c>
      <c r="B25" s="75" t="s">
        <v>97</v>
      </c>
      <c r="C25" s="75" t="s">
        <v>98</v>
      </c>
      <c r="D25" s="76">
        <v>2017</v>
      </c>
      <c r="E25" s="79" t="s">
        <v>656</v>
      </c>
      <c r="F25" s="80" t="s">
        <v>642</v>
      </c>
      <c r="G25" s="81"/>
    </row>
    <row r="26" spans="1:7" ht="18.75" customHeight="1">
      <c r="A26" s="4" t="s">
        <v>100</v>
      </c>
      <c r="B26" s="75" t="s">
        <v>101</v>
      </c>
      <c r="C26" s="75" t="s">
        <v>102</v>
      </c>
      <c r="D26" s="76">
        <v>2017</v>
      </c>
      <c r="E26" s="77" t="s">
        <v>657</v>
      </c>
      <c r="F26" s="82" t="s">
        <v>642</v>
      </c>
      <c r="G26" s="81"/>
    </row>
    <row r="27" spans="1:7" ht="18.75" customHeight="1">
      <c r="A27" s="4" t="s">
        <v>104</v>
      </c>
      <c r="B27" s="75" t="s">
        <v>105</v>
      </c>
      <c r="C27" s="75" t="s">
        <v>106</v>
      </c>
      <c r="D27" s="76">
        <v>2017</v>
      </c>
      <c r="E27" s="79" t="s">
        <v>658</v>
      </c>
      <c r="F27" s="80" t="s">
        <v>642</v>
      </c>
      <c r="G27" s="81"/>
    </row>
    <row r="28" spans="1:7" ht="18.75" customHeight="1">
      <c r="A28" s="4" t="s">
        <v>108</v>
      </c>
      <c r="B28" s="75" t="s">
        <v>109</v>
      </c>
      <c r="C28" s="75" t="s">
        <v>110</v>
      </c>
      <c r="D28" s="76">
        <v>2017</v>
      </c>
      <c r="E28" s="77" t="s">
        <v>659</v>
      </c>
      <c r="F28" s="82" t="s">
        <v>642</v>
      </c>
      <c r="G28" s="81"/>
    </row>
    <row r="29" spans="1:7" ht="18.75" customHeight="1">
      <c r="A29" s="4" t="s">
        <v>112</v>
      </c>
      <c r="B29" s="75" t="s">
        <v>113</v>
      </c>
      <c r="C29" s="75" t="s">
        <v>114</v>
      </c>
      <c r="D29" s="76">
        <v>2018</v>
      </c>
      <c r="E29" s="79" t="s">
        <v>660</v>
      </c>
      <c r="F29" s="80" t="s">
        <v>650</v>
      </c>
      <c r="G29" s="81"/>
    </row>
    <row r="30" spans="1:7" ht="18.75" customHeight="1">
      <c r="A30" s="4" t="s">
        <v>116</v>
      </c>
      <c r="B30" s="75" t="s">
        <v>117</v>
      </c>
      <c r="C30" s="75" t="s">
        <v>27</v>
      </c>
      <c r="D30" s="76">
        <v>2018</v>
      </c>
      <c r="E30" s="77" t="s">
        <v>661</v>
      </c>
      <c r="F30" s="82" t="s">
        <v>642</v>
      </c>
      <c r="G30" s="81"/>
    </row>
    <row r="31" spans="1:7" ht="18.75" customHeight="1">
      <c r="A31" s="4" t="s">
        <v>119</v>
      </c>
      <c r="B31" s="75" t="s">
        <v>120</v>
      </c>
      <c r="C31" s="75" t="s">
        <v>121</v>
      </c>
      <c r="D31" s="76">
        <v>2018</v>
      </c>
      <c r="E31" s="79" t="s">
        <v>662</v>
      </c>
      <c r="F31" s="80" t="s">
        <v>642</v>
      </c>
      <c r="G31" s="81"/>
    </row>
    <row r="32" spans="1:7" ht="18.75" customHeight="1">
      <c r="A32" s="4" t="s">
        <v>123</v>
      </c>
      <c r="B32" s="75" t="s">
        <v>124</v>
      </c>
      <c r="C32" s="75" t="s">
        <v>125</v>
      </c>
      <c r="D32" s="76">
        <v>2018</v>
      </c>
      <c r="E32" s="77" t="s">
        <v>663</v>
      </c>
      <c r="F32" s="82" t="s">
        <v>630</v>
      </c>
      <c r="G32" s="81"/>
    </row>
    <row r="33" spans="1:7" ht="18.75" customHeight="1">
      <c r="A33" s="4" t="s">
        <v>127</v>
      </c>
      <c r="B33" s="75" t="s">
        <v>128</v>
      </c>
      <c r="C33" s="75" t="s">
        <v>129</v>
      </c>
      <c r="D33" s="76">
        <v>2018</v>
      </c>
      <c r="E33" s="79" t="s">
        <v>664</v>
      </c>
      <c r="F33" s="80" t="s">
        <v>642</v>
      </c>
      <c r="G33" s="81"/>
    </row>
    <row r="34" spans="1:7" ht="18.75" customHeight="1">
      <c r="A34" s="4" t="s">
        <v>131</v>
      </c>
      <c r="B34" s="75" t="s">
        <v>132</v>
      </c>
      <c r="C34" s="75" t="s">
        <v>133</v>
      </c>
      <c r="D34" s="76">
        <v>2018</v>
      </c>
      <c r="E34" s="77" t="s">
        <v>665</v>
      </c>
      <c r="F34" s="82" t="s">
        <v>634</v>
      </c>
      <c r="G34" s="81"/>
    </row>
    <row r="35" spans="1:7" ht="18.75" customHeight="1">
      <c r="A35" s="4" t="s">
        <v>135</v>
      </c>
      <c r="B35" s="75" t="s">
        <v>136</v>
      </c>
      <c r="C35" s="75" t="s">
        <v>137</v>
      </c>
      <c r="D35" s="76">
        <v>2018</v>
      </c>
      <c r="E35" s="79" t="s">
        <v>666</v>
      </c>
      <c r="F35" s="80" t="s">
        <v>642</v>
      </c>
      <c r="G35" s="81"/>
    </row>
    <row r="36" spans="1:7" ht="18.75" customHeight="1">
      <c r="A36" s="4" t="s">
        <v>139</v>
      </c>
      <c r="B36" s="75" t="s">
        <v>140</v>
      </c>
      <c r="C36" s="75" t="s">
        <v>141</v>
      </c>
      <c r="D36" s="76">
        <v>2018</v>
      </c>
      <c r="E36" s="77" t="s">
        <v>667</v>
      </c>
      <c r="F36" s="82" t="s">
        <v>642</v>
      </c>
      <c r="G36" s="81"/>
    </row>
    <row r="37" spans="1:7" ht="18.75" customHeight="1">
      <c r="A37" s="4" t="s">
        <v>143</v>
      </c>
      <c r="B37" s="75" t="s">
        <v>144</v>
      </c>
      <c r="C37" s="75" t="s">
        <v>145</v>
      </c>
      <c r="D37" s="76">
        <v>2018</v>
      </c>
      <c r="E37" s="79" t="s">
        <v>668</v>
      </c>
      <c r="F37" s="80" t="s">
        <v>642</v>
      </c>
      <c r="G37" s="81"/>
    </row>
    <row r="38" spans="1:7" ht="18.75" customHeight="1">
      <c r="A38" s="4" t="s">
        <v>147</v>
      </c>
      <c r="B38" s="75" t="s">
        <v>148</v>
      </c>
      <c r="C38" s="75" t="s">
        <v>149</v>
      </c>
      <c r="D38" s="76">
        <v>2018</v>
      </c>
      <c r="E38" s="77" t="s">
        <v>669</v>
      </c>
      <c r="F38" s="82" t="s">
        <v>642</v>
      </c>
      <c r="G38" s="81"/>
    </row>
    <row r="39" spans="1:7" ht="18.75" customHeight="1">
      <c r="A39" s="4" t="s">
        <v>151</v>
      </c>
      <c r="B39" s="75" t="s">
        <v>152</v>
      </c>
      <c r="C39" s="75" t="s">
        <v>153</v>
      </c>
      <c r="D39" s="76">
        <v>2018</v>
      </c>
      <c r="E39" s="79" t="s">
        <v>670</v>
      </c>
      <c r="F39" s="80" t="s">
        <v>642</v>
      </c>
      <c r="G39" s="81"/>
    </row>
    <row r="40" spans="1:7" ht="18.75" customHeight="1">
      <c r="A40" s="4" t="s">
        <v>155</v>
      </c>
      <c r="B40" s="75" t="s">
        <v>156</v>
      </c>
      <c r="C40" s="75" t="s">
        <v>157</v>
      </c>
      <c r="D40" s="76">
        <v>2018</v>
      </c>
      <c r="E40" s="77" t="s">
        <v>671</v>
      </c>
      <c r="F40" s="82" t="s">
        <v>634</v>
      </c>
      <c r="G40" s="81"/>
    </row>
    <row r="41" spans="1:7" ht="18.75" customHeight="1">
      <c r="A41" s="4" t="s">
        <v>159</v>
      </c>
      <c r="B41" s="75" t="s">
        <v>160</v>
      </c>
      <c r="C41" s="75" t="s">
        <v>161</v>
      </c>
      <c r="D41" s="76">
        <v>2019</v>
      </c>
      <c r="E41" s="79" t="s">
        <v>672</v>
      </c>
      <c r="F41" s="80" t="s">
        <v>642</v>
      </c>
      <c r="G41" s="81"/>
    </row>
    <row r="42" spans="1:7" ht="18.75" customHeight="1">
      <c r="A42" s="4" t="s">
        <v>163</v>
      </c>
      <c r="B42" s="75" t="s">
        <v>164</v>
      </c>
      <c r="C42" s="75" t="s">
        <v>165</v>
      </c>
      <c r="D42" s="76">
        <v>2019</v>
      </c>
      <c r="E42" s="77" t="s">
        <v>673</v>
      </c>
      <c r="F42" s="82" t="s">
        <v>634</v>
      </c>
      <c r="G42" s="81"/>
    </row>
    <row r="43" spans="1:7" ht="18.75" customHeight="1">
      <c r="A43" s="4" t="s">
        <v>167</v>
      </c>
      <c r="B43" s="75" t="s">
        <v>168</v>
      </c>
      <c r="C43" s="75" t="s">
        <v>169</v>
      </c>
      <c r="D43" s="76">
        <v>2019</v>
      </c>
      <c r="E43" s="79" t="s">
        <v>674</v>
      </c>
      <c r="F43" s="80" t="s">
        <v>634</v>
      </c>
      <c r="G43" s="81"/>
    </row>
    <row r="44" spans="1:7" ht="18.75" customHeight="1">
      <c r="A44" s="4" t="s">
        <v>171</v>
      </c>
      <c r="B44" s="75" t="s">
        <v>172</v>
      </c>
      <c r="C44" s="75" t="s">
        <v>173</v>
      </c>
      <c r="D44" s="76">
        <v>2019</v>
      </c>
      <c r="E44" s="77" t="s">
        <v>675</v>
      </c>
      <c r="F44" s="82" t="s">
        <v>634</v>
      </c>
      <c r="G44" s="81"/>
    </row>
    <row r="45" spans="1:7" ht="18.75" customHeight="1">
      <c r="A45" s="4" t="s">
        <v>175</v>
      </c>
      <c r="B45" s="75" t="s">
        <v>176</v>
      </c>
      <c r="C45" s="75" t="s">
        <v>177</v>
      </c>
      <c r="D45" s="76">
        <v>2019</v>
      </c>
      <c r="E45" s="79" t="s">
        <v>676</v>
      </c>
      <c r="F45" s="80" t="s">
        <v>642</v>
      </c>
      <c r="G45" s="81"/>
    </row>
    <row r="46" spans="1:7" ht="18.75" customHeight="1">
      <c r="A46" s="4" t="s">
        <v>179</v>
      </c>
      <c r="B46" s="75" t="s">
        <v>180</v>
      </c>
      <c r="C46" s="75" t="s">
        <v>181</v>
      </c>
      <c r="D46" s="76">
        <v>2019</v>
      </c>
      <c r="E46" s="77" t="s">
        <v>677</v>
      </c>
      <c r="F46" s="83" t="s">
        <v>642</v>
      </c>
      <c r="G46" s="81"/>
    </row>
    <row r="47" spans="1:7" ht="18.75" customHeight="1">
      <c r="A47" s="4" t="s">
        <v>183</v>
      </c>
      <c r="B47" s="75" t="s">
        <v>184</v>
      </c>
      <c r="C47" s="75" t="s">
        <v>185</v>
      </c>
      <c r="D47" s="76">
        <v>2020</v>
      </c>
      <c r="E47" s="79" t="s">
        <v>678</v>
      </c>
      <c r="F47" s="80" t="s">
        <v>642</v>
      </c>
      <c r="G47" s="81"/>
    </row>
    <row r="48" spans="1:7" ht="18.75" customHeight="1">
      <c r="A48" s="4" t="s">
        <v>187</v>
      </c>
      <c r="B48" s="75" t="s">
        <v>188</v>
      </c>
      <c r="C48" s="75" t="s">
        <v>189</v>
      </c>
      <c r="D48" s="76">
        <v>2020</v>
      </c>
      <c r="E48" s="77" t="s">
        <v>679</v>
      </c>
      <c r="F48" s="82" t="s">
        <v>642</v>
      </c>
      <c r="G48" s="81"/>
    </row>
    <row r="49" spans="1:7" ht="18.75" customHeight="1">
      <c r="A49" s="4" t="s">
        <v>191</v>
      </c>
      <c r="B49" s="75" t="s">
        <v>192</v>
      </c>
      <c r="C49" s="75" t="s">
        <v>193</v>
      </c>
      <c r="D49" s="76">
        <v>2020</v>
      </c>
      <c r="E49" s="79" t="s">
        <v>680</v>
      </c>
      <c r="F49" s="80" t="s">
        <v>642</v>
      </c>
      <c r="G49" s="81"/>
    </row>
    <row r="50" spans="1:7" ht="18.75" customHeight="1">
      <c r="A50" s="4" t="s">
        <v>195</v>
      </c>
      <c r="B50" s="75" t="s">
        <v>196</v>
      </c>
      <c r="C50" s="75" t="s">
        <v>197</v>
      </c>
      <c r="D50" s="76">
        <v>2020</v>
      </c>
      <c r="E50" s="77" t="s">
        <v>681</v>
      </c>
      <c r="F50" s="82" t="s">
        <v>642</v>
      </c>
      <c r="G50" s="81"/>
    </row>
    <row r="51" spans="1:7" ht="18.75" customHeight="1">
      <c r="A51" s="4" t="s">
        <v>199</v>
      </c>
      <c r="B51" s="75" t="s">
        <v>200</v>
      </c>
      <c r="C51" s="75" t="s">
        <v>201</v>
      </c>
      <c r="D51" s="76">
        <v>2020</v>
      </c>
      <c r="E51" s="79" t="s">
        <v>682</v>
      </c>
      <c r="F51" s="80" t="s">
        <v>642</v>
      </c>
      <c r="G51" s="81"/>
    </row>
    <row r="52" spans="1:7" ht="18.75" customHeight="1">
      <c r="A52" s="4" t="s">
        <v>203</v>
      </c>
      <c r="B52" s="75" t="s">
        <v>204</v>
      </c>
      <c r="C52" s="75" t="s">
        <v>205</v>
      </c>
      <c r="D52" s="76">
        <v>2020</v>
      </c>
      <c r="E52" s="77" t="s">
        <v>683</v>
      </c>
      <c r="F52" s="82" t="s">
        <v>642</v>
      </c>
      <c r="G52" s="81"/>
    </row>
    <row r="53" spans="1:7" ht="18.75" customHeight="1">
      <c r="A53" s="4" t="s">
        <v>207</v>
      </c>
      <c r="B53" s="75" t="s">
        <v>208</v>
      </c>
      <c r="C53" s="75" t="s">
        <v>209</v>
      </c>
      <c r="D53" s="76">
        <v>2020</v>
      </c>
      <c r="E53" s="79" t="s">
        <v>684</v>
      </c>
      <c r="F53" s="80" t="s">
        <v>642</v>
      </c>
      <c r="G53" s="81"/>
    </row>
    <row r="54" spans="1:7" ht="18.75" customHeight="1">
      <c r="A54" s="4" t="s">
        <v>211</v>
      </c>
      <c r="B54" s="75" t="s">
        <v>212</v>
      </c>
      <c r="C54" s="75" t="s">
        <v>213</v>
      </c>
      <c r="D54" s="76">
        <v>2020</v>
      </c>
      <c r="E54" s="77" t="s">
        <v>685</v>
      </c>
      <c r="F54" s="82" t="s">
        <v>630</v>
      </c>
      <c r="G54" s="81"/>
    </row>
    <row r="55" spans="1:7" ht="18.75" customHeight="1">
      <c r="A55" s="4" t="s">
        <v>215</v>
      </c>
      <c r="B55" s="75" t="s">
        <v>216</v>
      </c>
      <c r="C55" s="75" t="s">
        <v>217</v>
      </c>
      <c r="D55" s="76">
        <v>2020</v>
      </c>
      <c r="E55" s="79" t="s">
        <v>686</v>
      </c>
      <c r="F55" s="80" t="s">
        <v>642</v>
      </c>
      <c r="G55" s="81"/>
    </row>
    <row r="56" spans="1:7" ht="18.75" customHeight="1">
      <c r="A56" s="4" t="s">
        <v>219</v>
      </c>
      <c r="B56" s="75" t="s">
        <v>220</v>
      </c>
      <c r="C56" s="75" t="s">
        <v>221</v>
      </c>
      <c r="D56" s="76">
        <v>2020</v>
      </c>
      <c r="E56" s="77" t="s">
        <v>687</v>
      </c>
      <c r="F56" s="82" t="s">
        <v>642</v>
      </c>
      <c r="G56" s="81"/>
    </row>
    <row r="57" spans="1:7" ht="18.75" customHeight="1">
      <c r="A57" s="4" t="s">
        <v>223</v>
      </c>
      <c r="B57" s="75" t="s">
        <v>224</v>
      </c>
      <c r="C57" s="75" t="s">
        <v>225</v>
      </c>
      <c r="D57" s="76">
        <v>2020</v>
      </c>
      <c r="E57" s="79" t="s">
        <v>688</v>
      </c>
      <c r="F57" s="80" t="s">
        <v>642</v>
      </c>
      <c r="G57" s="81"/>
    </row>
    <row r="58" spans="1:7" ht="18.75" customHeight="1">
      <c r="A58" s="4" t="s">
        <v>227</v>
      </c>
      <c r="B58" s="75" t="s">
        <v>228</v>
      </c>
      <c r="C58" s="75" t="s">
        <v>229</v>
      </c>
      <c r="D58" s="76">
        <v>2020</v>
      </c>
      <c r="E58" s="77" t="s">
        <v>689</v>
      </c>
      <c r="F58" s="82" t="s">
        <v>642</v>
      </c>
      <c r="G58" s="81"/>
    </row>
    <row r="59" spans="1:7" ht="18.75" customHeight="1">
      <c r="A59" s="4" t="s">
        <v>231</v>
      </c>
      <c r="B59" s="75" t="s">
        <v>232</v>
      </c>
      <c r="C59" s="75" t="s">
        <v>233</v>
      </c>
      <c r="D59" s="76">
        <v>2021</v>
      </c>
      <c r="E59" s="79" t="s">
        <v>690</v>
      </c>
      <c r="F59" s="80" t="s">
        <v>642</v>
      </c>
      <c r="G59" s="81"/>
    </row>
    <row r="60" spans="1:7" ht="18.75" customHeight="1">
      <c r="A60" s="4" t="s">
        <v>235</v>
      </c>
      <c r="B60" s="75" t="s">
        <v>236</v>
      </c>
      <c r="C60" s="75" t="s">
        <v>237</v>
      </c>
      <c r="D60" s="76">
        <v>2021</v>
      </c>
      <c r="E60" s="77" t="s">
        <v>691</v>
      </c>
      <c r="F60" s="82" t="s">
        <v>642</v>
      </c>
      <c r="G60" s="81"/>
    </row>
    <row r="61" spans="1:7" ht="18.75" customHeight="1">
      <c r="A61" s="4" t="s">
        <v>239</v>
      </c>
      <c r="B61" s="75" t="s">
        <v>240</v>
      </c>
      <c r="C61" s="75" t="s">
        <v>241</v>
      </c>
      <c r="D61" s="76">
        <v>2021</v>
      </c>
      <c r="E61" s="79" t="s">
        <v>692</v>
      </c>
      <c r="F61" s="80" t="s">
        <v>642</v>
      </c>
      <c r="G61" s="81"/>
    </row>
    <row r="62" spans="1:7" ht="18.75" customHeight="1">
      <c r="A62" s="4" t="s">
        <v>243</v>
      </c>
      <c r="B62" s="75" t="s">
        <v>244</v>
      </c>
      <c r="C62" s="75" t="s">
        <v>245</v>
      </c>
      <c r="D62" s="76">
        <v>2021</v>
      </c>
      <c r="E62" s="77" t="s">
        <v>693</v>
      </c>
      <c r="F62" s="82" t="s">
        <v>630</v>
      </c>
      <c r="G62" s="81"/>
    </row>
    <row r="63" spans="1:7" ht="18.75" customHeight="1">
      <c r="A63" s="4" t="s">
        <v>247</v>
      </c>
      <c r="B63" s="75" t="s">
        <v>248</v>
      </c>
      <c r="C63" s="75" t="s">
        <v>249</v>
      </c>
      <c r="D63" s="76">
        <v>2021</v>
      </c>
      <c r="E63" s="79" t="s">
        <v>694</v>
      </c>
      <c r="F63" s="80" t="s">
        <v>634</v>
      </c>
      <c r="G63" s="81"/>
    </row>
    <row r="64" spans="1:7" ht="18.75" customHeight="1">
      <c r="A64" s="4" t="s">
        <v>251</v>
      </c>
      <c r="B64" s="75" t="s">
        <v>252</v>
      </c>
      <c r="C64" s="75" t="s">
        <v>253</v>
      </c>
      <c r="D64" s="76">
        <v>2021</v>
      </c>
      <c r="E64" s="77" t="s">
        <v>695</v>
      </c>
      <c r="F64" s="82" t="s">
        <v>642</v>
      </c>
      <c r="G64" s="81"/>
    </row>
    <row r="65" spans="1:7" ht="18.75" customHeight="1">
      <c r="A65" s="4" t="s">
        <v>255</v>
      </c>
      <c r="B65" s="75" t="s">
        <v>256</v>
      </c>
      <c r="C65" s="75" t="s">
        <v>257</v>
      </c>
      <c r="D65" s="76">
        <v>2021</v>
      </c>
      <c r="E65" s="79" t="s">
        <v>696</v>
      </c>
      <c r="F65" s="80" t="s">
        <v>642</v>
      </c>
      <c r="G65" s="81"/>
    </row>
    <row r="66" spans="1:7" ht="18.75" customHeight="1">
      <c r="A66" s="4" t="s">
        <v>259</v>
      </c>
      <c r="B66" s="75" t="s">
        <v>260</v>
      </c>
      <c r="C66" s="17" t="s">
        <v>261</v>
      </c>
      <c r="D66" s="76">
        <v>2021</v>
      </c>
      <c r="E66" s="77" t="s">
        <v>697</v>
      </c>
      <c r="F66" s="82" t="s">
        <v>634</v>
      </c>
      <c r="G66" s="81"/>
    </row>
    <row r="67" spans="1:7" ht="18.75" customHeight="1">
      <c r="A67" s="4" t="s">
        <v>263</v>
      </c>
      <c r="B67" s="75" t="s">
        <v>698</v>
      </c>
      <c r="C67" s="17" t="s">
        <v>265</v>
      </c>
      <c r="D67" s="76">
        <v>2021</v>
      </c>
      <c r="E67" s="79" t="s">
        <v>699</v>
      </c>
      <c r="F67" s="80" t="s">
        <v>642</v>
      </c>
      <c r="G67" s="81"/>
    </row>
    <row r="68" spans="1:7" ht="18.75" customHeight="1">
      <c r="A68" s="4" t="s">
        <v>267</v>
      </c>
      <c r="B68" s="75" t="s">
        <v>268</v>
      </c>
      <c r="C68" s="75" t="s">
        <v>269</v>
      </c>
      <c r="D68" s="76">
        <v>2021</v>
      </c>
      <c r="E68" s="77" t="s">
        <v>700</v>
      </c>
      <c r="F68" s="82" t="s">
        <v>642</v>
      </c>
      <c r="G68" s="81"/>
    </row>
    <row r="69" spans="1:7" ht="18.75" customHeight="1">
      <c r="A69" s="4" t="s">
        <v>271</v>
      </c>
      <c r="B69" s="75" t="s">
        <v>272</v>
      </c>
      <c r="C69" s="75" t="s">
        <v>273</v>
      </c>
      <c r="D69" s="76">
        <v>2021</v>
      </c>
      <c r="E69" s="79" t="s">
        <v>701</v>
      </c>
      <c r="F69" s="80" t="s">
        <v>642</v>
      </c>
      <c r="G69" s="81"/>
    </row>
    <row r="70" spans="1:7" ht="18.75" customHeight="1">
      <c r="A70" s="4" t="s">
        <v>275</v>
      </c>
      <c r="B70" s="75" t="s">
        <v>276</v>
      </c>
      <c r="C70" s="75" t="s">
        <v>277</v>
      </c>
      <c r="D70" s="76">
        <v>2022</v>
      </c>
      <c r="E70" s="77" t="s">
        <v>702</v>
      </c>
      <c r="F70" s="82" t="s">
        <v>642</v>
      </c>
      <c r="G70" s="81"/>
    </row>
    <row r="71" spans="1:7" ht="18.75" customHeight="1">
      <c r="A71" s="4" t="s">
        <v>279</v>
      </c>
      <c r="B71" s="75" t="s">
        <v>280</v>
      </c>
      <c r="C71" s="75" t="s">
        <v>281</v>
      </c>
      <c r="D71" s="76">
        <v>2022</v>
      </c>
      <c r="E71" s="79" t="s">
        <v>703</v>
      </c>
      <c r="F71" s="80" t="s">
        <v>642</v>
      </c>
      <c r="G71" s="81"/>
    </row>
    <row r="72" spans="1:7" ht="18.75" customHeight="1">
      <c r="A72" s="4" t="s">
        <v>283</v>
      </c>
      <c r="B72" s="75" t="s">
        <v>284</v>
      </c>
      <c r="C72" s="75" t="s">
        <v>285</v>
      </c>
      <c r="D72" s="76">
        <v>2022</v>
      </c>
      <c r="E72" s="77" t="s">
        <v>704</v>
      </c>
      <c r="F72" s="82" t="s">
        <v>642</v>
      </c>
      <c r="G72" s="81"/>
    </row>
    <row r="73" spans="1:7" ht="18.75" customHeight="1">
      <c r="A73" s="4" t="s">
        <v>287</v>
      </c>
      <c r="B73" s="75" t="s">
        <v>288</v>
      </c>
      <c r="C73" s="75" t="s">
        <v>289</v>
      </c>
      <c r="D73" s="76">
        <v>2022</v>
      </c>
      <c r="E73" s="79" t="s">
        <v>705</v>
      </c>
      <c r="F73" s="80" t="s">
        <v>642</v>
      </c>
      <c r="G73" s="81"/>
    </row>
    <row r="74" spans="1:7" ht="18.75" customHeight="1">
      <c r="A74" s="4" t="s">
        <v>291</v>
      </c>
      <c r="B74" s="75" t="s">
        <v>292</v>
      </c>
      <c r="C74" s="75" t="s">
        <v>293</v>
      </c>
      <c r="D74" s="76">
        <v>2022</v>
      </c>
      <c r="E74" s="77" t="s">
        <v>706</v>
      </c>
      <c r="F74" s="82" t="s">
        <v>630</v>
      </c>
      <c r="G74" s="81"/>
    </row>
    <row r="75" spans="1:7" ht="18.75" customHeight="1">
      <c r="A75" s="4" t="s">
        <v>295</v>
      </c>
      <c r="B75" s="75" t="s">
        <v>296</v>
      </c>
      <c r="C75" s="75" t="s">
        <v>297</v>
      </c>
      <c r="D75" s="76">
        <v>2022</v>
      </c>
      <c r="E75" s="79" t="s">
        <v>707</v>
      </c>
      <c r="F75" s="80" t="s">
        <v>642</v>
      </c>
      <c r="G75" s="81"/>
    </row>
    <row r="76" spans="1:7" ht="18.75" customHeight="1">
      <c r="A76" s="4" t="s">
        <v>299</v>
      </c>
      <c r="B76" s="75" t="s">
        <v>300</v>
      </c>
      <c r="C76" s="75" t="s">
        <v>301</v>
      </c>
      <c r="D76" s="76">
        <v>2022</v>
      </c>
      <c r="E76" s="77" t="s">
        <v>708</v>
      </c>
      <c r="F76" s="83" t="s">
        <v>642</v>
      </c>
      <c r="G76" s="81"/>
    </row>
    <row r="77" spans="1:7" ht="18.75" customHeight="1">
      <c r="A77" s="4" t="s">
        <v>303</v>
      </c>
      <c r="B77" s="75" t="s">
        <v>304</v>
      </c>
      <c r="C77" s="75" t="s">
        <v>305</v>
      </c>
      <c r="D77" s="76">
        <v>2022</v>
      </c>
      <c r="E77" s="79" t="s">
        <v>709</v>
      </c>
      <c r="F77" s="80" t="s">
        <v>642</v>
      </c>
      <c r="G77" s="81"/>
    </row>
    <row r="78" spans="1:7" ht="18.75" customHeight="1">
      <c r="A78" s="4" t="s">
        <v>307</v>
      </c>
      <c r="B78" s="75" t="s">
        <v>308</v>
      </c>
      <c r="C78" s="75" t="s">
        <v>309</v>
      </c>
      <c r="D78" s="76">
        <v>2022</v>
      </c>
      <c r="E78" s="77" t="s">
        <v>710</v>
      </c>
      <c r="F78" s="82" t="s">
        <v>642</v>
      </c>
      <c r="G78" s="81"/>
    </row>
    <row r="79" spans="1:7" ht="18.75" customHeight="1">
      <c r="A79" s="4" t="s">
        <v>311</v>
      </c>
      <c r="B79" s="75" t="s">
        <v>312</v>
      </c>
      <c r="C79" s="75" t="s">
        <v>313</v>
      </c>
      <c r="D79" s="76">
        <v>2022</v>
      </c>
      <c r="E79" s="79" t="s">
        <v>711</v>
      </c>
      <c r="F79" s="80" t="s">
        <v>642</v>
      </c>
      <c r="G79" s="81"/>
    </row>
    <row r="80" spans="1:7" ht="18.75" customHeight="1">
      <c r="A80" s="4" t="s">
        <v>315</v>
      </c>
      <c r="B80" s="75" t="s">
        <v>316</v>
      </c>
      <c r="C80" s="75" t="s">
        <v>317</v>
      </c>
      <c r="D80" s="76">
        <v>2022</v>
      </c>
      <c r="E80" s="77" t="s">
        <v>712</v>
      </c>
      <c r="F80" s="82" t="s">
        <v>642</v>
      </c>
      <c r="G80" s="81"/>
    </row>
    <row r="81" spans="1:7" ht="18.75" customHeight="1">
      <c r="A81" s="4" t="s">
        <v>319</v>
      </c>
      <c r="B81" s="75" t="s">
        <v>320</v>
      </c>
      <c r="C81" s="75" t="s">
        <v>321</v>
      </c>
      <c r="D81" s="76">
        <v>2022</v>
      </c>
      <c r="E81" s="79" t="s">
        <v>713</v>
      </c>
      <c r="F81" s="80" t="s">
        <v>634</v>
      </c>
      <c r="G81" s="81"/>
    </row>
    <row r="82" spans="1:7" ht="18.75" customHeight="1">
      <c r="A82" s="4" t="s">
        <v>323</v>
      </c>
      <c r="B82" s="75" t="s">
        <v>324</v>
      </c>
      <c r="C82" s="75" t="s">
        <v>325</v>
      </c>
      <c r="D82" s="76">
        <v>2022</v>
      </c>
      <c r="E82" s="77" t="s">
        <v>714</v>
      </c>
      <c r="F82" s="82" t="s">
        <v>642</v>
      </c>
      <c r="G82" s="81"/>
    </row>
    <row r="83" spans="1:7" ht="18.75" customHeight="1">
      <c r="A83" s="4" t="s">
        <v>327</v>
      </c>
      <c r="B83" s="75" t="s">
        <v>328</v>
      </c>
      <c r="C83" s="75" t="s">
        <v>329</v>
      </c>
      <c r="D83" s="76">
        <v>2022</v>
      </c>
      <c r="E83" s="79" t="s">
        <v>715</v>
      </c>
      <c r="F83" s="80" t="s">
        <v>642</v>
      </c>
      <c r="G83" s="81"/>
    </row>
    <row r="84" spans="1:7" ht="18.75" customHeight="1">
      <c r="A84" s="4" t="s">
        <v>331</v>
      </c>
      <c r="B84" s="75" t="s">
        <v>332</v>
      </c>
      <c r="C84" s="75" t="s">
        <v>333</v>
      </c>
      <c r="D84" s="76">
        <v>2022</v>
      </c>
      <c r="E84" s="77" t="s">
        <v>716</v>
      </c>
      <c r="F84" s="82" t="s">
        <v>642</v>
      </c>
      <c r="G84" s="81"/>
    </row>
    <row r="85" spans="1:7" ht="18.75" customHeight="1">
      <c r="A85" s="4" t="s">
        <v>335</v>
      </c>
      <c r="B85" s="75" t="s">
        <v>336</v>
      </c>
      <c r="C85" s="75" t="s">
        <v>313</v>
      </c>
      <c r="D85" s="76">
        <v>2022</v>
      </c>
      <c r="E85" s="79" t="s">
        <v>717</v>
      </c>
      <c r="F85" s="80" t="s">
        <v>642</v>
      </c>
      <c r="G85" s="81"/>
    </row>
    <row r="86" spans="1:7" ht="18.75" customHeight="1">
      <c r="A86" s="4" t="s">
        <v>338</v>
      </c>
      <c r="B86" s="75" t="s">
        <v>339</v>
      </c>
      <c r="C86" s="75" t="s">
        <v>340</v>
      </c>
      <c r="D86" s="76">
        <v>2022</v>
      </c>
      <c r="E86" s="77" t="s">
        <v>718</v>
      </c>
      <c r="F86" s="82" t="s">
        <v>642</v>
      </c>
      <c r="G86" s="81"/>
    </row>
    <row r="87" spans="1:7" ht="18.75" customHeight="1">
      <c r="A87" s="4" t="s">
        <v>366</v>
      </c>
      <c r="B87" s="75" t="s">
        <v>367</v>
      </c>
      <c r="C87" s="75" t="s">
        <v>368</v>
      </c>
      <c r="D87" s="76">
        <v>2023</v>
      </c>
      <c r="E87" s="79" t="s">
        <v>719</v>
      </c>
      <c r="F87" s="80" t="s">
        <v>642</v>
      </c>
      <c r="G87" s="81"/>
    </row>
    <row r="88" spans="1:7" ht="18.75" customHeight="1">
      <c r="A88" s="4" t="s">
        <v>370</v>
      </c>
      <c r="B88" s="75" t="s">
        <v>371</v>
      </c>
      <c r="C88" s="75" t="s">
        <v>372</v>
      </c>
      <c r="D88" s="76">
        <v>2023</v>
      </c>
      <c r="E88" s="77" t="s">
        <v>720</v>
      </c>
      <c r="F88" s="82" t="s">
        <v>642</v>
      </c>
      <c r="G88" s="81"/>
    </row>
    <row r="89" spans="1:7" ht="18.75" customHeight="1">
      <c r="A89" s="4" t="s">
        <v>374</v>
      </c>
      <c r="B89" s="75" t="s">
        <v>375</v>
      </c>
      <c r="C89" s="75" t="s">
        <v>376</v>
      </c>
      <c r="D89" s="76">
        <v>2023</v>
      </c>
      <c r="E89" s="79" t="s">
        <v>721</v>
      </c>
      <c r="F89" s="80" t="s">
        <v>650</v>
      </c>
      <c r="G89" s="81"/>
    </row>
    <row r="90" spans="1:7" ht="18.75" customHeight="1">
      <c r="A90" s="4" t="s">
        <v>378</v>
      </c>
      <c r="B90" s="75" t="s">
        <v>379</v>
      </c>
      <c r="C90" s="75" t="s">
        <v>380</v>
      </c>
      <c r="D90" s="76">
        <v>2023</v>
      </c>
      <c r="E90" s="77" t="s">
        <v>722</v>
      </c>
      <c r="F90" s="82" t="s">
        <v>642</v>
      </c>
      <c r="G90" s="81"/>
    </row>
    <row r="91" spans="1:7" ht="18.75" customHeight="1">
      <c r="A91" s="4" t="s">
        <v>382</v>
      </c>
      <c r="B91" s="75" t="s">
        <v>383</v>
      </c>
      <c r="C91" s="75" t="s">
        <v>384</v>
      </c>
      <c r="D91" s="76">
        <v>2023</v>
      </c>
      <c r="E91" s="79" t="s">
        <v>723</v>
      </c>
      <c r="F91" s="80" t="s">
        <v>642</v>
      </c>
      <c r="G91" s="81"/>
    </row>
    <row r="92" spans="1:7" ht="18.75" customHeight="1">
      <c r="A92" s="4" t="s">
        <v>386</v>
      </c>
      <c r="B92" s="75" t="s">
        <v>387</v>
      </c>
      <c r="C92" s="75" t="s">
        <v>388</v>
      </c>
      <c r="D92" s="76">
        <v>2023</v>
      </c>
      <c r="E92" s="77" t="s">
        <v>724</v>
      </c>
      <c r="F92" s="82" t="s">
        <v>642</v>
      </c>
      <c r="G92" s="81"/>
    </row>
    <row r="93" spans="1:7" ht="18.75" customHeight="1">
      <c r="A93" s="4" t="s">
        <v>390</v>
      </c>
      <c r="B93" s="75" t="s">
        <v>391</v>
      </c>
      <c r="C93" s="75" t="s">
        <v>392</v>
      </c>
      <c r="D93" s="76">
        <v>2023</v>
      </c>
      <c r="E93" s="79" t="s">
        <v>725</v>
      </c>
      <c r="F93" s="80" t="s">
        <v>642</v>
      </c>
      <c r="G93" s="81"/>
    </row>
    <row r="94" spans="1:7" ht="18.75" customHeight="1">
      <c r="A94" s="4" t="s">
        <v>394</v>
      </c>
      <c r="B94" s="75" t="s">
        <v>395</v>
      </c>
      <c r="C94" s="75" t="s">
        <v>396</v>
      </c>
      <c r="D94" s="76">
        <v>2023</v>
      </c>
      <c r="E94" s="77" t="s">
        <v>726</v>
      </c>
      <c r="F94" s="82" t="s">
        <v>642</v>
      </c>
      <c r="G94" s="81"/>
    </row>
    <row r="95" spans="1:7" ht="18.75" customHeight="1">
      <c r="A95" s="4" t="s">
        <v>398</v>
      </c>
      <c r="B95" s="75" t="s">
        <v>399</v>
      </c>
      <c r="C95" s="75" t="s">
        <v>400</v>
      </c>
      <c r="D95" s="76">
        <v>2023</v>
      </c>
      <c r="E95" s="79" t="s">
        <v>727</v>
      </c>
      <c r="F95" s="80" t="s">
        <v>634</v>
      </c>
      <c r="G95" s="81"/>
    </row>
    <row r="96" spans="1:7" ht="18.75" customHeight="1">
      <c r="A96" s="4" t="s">
        <v>402</v>
      </c>
      <c r="B96" s="75" t="s">
        <v>403</v>
      </c>
      <c r="C96" s="75" t="s">
        <v>404</v>
      </c>
      <c r="D96" s="76">
        <v>2023</v>
      </c>
      <c r="E96" s="77" t="s">
        <v>728</v>
      </c>
      <c r="F96" s="82" t="s">
        <v>642</v>
      </c>
      <c r="G96" s="81"/>
    </row>
    <row r="97" spans="1:7" ht="18.75" customHeight="1">
      <c r="A97" s="4" t="s">
        <v>406</v>
      </c>
      <c r="B97" s="75" t="s">
        <v>407</v>
      </c>
      <c r="C97" s="75" t="s">
        <v>408</v>
      </c>
      <c r="D97" s="76">
        <v>2023</v>
      </c>
      <c r="E97" s="79" t="s">
        <v>729</v>
      </c>
      <c r="F97" s="80" t="s">
        <v>642</v>
      </c>
      <c r="G97" s="81"/>
    </row>
    <row r="98" spans="1:7" ht="18.75" customHeight="1">
      <c r="A98" s="4" t="s">
        <v>410</v>
      </c>
      <c r="B98" s="75" t="s">
        <v>411</v>
      </c>
      <c r="C98" s="75" t="s">
        <v>412</v>
      </c>
      <c r="D98" s="76">
        <v>2023</v>
      </c>
      <c r="E98" s="77" t="s">
        <v>730</v>
      </c>
      <c r="F98" s="82" t="s">
        <v>642</v>
      </c>
      <c r="G98" s="81"/>
    </row>
    <row r="99" spans="1:7" ht="18.75" customHeight="1">
      <c r="A99" s="4" t="s">
        <v>414</v>
      </c>
      <c r="B99" s="75" t="s">
        <v>415</v>
      </c>
      <c r="C99" s="75" t="s">
        <v>416</v>
      </c>
      <c r="D99" s="76">
        <v>2023</v>
      </c>
      <c r="E99" s="79" t="s">
        <v>731</v>
      </c>
      <c r="F99" s="80" t="s">
        <v>650</v>
      </c>
      <c r="G99" s="81"/>
    </row>
    <row r="100" spans="1:7" ht="18.75" customHeight="1">
      <c r="A100" s="4" t="s">
        <v>418</v>
      </c>
      <c r="B100" s="75" t="s">
        <v>419</v>
      </c>
      <c r="C100" s="75" t="s">
        <v>420</v>
      </c>
      <c r="D100" s="76">
        <v>2023</v>
      </c>
      <c r="E100" s="77" t="s">
        <v>732</v>
      </c>
      <c r="F100" s="82" t="s">
        <v>642</v>
      </c>
      <c r="G100" s="81"/>
    </row>
    <row r="101" spans="1:7" ht="18.75" customHeight="1">
      <c r="A101" s="4" t="s">
        <v>342</v>
      </c>
      <c r="B101" s="75" t="s">
        <v>343</v>
      </c>
      <c r="C101" s="75" t="s">
        <v>344</v>
      </c>
      <c r="D101" s="76">
        <v>2023</v>
      </c>
      <c r="E101" s="79" t="s">
        <v>733</v>
      </c>
      <c r="F101" s="80" t="s">
        <v>642</v>
      </c>
      <c r="G101" s="81"/>
    </row>
    <row r="102" spans="1:7" ht="18.75" customHeight="1">
      <c r="A102" s="4" t="s">
        <v>346</v>
      </c>
      <c r="B102" s="75" t="s">
        <v>347</v>
      </c>
      <c r="C102" s="75" t="s">
        <v>348</v>
      </c>
      <c r="D102" s="76">
        <v>2023</v>
      </c>
      <c r="E102" s="77" t="s">
        <v>734</v>
      </c>
      <c r="F102" s="82" t="s">
        <v>642</v>
      </c>
      <c r="G102" s="81"/>
    </row>
    <row r="103" spans="1:7" ht="18.75" customHeight="1">
      <c r="A103" s="4" t="s">
        <v>350</v>
      </c>
      <c r="B103" s="75" t="s">
        <v>351</v>
      </c>
      <c r="C103" s="75" t="s">
        <v>352</v>
      </c>
      <c r="D103" s="76">
        <v>2023</v>
      </c>
      <c r="E103" s="79" t="s">
        <v>735</v>
      </c>
      <c r="F103" s="80" t="s">
        <v>642</v>
      </c>
      <c r="G103" s="81"/>
    </row>
    <row r="104" spans="1:7" ht="18.75" customHeight="1">
      <c r="A104" s="4" t="s">
        <v>354</v>
      </c>
      <c r="B104" s="75" t="s">
        <v>736</v>
      </c>
      <c r="C104" s="75" t="s">
        <v>356</v>
      </c>
      <c r="D104" s="76">
        <v>2023</v>
      </c>
      <c r="E104" s="77" t="s">
        <v>737</v>
      </c>
      <c r="F104" s="82" t="s">
        <v>642</v>
      </c>
      <c r="G104" s="81"/>
    </row>
    <row r="105" spans="1:7" ht="18.75" customHeight="1">
      <c r="A105" s="4" t="s">
        <v>358</v>
      </c>
      <c r="B105" s="75" t="s">
        <v>359</v>
      </c>
      <c r="C105" s="75" t="s">
        <v>360</v>
      </c>
      <c r="D105" s="76">
        <v>2023</v>
      </c>
      <c r="E105" s="79" t="s">
        <v>738</v>
      </c>
      <c r="F105" s="80" t="s">
        <v>642</v>
      </c>
      <c r="G105" s="81"/>
    </row>
    <row r="106" spans="1:7" ht="18.75" customHeight="1">
      <c r="A106" s="4" t="s">
        <v>362</v>
      </c>
      <c r="B106" s="75" t="s">
        <v>363</v>
      </c>
      <c r="C106" s="75" t="s">
        <v>364</v>
      </c>
      <c r="D106" s="76">
        <v>2023</v>
      </c>
      <c r="E106" s="77" t="s">
        <v>739</v>
      </c>
      <c r="F106" s="82" t="s">
        <v>642</v>
      </c>
      <c r="G106" s="81"/>
    </row>
    <row r="107" spans="1:7" ht="18.75" customHeight="1">
      <c r="A107" s="4" t="s">
        <v>422</v>
      </c>
      <c r="B107" s="75" t="s">
        <v>423</v>
      </c>
      <c r="C107" s="75" t="s">
        <v>424</v>
      </c>
      <c r="D107" s="76">
        <v>2024</v>
      </c>
      <c r="E107" s="79" t="s">
        <v>740</v>
      </c>
      <c r="F107" s="80" t="s">
        <v>642</v>
      </c>
      <c r="G107" s="81"/>
    </row>
    <row r="108" spans="1:7" ht="18.75" customHeight="1">
      <c r="A108" s="4" t="s">
        <v>426</v>
      </c>
      <c r="B108" s="75" t="s">
        <v>427</v>
      </c>
      <c r="C108" s="75" t="s">
        <v>428</v>
      </c>
      <c r="D108" s="76">
        <v>2024</v>
      </c>
      <c r="E108" s="77" t="s">
        <v>741</v>
      </c>
      <c r="F108" s="17" t="s">
        <v>642</v>
      </c>
      <c r="G108" s="84"/>
    </row>
    <row r="109" spans="1:7" ht="18.75" customHeight="1">
      <c r="A109" s="4" t="s">
        <v>430</v>
      </c>
      <c r="B109" s="75" t="s">
        <v>431</v>
      </c>
      <c r="C109" s="75" t="s">
        <v>432</v>
      </c>
      <c r="D109" s="76">
        <v>2024</v>
      </c>
      <c r="E109" s="79" t="s">
        <v>742</v>
      </c>
      <c r="F109" s="85" t="s">
        <v>642</v>
      </c>
      <c r="G109" s="84"/>
    </row>
    <row r="110" spans="1:7" ht="18.75" customHeight="1">
      <c r="A110" s="4" t="s">
        <v>434</v>
      </c>
      <c r="B110" s="75" t="s">
        <v>435</v>
      </c>
      <c r="C110" s="75" t="s">
        <v>436</v>
      </c>
      <c r="D110" s="76">
        <v>2024</v>
      </c>
      <c r="E110" s="77" t="s">
        <v>743</v>
      </c>
      <c r="F110" s="17" t="s">
        <v>642</v>
      </c>
      <c r="G110" s="84"/>
    </row>
    <row r="111" spans="1:7" ht="18.75" customHeight="1">
      <c r="A111" s="4" t="s">
        <v>438</v>
      </c>
      <c r="B111" s="75" t="s">
        <v>439</v>
      </c>
      <c r="C111" s="75" t="s">
        <v>440</v>
      </c>
      <c r="D111" s="76">
        <v>2024</v>
      </c>
      <c r="E111" s="79" t="s">
        <v>744</v>
      </c>
      <c r="F111" s="85" t="s">
        <v>642</v>
      </c>
      <c r="G111" s="84"/>
    </row>
    <row r="112" spans="1:7" ht="18.75" customHeight="1">
      <c r="A112" s="4" t="s">
        <v>442</v>
      </c>
      <c r="B112" s="75" t="s">
        <v>443</v>
      </c>
      <c r="C112" s="75" t="s">
        <v>444</v>
      </c>
      <c r="D112" s="76">
        <v>2024</v>
      </c>
      <c r="E112" s="77" t="s">
        <v>745</v>
      </c>
      <c r="F112" s="17" t="s">
        <v>642</v>
      </c>
      <c r="G112" s="84"/>
    </row>
    <row r="113" spans="1:7" ht="18.75" customHeight="1">
      <c r="A113" s="4" t="s">
        <v>446</v>
      </c>
      <c r="B113" s="75" t="s">
        <v>447</v>
      </c>
      <c r="C113" s="75" t="s">
        <v>448</v>
      </c>
      <c r="D113" s="76">
        <v>2024</v>
      </c>
      <c r="E113" s="79" t="s">
        <v>746</v>
      </c>
      <c r="F113" s="85" t="s">
        <v>642</v>
      </c>
      <c r="G113" s="84"/>
    </row>
    <row r="114" spans="1:7" ht="18.75" customHeight="1">
      <c r="A114" s="4" t="s">
        <v>450</v>
      </c>
      <c r="B114" s="75" t="s">
        <v>451</v>
      </c>
      <c r="C114" s="75" t="s">
        <v>452</v>
      </c>
      <c r="D114" s="76">
        <v>2024</v>
      </c>
      <c r="E114" s="77" t="s">
        <v>747</v>
      </c>
      <c r="F114" s="17" t="s">
        <v>642</v>
      </c>
      <c r="G114" s="84"/>
    </row>
    <row r="115" spans="1:7" ht="18.75" customHeight="1">
      <c r="A115" s="4" t="s">
        <v>454</v>
      </c>
      <c r="B115" s="75" t="s">
        <v>455</v>
      </c>
      <c r="C115" s="75" t="s">
        <v>456</v>
      </c>
      <c r="D115" s="76">
        <v>2024</v>
      </c>
      <c r="E115" s="79" t="s">
        <v>748</v>
      </c>
      <c r="F115" s="85" t="s">
        <v>642</v>
      </c>
      <c r="G115" s="84"/>
    </row>
    <row r="116" spans="1:7" ht="18.75" customHeight="1">
      <c r="A116" s="4" t="s">
        <v>458</v>
      </c>
      <c r="B116" s="75" t="s">
        <v>459</v>
      </c>
      <c r="C116" s="75" t="s">
        <v>460</v>
      </c>
      <c r="D116" s="76">
        <v>2024</v>
      </c>
      <c r="E116" s="77" t="s">
        <v>749</v>
      </c>
      <c r="F116" s="17" t="s">
        <v>642</v>
      </c>
      <c r="G116" s="84"/>
    </row>
    <row r="117" spans="1:7" ht="18.75" customHeight="1">
      <c r="A117" s="4" t="s">
        <v>462</v>
      </c>
      <c r="B117" s="75" t="s">
        <v>463</v>
      </c>
      <c r="C117" s="75" t="s">
        <v>464</v>
      </c>
      <c r="D117" s="76">
        <v>2024</v>
      </c>
      <c r="E117" s="79" t="s">
        <v>750</v>
      </c>
      <c r="F117" s="85" t="s">
        <v>642</v>
      </c>
      <c r="G117" s="84"/>
    </row>
    <row r="118" spans="1:7" ht="18.75" customHeight="1">
      <c r="A118" s="4" t="s">
        <v>466</v>
      </c>
      <c r="B118" s="75" t="s">
        <v>467</v>
      </c>
      <c r="C118" s="75" t="s">
        <v>468</v>
      </c>
      <c r="D118" s="76">
        <v>2024</v>
      </c>
      <c r="E118" s="77" t="s">
        <v>751</v>
      </c>
      <c r="F118" s="17" t="s">
        <v>642</v>
      </c>
      <c r="G118" s="84"/>
    </row>
    <row r="119" spans="1:7" ht="18.75" customHeight="1">
      <c r="A119" s="4" t="s">
        <v>470</v>
      </c>
      <c r="B119" s="75" t="s">
        <v>471</v>
      </c>
      <c r="C119" s="75" t="s">
        <v>472</v>
      </c>
      <c r="D119" s="76">
        <v>2024</v>
      </c>
      <c r="E119" s="79" t="s">
        <v>752</v>
      </c>
      <c r="F119" s="85" t="s">
        <v>642</v>
      </c>
      <c r="G119" s="84"/>
    </row>
    <row r="120" spans="1:7" ht="18.75" customHeight="1">
      <c r="A120" s="4" t="s">
        <v>474</v>
      </c>
      <c r="B120" s="75" t="s">
        <v>475</v>
      </c>
      <c r="C120" s="75" t="s">
        <v>476</v>
      </c>
      <c r="D120" s="76">
        <v>2024</v>
      </c>
      <c r="E120" s="77" t="s">
        <v>753</v>
      </c>
      <c r="F120" s="17" t="s">
        <v>642</v>
      </c>
      <c r="G120" s="84"/>
    </row>
    <row r="121" spans="1:7" ht="18.75" customHeight="1">
      <c r="A121" s="4" t="s">
        <v>478</v>
      </c>
      <c r="B121" s="75" t="s">
        <v>479</v>
      </c>
      <c r="C121" s="75" t="s">
        <v>480</v>
      </c>
      <c r="D121" s="76">
        <v>2024</v>
      </c>
      <c r="E121" s="79" t="s">
        <v>754</v>
      </c>
      <c r="F121" s="85" t="s">
        <v>642</v>
      </c>
      <c r="G121" s="84"/>
    </row>
    <row r="122" spans="1:7" ht="18.75" customHeight="1">
      <c r="A122" s="4" t="s">
        <v>482</v>
      </c>
      <c r="B122" s="75" t="s">
        <v>483</v>
      </c>
      <c r="C122" s="75" t="s">
        <v>484</v>
      </c>
      <c r="D122" s="76">
        <v>2024</v>
      </c>
      <c r="E122" s="77" t="s">
        <v>755</v>
      </c>
      <c r="F122" s="17" t="s">
        <v>642</v>
      </c>
      <c r="G122" s="84"/>
    </row>
    <row r="123" spans="1:7" ht="18.75" customHeight="1">
      <c r="A123" s="4" t="s">
        <v>486</v>
      </c>
      <c r="B123" s="75" t="s">
        <v>487</v>
      </c>
      <c r="C123" s="75" t="s">
        <v>488</v>
      </c>
      <c r="D123" s="76">
        <v>2024</v>
      </c>
      <c r="E123" s="79" t="s">
        <v>756</v>
      </c>
      <c r="F123" s="85" t="s">
        <v>642</v>
      </c>
      <c r="G123" s="84"/>
    </row>
    <row r="124" spans="1:7" ht="18.75" customHeight="1">
      <c r="A124" s="4" t="s">
        <v>490</v>
      </c>
      <c r="B124" s="75" t="s">
        <v>491</v>
      </c>
      <c r="C124" s="75" t="s">
        <v>492</v>
      </c>
      <c r="D124" s="76">
        <v>2024</v>
      </c>
      <c r="E124" s="77" t="s">
        <v>757</v>
      </c>
      <c r="F124" s="17" t="s">
        <v>642</v>
      </c>
      <c r="G124" s="84"/>
    </row>
    <row r="125" spans="1:7" ht="15.75" customHeight="1">
      <c r="A125" s="20"/>
      <c r="B125" s="21"/>
      <c r="C125" s="22"/>
      <c r="E125" s="21"/>
      <c r="F125" s="84"/>
      <c r="G125" s="84"/>
    </row>
    <row r="126" spans="1:7" ht="15.75" customHeight="1">
      <c r="A126" s="20"/>
      <c r="B126" s="21"/>
      <c r="C126" s="22"/>
      <c r="E126" s="21"/>
      <c r="F126" s="84"/>
      <c r="G126" s="84"/>
    </row>
    <row r="127" spans="1:7" ht="15.75" customHeight="1">
      <c r="A127" s="20"/>
      <c r="B127" s="21"/>
      <c r="C127" s="22"/>
      <c r="E127" s="21"/>
      <c r="F127" s="84"/>
      <c r="G127" s="84"/>
    </row>
    <row r="128" spans="1:7" ht="15.75" customHeight="1">
      <c r="A128" s="20"/>
      <c r="B128" s="21"/>
      <c r="C128" s="22"/>
      <c r="E128" s="21"/>
      <c r="F128" s="84"/>
      <c r="G128" s="84"/>
    </row>
    <row r="129" spans="1:7" ht="15.75" customHeight="1">
      <c r="A129" s="20"/>
      <c r="B129" s="21"/>
      <c r="C129" s="22"/>
      <c r="E129" s="21"/>
      <c r="F129" s="84"/>
      <c r="G129" s="84"/>
    </row>
    <row r="130" spans="1:7" ht="15.75" customHeight="1">
      <c r="A130" s="20"/>
      <c r="B130" s="21"/>
      <c r="C130" s="22"/>
      <c r="E130" s="21"/>
      <c r="F130" s="84"/>
      <c r="G130" s="84"/>
    </row>
    <row r="131" spans="1:7" ht="15.75" customHeight="1">
      <c r="A131" s="20"/>
      <c r="B131" s="21"/>
      <c r="C131" s="22"/>
      <c r="E131" s="21"/>
      <c r="F131" s="84"/>
      <c r="G131" s="84"/>
    </row>
    <row r="132" spans="1:7" ht="15.75" customHeight="1">
      <c r="A132" s="20"/>
      <c r="B132" s="21"/>
      <c r="C132" s="22"/>
      <c r="E132" s="21"/>
      <c r="F132" s="84"/>
      <c r="G132" s="84"/>
    </row>
    <row r="133" spans="1:7" ht="15.75" customHeight="1">
      <c r="A133" s="20"/>
      <c r="B133" s="21"/>
      <c r="C133" s="22"/>
      <c r="E133" s="21"/>
      <c r="F133" s="84"/>
      <c r="G133" s="84"/>
    </row>
    <row r="134" spans="1:7" ht="15.75" customHeight="1">
      <c r="A134" s="20"/>
      <c r="B134" s="21"/>
      <c r="C134" s="22"/>
      <c r="E134" s="21"/>
      <c r="F134" s="84"/>
      <c r="G134" s="84"/>
    </row>
    <row r="135" spans="1:7" ht="15.75" customHeight="1">
      <c r="A135" s="20"/>
      <c r="B135" s="21"/>
      <c r="C135" s="22"/>
      <c r="E135" s="21"/>
      <c r="F135" s="84"/>
      <c r="G135" s="84"/>
    </row>
    <row r="136" spans="1:7" ht="15.75" customHeight="1">
      <c r="A136" s="20"/>
      <c r="B136" s="21"/>
      <c r="C136" s="22"/>
      <c r="E136" s="21"/>
      <c r="F136" s="84"/>
      <c r="G136" s="84"/>
    </row>
    <row r="137" spans="1:7" ht="15.75" customHeight="1">
      <c r="A137" s="20"/>
      <c r="B137" s="21"/>
      <c r="C137" s="22"/>
      <c r="E137" s="21"/>
      <c r="F137" s="84"/>
      <c r="G137" s="84"/>
    </row>
    <row r="138" spans="1:7" ht="15.75" customHeight="1">
      <c r="A138" s="20"/>
      <c r="B138" s="21"/>
      <c r="C138" s="22"/>
      <c r="E138" s="21"/>
      <c r="F138" s="84"/>
      <c r="G138" s="84"/>
    </row>
    <row r="139" spans="1:7" ht="15.75" customHeight="1">
      <c r="A139" s="20"/>
      <c r="B139" s="21"/>
      <c r="C139" s="22"/>
      <c r="E139" s="21"/>
      <c r="F139" s="84"/>
      <c r="G139" s="84"/>
    </row>
    <row r="140" spans="1:7" ht="15.75" customHeight="1">
      <c r="A140" s="20"/>
      <c r="B140" s="21"/>
      <c r="C140" s="22"/>
      <c r="E140" s="21"/>
      <c r="F140" s="84"/>
      <c r="G140" s="84"/>
    </row>
    <row r="141" spans="1:7" ht="15.75" customHeight="1">
      <c r="A141" s="20"/>
      <c r="B141" s="21"/>
      <c r="C141" s="22"/>
      <c r="E141" s="21"/>
      <c r="F141" s="84"/>
      <c r="G141" s="84"/>
    </row>
    <row r="142" spans="1:7" ht="15.75" customHeight="1">
      <c r="A142" s="20"/>
      <c r="B142" s="21"/>
      <c r="C142" s="22"/>
      <c r="E142" s="21"/>
      <c r="F142" s="84"/>
      <c r="G142" s="84"/>
    </row>
    <row r="143" spans="1:7" ht="15.75" customHeight="1">
      <c r="A143" s="20"/>
      <c r="B143" s="21"/>
      <c r="C143" s="22"/>
      <c r="E143" s="21"/>
      <c r="F143" s="84"/>
      <c r="G143" s="84"/>
    </row>
    <row r="144" spans="1:7" ht="15.75" customHeight="1">
      <c r="A144" s="20"/>
      <c r="B144" s="21"/>
      <c r="C144" s="22"/>
      <c r="E144" s="21"/>
      <c r="F144" s="84"/>
      <c r="G144" s="84"/>
    </row>
    <row r="145" spans="1:7" ht="15.75" customHeight="1">
      <c r="A145" s="20"/>
      <c r="B145" s="21"/>
      <c r="C145" s="22"/>
      <c r="E145" s="21"/>
      <c r="F145" s="84"/>
      <c r="G145" s="84"/>
    </row>
    <row r="146" spans="1:7" ht="15.75" customHeight="1">
      <c r="A146" s="20"/>
      <c r="B146" s="21"/>
      <c r="C146" s="22"/>
      <c r="E146" s="21"/>
      <c r="F146" s="84"/>
      <c r="G146" s="84"/>
    </row>
    <row r="147" spans="1:7" ht="15.75" customHeight="1">
      <c r="A147" s="20"/>
      <c r="B147" s="21"/>
      <c r="C147" s="22"/>
      <c r="E147" s="21"/>
      <c r="F147" s="84"/>
      <c r="G147" s="84"/>
    </row>
    <row r="148" spans="1:7" ht="15.75" customHeight="1">
      <c r="A148" s="20"/>
      <c r="B148" s="21"/>
      <c r="C148" s="22"/>
      <c r="E148" s="21"/>
      <c r="F148" s="84"/>
      <c r="G148" s="84"/>
    </row>
    <row r="149" spans="1:7" ht="15.75" customHeight="1">
      <c r="A149" s="20"/>
      <c r="B149" s="21"/>
      <c r="C149" s="22"/>
      <c r="E149" s="21"/>
      <c r="F149" s="84"/>
      <c r="G149" s="84"/>
    </row>
    <row r="150" spans="1:7" ht="15.75" customHeight="1">
      <c r="A150" s="20"/>
      <c r="B150" s="21"/>
      <c r="C150" s="22"/>
      <c r="E150" s="21"/>
      <c r="F150" s="84"/>
      <c r="G150" s="84"/>
    </row>
    <row r="151" spans="1:7" ht="15.75" customHeight="1">
      <c r="A151" s="20"/>
      <c r="B151" s="21"/>
      <c r="C151" s="22"/>
      <c r="E151" s="21"/>
      <c r="F151" s="84"/>
      <c r="G151" s="84"/>
    </row>
    <row r="152" spans="1:7" ht="15.75" customHeight="1">
      <c r="A152" s="20"/>
      <c r="B152" s="21"/>
      <c r="C152" s="22"/>
      <c r="E152" s="21"/>
      <c r="F152" s="84"/>
      <c r="G152" s="84"/>
    </row>
    <row r="153" spans="1:7" ht="15.75" customHeight="1">
      <c r="A153" s="20"/>
      <c r="B153" s="21"/>
      <c r="C153" s="22"/>
      <c r="E153" s="21"/>
      <c r="F153" s="84"/>
      <c r="G153" s="84"/>
    </row>
    <row r="154" spans="1:7" ht="15.75" customHeight="1">
      <c r="A154" s="20"/>
      <c r="B154" s="21"/>
      <c r="C154" s="22"/>
      <c r="E154" s="21"/>
      <c r="F154" s="84"/>
      <c r="G154" s="84"/>
    </row>
    <row r="155" spans="1:7" ht="15.75" customHeight="1">
      <c r="A155" s="20"/>
      <c r="B155" s="21"/>
      <c r="C155" s="22"/>
      <c r="E155" s="21"/>
      <c r="F155" s="84"/>
      <c r="G155" s="84"/>
    </row>
    <row r="156" spans="1:7" ht="15.75" customHeight="1">
      <c r="A156" s="20"/>
      <c r="B156" s="21"/>
      <c r="C156" s="22"/>
      <c r="E156" s="21"/>
      <c r="F156" s="84"/>
      <c r="G156" s="84"/>
    </row>
    <row r="157" spans="1:7" ht="15.75" customHeight="1">
      <c r="A157" s="20"/>
      <c r="B157" s="21"/>
      <c r="C157" s="22"/>
      <c r="E157" s="21"/>
      <c r="F157" s="84"/>
      <c r="G157" s="84"/>
    </row>
    <row r="158" spans="1:7" ht="15.75" customHeight="1">
      <c r="A158" s="20"/>
      <c r="B158" s="21"/>
      <c r="C158" s="22"/>
      <c r="E158" s="21"/>
      <c r="F158" s="84"/>
      <c r="G158" s="84"/>
    </row>
    <row r="159" spans="1:7" ht="15.75" customHeight="1">
      <c r="A159" s="20"/>
      <c r="B159" s="21"/>
      <c r="C159" s="22"/>
      <c r="E159" s="21"/>
      <c r="F159" s="84"/>
      <c r="G159" s="84"/>
    </row>
    <row r="160" spans="1:7" ht="15.75" customHeight="1">
      <c r="A160" s="20"/>
      <c r="B160" s="21"/>
      <c r="C160" s="22"/>
      <c r="E160" s="21"/>
      <c r="F160" s="84"/>
      <c r="G160" s="84"/>
    </row>
    <row r="161" spans="1:7" ht="15.75" customHeight="1">
      <c r="A161" s="20"/>
      <c r="B161" s="21"/>
      <c r="C161" s="22"/>
      <c r="E161" s="21"/>
      <c r="F161" s="84"/>
      <c r="G161" s="84"/>
    </row>
    <row r="162" spans="1:7" ht="15.75" customHeight="1">
      <c r="A162" s="20"/>
      <c r="B162" s="21"/>
      <c r="C162" s="22"/>
      <c r="E162" s="21"/>
      <c r="F162" s="84"/>
      <c r="G162" s="84"/>
    </row>
    <row r="163" spans="1:7" ht="15.75" customHeight="1">
      <c r="A163" s="20"/>
      <c r="B163" s="21"/>
      <c r="C163" s="22"/>
      <c r="E163" s="21"/>
      <c r="F163" s="84"/>
      <c r="G163" s="84"/>
    </row>
    <row r="164" spans="1:7" ht="15.75" customHeight="1">
      <c r="A164" s="20"/>
      <c r="B164" s="21"/>
      <c r="C164" s="22"/>
      <c r="E164" s="21"/>
      <c r="F164" s="84"/>
      <c r="G164" s="84"/>
    </row>
    <row r="165" spans="1:7" ht="15.75" customHeight="1">
      <c r="A165" s="20"/>
      <c r="B165" s="21"/>
      <c r="C165" s="22"/>
      <c r="E165" s="21"/>
      <c r="F165" s="84"/>
      <c r="G165" s="84"/>
    </row>
    <row r="166" spans="1:7" ht="15.75" customHeight="1">
      <c r="A166" s="20"/>
      <c r="B166" s="21"/>
      <c r="C166" s="22"/>
      <c r="E166" s="21"/>
      <c r="F166" s="84"/>
      <c r="G166" s="84"/>
    </row>
    <row r="167" spans="1:7" ht="15.75" customHeight="1">
      <c r="A167" s="20"/>
      <c r="B167" s="21"/>
      <c r="C167" s="22"/>
      <c r="E167" s="21"/>
      <c r="F167" s="84"/>
      <c r="G167" s="84"/>
    </row>
    <row r="168" spans="1:7" ht="15.75" customHeight="1">
      <c r="A168" s="20"/>
      <c r="B168" s="21"/>
      <c r="C168" s="22"/>
      <c r="E168" s="21"/>
      <c r="F168" s="84"/>
      <c r="G168" s="84"/>
    </row>
    <row r="169" spans="1:7" ht="15.75" customHeight="1">
      <c r="A169" s="20"/>
      <c r="B169" s="23"/>
      <c r="C169" s="22"/>
      <c r="E169" s="21"/>
      <c r="F169" s="84"/>
      <c r="G169" s="84"/>
    </row>
    <row r="170" spans="1:7" ht="15.75" customHeight="1">
      <c r="A170" s="20"/>
      <c r="B170" s="23"/>
      <c r="C170" s="22"/>
      <c r="E170" s="21"/>
      <c r="F170" s="84"/>
      <c r="G170" s="84"/>
    </row>
    <row r="171" spans="1:7" ht="15.75" customHeight="1">
      <c r="A171" s="20"/>
      <c r="B171" s="21"/>
      <c r="C171" s="22"/>
      <c r="E171" s="21"/>
      <c r="F171" s="84"/>
      <c r="G171" s="84"/>
    </row>
    <row r="172" spans="1:7" ht="15.75" customHeight="1">
      <c r="A172" s="20"/>
      <c r="B172" s="21"/>
      <c r="C172" s="22"/>
      <c r="E172" s="21"/>
      <c r="F172" s="84"/>
      <c r="G172" s="84"/>
    </row>
    <row r="173" spans="1:7" ht="15.75" customHeight="1">
      <c r="A173" s="20"/>
      <c r="B173" s="21"/>
      <c r="C173" s="22"/>
      <c r="E173" s="21"/>
      <c r="F173" s="84"/>
      <c r="G173" s="84"/>
    </row>
    <row r="174" spans="1:7" ht="15.75" customHeight="1">
      <c r="A174" s="20"/>
      <c r="B174" s="21"/>
      <c r="C174" s="22"/>
      <c r="E174" s="21"/>
      <c r="F174" s="84"/>
      <c r="G174" s="84"/>
    </row>
    <row r="175" spans="1:7" ht="15.75" customHeight="1">
      <c r="A175" s="20"/>
      <c r="B175" s="21"/>
      <c r="C175" s="22"/>
      <c r="E175" s="21"/>
      <c r="F175" s="84"/>
      <c r="G175" s="84"/>
    </row>
    <row r="176" spans="1:7" ht="15.75" customHeight="1">
      <c r="A176" s="20"/>
      <c r="B176" s="21"/>
      <c r="C176" s="22"/>
      <c r="E176" s="21"/>
      <c r="F176" s="84"/>
      <c r="G176" s="84"/>
    </row>
    <row r="177" spans="1:7" ht="15.75" customHeight="1">
      <c r="A177" s="20"/>
      <c r="B177" s="21"/>
      <c r="C177" s="22"/>
      <c r="E177" s="21"/>
      <c r="F177" s="84"/>
      <c r="G177" s="84"/>
    </row>
    <row r="178" spans="1:7" ht="15.75" customHeight="1">
      <c r="A178" s="20"/>
      <c r="B178" s="21"/>
      <c r="C178" s="22"/>
      <c r="E178" s="21"/>
      <c r="F178" s="84"/>
      <c r="G178" s="84"/>
    </row>
    <row r="179" spans="1:7" ht="15.75" customHeight="1">
      <c r="A179" s="20"/>
      <c r="B179" s="21"/>
      <c r="C179" s="22"/>
      <c r="E179" s="21"/>
      <c r="F179" s="84"/>
      <c r="G179" s="84"/>
    </row>
    <row r="180" spans="1:7" ht="15.75" customHeight="1">
      <c r="A180" s="20"/>
      <c r="B180" s="21"/>
      <c r="C180" s="22"/>
      <c r="E180" s="21"/>
      <c r="F180" s="84"/>
      <c r="G180" s="84"/>
    </row>
    <row r="181" spans="1:7" ht="15.75" customHeight="1">
      <c r="A181" s="20"/>
      <c r="B181" s="21"/>
      <c r="C181" s="22"/>
      <c r="E181" s="21"/>
      <c r="F181" s="84"/>
      <c r="G181" s="84"/>
    </row>
    <row r="182" spans="1:7" ht="15.75" customHeight="1">
      <c r="A182" s="20"/>
      <c r="B182" s="21"/>
      <c r="C182" s="22"/>
      <c r="E182" s="21"/>
      <c r="F182" s="84"/>
      <c r="G182" s="84"/>
    </row>
    <row r="183" spans="1:7" ht="15.75" customHeight="1">
      <c r="A183" s="20"/>
      <c r="B183" s="21"/>
      <c r="C183" s="22"/>
      <c r="E183" s="21"/>
      <c r="F183" s="84"/>
      <c r="G183" s="84"/>
    </row>
    <row r="184" spans="1:7" ht="15.75" customHeight="1">
      <c r="A184" s="20"/>
      <c r="B184" s="21"/>
      <c r="C184" s="22"/>
      <c r="E184" s="21"/>
      <c r="F184" s="84"/>
      <c r="G184" s="84"/>
    </row>
    <row r="185" spans="1:7" ht="15.75" customHeight="1">
      <c r="A185" s="20"/>
      <c r="B185" s="21"/>
      <c r="C185" s="22"/>
      <c r="E185" s="21"/>
      <c r="F185" s="84"/>
      <c r="G185" s="84"/>
    </row>
    <row r="186" spans="1:7" ht="15.75" customHeight="1">
      <c r="A186" s="20"/>
      <c r="B186" s="21"/>
      <c r="C186" s="22"/>
      <c r="E186" s="21"/>
      <c r="F186" s="84"/>
      <c r="G186" s="84"/>
    </row>
    <row r="187" spans="1:7" ht="15.75" customHeight="1">
      <c r="A187" s="20"/>
      <c r="B187" s="21"/>
      <c r="C187" s="22"/>
      <c r="E187" s="21"/>
      <c r="F187" s="84"/>
      <c r="G187" s="84"/>
    </row>
    <row r="188" spans="1:7" ht="15.75" customHeight="1">
      <c r="A188" s="20"/>
      <c r="B188" s="21"/>
      <c r="C188" s="22"/>
      <c r="E188" s="21"/>
      <c r="F188" s="84"/>
      <c r="G188" s="84"/>
    </row>
    <row r="189" spans="1:7" ht="15.75" customHeight="1">
      <c r="A189" s="20"/>
      <c r="B189" s="21"/>
      <c r="C189" s="22"/>
      <c r="E189" s="21"/>
      <c r="F189" s="84"/>
      <c r="G189" s="84"/>
    </row>
    <row r="190" spans="1:7" ht="15.75" customHeight="1">
      <c r="A190" s="20"/>
      <c r="B190" s="21"/>
      <c r="C190" s="22"/>
      <c r="E190" s="21"/>
      <c r="F190" s="84"/>
      <c r="G190" s="84"/>
    </row>
    <row r="191" spans="1:7" ht="15.75" customHeight="1">
      <c r="A191" s="20"/>
      <c r="B191" s="21"/>
      <c r="C191" s="22"/>
      <c r="E191" s="21"/>
      <c r="F191" s="84"/>
      <c r="G191" s="84"/>
    </row>
    <row r="192" spans="1:7" ht="15.75" customHeight="1">
      <c r="A192" s="20"/>
      <c r="B192" s="21"/>
      <c r="C192" s="22"/>
      <c r="E192" s="21"/>
      <c r="F192" s="84"/>
      <c r="G192" s="84"/>
    </row>
    <row r="193" spans="1:7" ht="15.75" customHeight="1">
      <c r="A193" s="20"/>
      <c r="B193" s="21"/>
      <c r="C193" s="22"/>
      <c r="E193" s="21"/>
      <c r="F193" s="84"/>
      <c r="G193" s="84"/>
    </row>
    <row r="194" spans="1:7" ht="15.75" customHeight="1">
      <c r="A194" s="20"/>
      <c r="B194" s="21"/>
      <c r="C194" s="22"/>
      <c r="E194" s="21"/>
      <c r="F194" s="84"/>
      <c r="G194" s="84"/>
    </row>
    <row r="195" spans="1:7" ht="15.75" customHeight="1">
      <c r="A195" s="20"/>
      <c r="B195" s="21"/>
      <c r="C195" s="22"/>
      <c r="E195" s="21"/>
      <c r="F195" s="84"/>
      <c r="G195" s="84"/>
    </row>
    <row r="196" spans="1:7" ht="15.75" customHeight="1">
      <c r="A196" s="20"/>
      <c r="B196" s="21"/>
      <c r="C196" s="22"/>
      <c r="E196" s="21"/>
      <c r="F196" s="84"/>
      <c r="G196" s="84"/>
    </row>
    <row r="197" spans="1:7" ht="15.75" customHeight="1">
      <c r="A197" s="20"/>
      <c r="B197" s="21"/>
      <c r="C197" s="22"/>
      <c r="E197" s="21"/>
      <c r="F197" s="84"/>
      <c r="G197" s="84"/>
    </row>
    <row r="198" spans="1:7" ht="15.75" customHeight="1">
      <c r="A198" s="20"/>
      <c r="B198" s="21"/>
      <c r="C198" s="22"/>
      <c r="E198" s="21"/>
      <c r="F198" s="84"/>
      <c r="G198" s="84"/>
    </row>
    <row r="199" spans="1:7" ht="15.75" customHeight="1">
      <c r="A199" s="20"/>
      <c r="B199" s="21"/>
      <c r="C199" s="22"/>
      <c r="E199" s="21"/>
      <c r="F199" s="84"/>
      <c r="G199" s="84"/>
    </row>
    <row r="200" spans="1:7" ht="15.75" customHeight="1">
      <c r="A200" s="20"/>
      <c r="B200" s="21"/>
      <c r="C200" s="22"/>
      <c r="E200" s="21"/>
      <c r="F200" s="84"/>
      <c r="G200" s="84"/>
    </row>
    <row r="201" spans="1:7" ht="15.75" customHeight="1">
      <c r="A201" s="20"/>
      <c r="B201" s="21"/>
      <c r="C201" s="22"/>
      <c r="E201" s="21"/>
      <c r="F201" s="84"/>
      <c r="G201" s="84"/>
    </row>
    <row r="202" spans="1:7" ht="15.75" customHeight="1">
      <c r="A202" s="20"/>
      <c r="B202" s="21"/>
      <c r="C202" s="22"/>
      <c r="E202" s="21"/>
      <c r="F202" s="84"/>
      <c r="G202" s="84"/>
    </row>
    <row r="203" spans="1:7" ht="15.75" customHeight="1">
      <c r="A203" s="20"/>
      <c r="B203" s="21"/>
      <c r="C203" s="22"/>
      <c r="E203" s="21"/>
      <c r="F203" s="84"/>
      <c r="G203" s="84"/>
    </row>
    <row r="204" spans="1:7" ht="15.75" customHeight="1">
      <c r="A204" s="20"/>
      <c r="B204" s="21"/>
      <c r="C204" s="22"/>
      <c r="E204" s="21"/>
      <c r="F204" s="84"/>
      <c r="G204" s="84"/>
    </row>
    <row r="205" spans="1:7" ht="15.75" customHeight="1">
      <c r="A205" s="20"/>
      <c r="B205" s="21"/>
      <c r="C205" s="22"/>
      <c r="E205" s="21"/>
      <c r="F205" s="84"/>
      <c r="G205" s="84"/>
    </row>
    <row r="206" spans="1:7" ht="15.75" customHeight="1">
      <c r="A206" s="20"/>
      <c r="B206" s="21"/>
      <c r="C206" s="22"/>
      <c r="E206" s="21"/>
      <c r="F206" s="84"/>
      <c r="G206" s="84"/>
    </row>
    <row r="207" spans="1:7" ht="15.75" customHeight="1">
      <c r="A207" s="20"/>
      <c r="B207" s="21"/>
      <c r="C207" s="22"/>
      <c r="E207" s="21"/>
      <c r="F207" s="84"/>
      <c r="G207" s="84"/>
    </row>
    <row r="208" spans="1:7" ht="15.75" customHeight="1">
      <c r="A208" s="20"/>
      <c r="B208" s="21"/>
      <c r="C208" s="22"/>
      <c r="E208" s="21"/>
      <c r="F208" s="84"/>
      <c r="G208" s="84"/>
    </row>
    <row r="209" spans="1:7" ht="15.75" customHeight="1">
      <c r="A209" s="20"/>
      <c r="B209" s="21"/>
      <c r="C209" s="22"/>
      <c r="E209" s="21"/>
      <c r="F209" s="84"/>
      <c r="G209" s="84"/>
    </row>
    <row r="210" spans="1:7" ht="15.75" customHeight="1">
      <c r="A210" s="20"/>
      <c r="B210" s="21"/>
      <c r="C210" s="22"/>
      <c r="E210" s="21"/>
      <c r="F210" s="84"/>
      <c r="G210" s="84"/>
    </row>
    <row r="211" spans="1:7" ht="15.75" customHeight="1">
      <c r="A211" s="20"/>
      <c r="B211" s="21"/>
      <c r="C211" s="22"/>
      <c r="E211" s="21"/>
      <c r="F211" s="84"/>
      <c r="G211" s="84"/>
    </row>
    <row r="212" spans="1:7" ht="15.75" customHeight="1">
      <c r="A212" s="20"/>
      <c r="B212" s="21"/>
      <c r="C212" s="22"/>
      <c r="E212" s="21"/>
      <c r="F212" s="84"/>
      <c r="G212" s="84"/>
    </row>
    <row r="213" spans="1:7" ht="15.75" customHeight="1">
      <c r="A213" s="20"/>
      <c r="B213" s="21"/>
      <c r="C213" s="22"/>
      <c r="E213" s="21"/>
      <c r="F213" s="84"/>
      <c r="G213" s="84"/>
    </row>
    <row r="214" spans="1:7" ht="15.75" customHeight="1">
      <c r="A214" s="20"/>
      <c r="B214" s="21"/>
      <c r="C214" s="22"/>
      <c r="E214" s="21"/>
      <c r="F214" s="84"/>
      <c r="G214" s="84"/>
    </row>
    <row r="215" spans="1:7" ht="15.75" customHeight="1">
      <c r="A215" s="20"/>
      <c r="B215" s="21"/>
      <c r="C215" s="22"/>
      <c r="E215" s="21"/>
      <c r="F215" s="84"/>
      <c r="G215" s="84"/>
    </row>
    <row r="216" spans="1:7" ht="15.75" customHeight="1">
      <c r="A216" s="20"/>
      <c r="B216" s="21"/>
      <c r="C216" s="22"/>
      <c r="E216" s="21"/>
      <c r="F216" s="84"/>
      <c r="G216" s="84"/>
    </row>
    <row r="217" spans="1:7" ht="15.75" customHeight="1">
      <c r="A217" s="20"/>
      <c r="B217" s="21"/>
      <c r="C217" s="22"/>
      <c r="E217" s="21"/>
      <c r="F217" s="84"/>
      <c r="G217" s="84"/>
    </row>
    <row r="218" spans="1:7" ht="15.75" customHeight="1">
      <c r="A218" s="20"/>
      <c r="B218" s="21"/>
      <c r="C218" s="22"/>
      <c r="E218" s="21"/>
      <c r="F218" s="84"/>
      <c r="G218" s="84"/>
    </row>
    <row r="219" spans="1:7" ht="15.75" customHeight="1">
      <c r="A219" s="20"/>
      <c r="B219" s="21"/>
      <c r="C219" s="22"/>
      <c r="E219" s="21"/>
      <c r="F219" s="84"/>
      <c r="G219" s="84"/>
    </row>
    <row r="220" spans="1:7" ht="15.75" customHeight="1">
      <c r="A220" s="20"/>
      <c r="B220" s="21"/>
      <c r="C220" s="22"/>
      <c r="E220" s="21"/>
      <c r="F220" s="84"/>
      <c r="G220" s="84"/>
    </row>
    <row r="221" spans="1:7" ht="15.75" customHeight="1">
      <c r="A221" s="20"/>
      <c r="B221" s="21"/>
      <c r="C221" s="22"/>
      <c r="E221" s="21"/>
      <c r="F221" s="84"/>
      <c r="G221" s="84"/>
    </row>
    <row r="222" spans="1:7" ht="15.75" customHeight="1">
      <c r="A222" s="20"/>
      <c r="B222" s="21"/>
      <c r="C222" s="22"/>
      <c r="E222" s="21"/>
      <c r="F222" s="84"/>
      <c r="G222" s="84"/>
    </row>
    <row r="223" spans="1:7" ht="15.75" customHeight="1">
      <c r="A223" s="20"/>
      <c r="B223" s="21"/>
      <c r="C223" s="22"/>
      <c r="E223" s="21"/>
      <c r="F223" s="84"/>
      <c r="G223" s="84"/>
    </row>
    <row r="224" spans="1:7" ht="15.75" customHeight="1">
      <c r="A224" s="20"/>
      <c r="B224" s="21"/>
      <c r="C224" s="22"/>
      <c r="E224" s="21"/>
      <c r="F224" s="84"/>
      <c r="G224" s="84"/>
    </row>
    <row r="225" spans="1:7" ht="15.75" customHeight="1">
      <c r="A225" s="20"/>
      <c r="B225" s="21"/>
      <c r="C225" s="22"/>
      <c r="E225" s="21"/>
      <c r="F225" s="84"/>
      <c r="G225" s="84"/>
    </row>
    <row r="226" spans="1:7" ht="15.75" customHeight="1">
      <c r="A226" s="20"/>
      <c r="B226" s="21"/>
      <c r="C226" s="22"/>
      <c r="E226" s="21"/>
      <c r="F226" s="84"/>
      <c r="G226" s="84"/>
    </row>
    <row r="227" spans="1:7" ht="15.75" customHeight="1">
      <c r="A227" s="20"/>
      <c r="B227" s="21"/>
      <c r="C227" s="22"/>
      <c r="E227" s="21"/>
      <c r="F227" s="84"/>
      <c r="G227" s="84"/>
    </row>
    <row r="228" spans="1:7" ht="15.75" customHeight="1">
      <c r="A228" s="20"/>
      <c r="B228" s="21"/>
      <c r="C228" s="22"/>
      <c r="E228" s="21"/>
      <c r="F228" s="84"/>
      <c r="G228" s="84"/>
    </row>
    <row r="229" spans="1:7" ht="15.75" customHeight="1">
      <c r="A229" s="20"/>
      <c r="B229" s="21"/>
      <c r="C229" s="22"/>
      <c r="E229" s="21"/>
      <c r="F229" s="84"/>
      <c r="G229" s="84"/>
    </row>
    <row r="230" spans="1:7" ht="15.75" customHeight="1">
      <c r="A230" s="20"/>
      <c r="B230" s="21"/>
      <c r="C230" s="22"/>
      <c r="E230" s="21"/>
      <c r="F230" s="84"/>
      <c r="G230" s="84"/>
    </row>
    <row r="231" spans="1:7" ht="15.75" customHeight="1">
      <c r="A231" s="20"/>
      <c r="B231" s="21"/>
      <c r="C231" s="22"/>
      <c r="E231" s="21"/>
      <c r="F231" s="84"/>
      <c r="G231" s="84"/>
    </row>
    <row r="232" spans="1:7" ht="15.75" customHeight="1">
      <c r="A232" s="20"/>
      <c r="B232" s="21"/>
      <c r="C232" s="22"/>
      <c r="E232" s="21"/>
      <c r="F232" s="84"/>
      <c r="G232" s="84"/>
    </row>
    <row r="233" spans="1:7" ht="15.75" customHeight="1">
      <c r="A233" s="20"/>
      <c r="B233" s="21"/>
      <c r="C233" s="22"/>
      <c r="E233" s="21"/>
      <c r="F233" s="84"/>
      <c r="G233" s="84"/>
    </row>
    <row r="234" spans="1:7" ht="15.75" customHeight="1">
      <c r="A234" s="20"/>
      <c r="B234" s="21"/>
      <c r="C234" s="22"/>
      <c r="E234" s="21"/>
      <c r="F234" s="84"/>
      <c r="G234" s="84"/>
    </row>
    <row r="235" spans="1:7" ht="15.75" customHeight="1">
      <c r="A235" s="20"/>
      <c r="B235" s="21"/>
      <c r="C235" s="22"/>
      <c r="E235" s="21"/>
      <c r="F235" s="84"/>
      <c r="G235" s="84"/>
    </row>
    <row r="236" spans="1:7" ht="15.75" customHeight="1">
      <c r="A236" s="20"/>
      <c r="B236" s="21"/>
      <c r="C236" s="22"/>
      <c r="E236" s="21"/>
      <c r="F236" s="84"/>
      <c r="G236" s="84"/>
    </row>
    <row r="237" spans="1:7" ht="15.75" customHeight="1">
      <c r="A237" s="20"/>
      <c r="B237" s="21"/>
      <c r="C237" s="22"/>
      <c r="E237" s="21"/>
      <c r="F237" s="84"/>
      <c r="G237" s="84"/>
    </row>
    <row r="238" spans="1:7" ht="15.75" customHeight="1">
      <c r="A238" s="20"/>
      <c r="B238" s="21"/>
      <c r="C238" s="22"/>
      <c r="E238" s="21"/>
      <c r="F238" s="84"/>
      <c r="G238" s="84"/>
    </row>
    <row r="239" spans="1:7" ht="15.75" customHeight="1">
      <c r="A239" s="20"/>
      <c r="B239" s="21"/>
      <c r="C239" s="22"/>
      <c r="E239" s="21"/>
      <c r="F239" s="84"/>
      <c r="G239" s="84"/>
    </row>
    <row r="240" spans="1:7" ht="15.75" customHeight="1">
      <c r="A240" s="20"/>
      <c r="B240" s="21"/>
      <c r="C240" s="22"/>
      <c r="E240" s="21"/>
      <c r="F240" s="84"/>
      <c r="G240" s="84"/>
    </row>
    <row r="241" spans="1:7" ht="15.75" customHeight="1">
      <c r="A241" s="20"/>
      <c r="B241" s="21"/>
      <c r="C241" s="22"/>
      <c r="E241" s="21"/>
      <c r="F241" s="84"/>
      <c r="G241" s="84"/>
    </row>
    <row r="242" spans="1:7" ht="15.75" customHeight="1">
      <c r="A242" s="20"/>
      <c r="B242" s="21"/>
      <c r="C242" s="22"/>
      <c r="E242" s="21"/>
      <c r="F242" s="84"/>
      <c r="G242" s="84"/>
    </row>
    <row r="243" spans="1:7" ht="15.75" customHeight="1">
      <c r="A243" s="20"/>
      <c r="B243" s="21"/>
      <c r="C243" s="22"/>
      <c r="E243" s="21"/>
      <c r="F243" s="84"/>
      <c r="G243" s="84"/>
    </row>
    <row r="244" spans="1:7" ht="15.75" customHeight="1">
      <c r="A244" s="20"/>
      <c r="B244" s="21"/>
      <c r="C244" s="22"/>
      <c r="E244" s="21"/>
      <c r="F244" s="84"/>
      <c r="G244" s="84"/>
    </row>
    <row r="245" spans="1:7" ht="15.75" customHeight="1">
      <c r="A245" s="20"/>
      <c r="B245" s="21"/>
      <c r="C245" s="22"/>
      <c r="E245" s="21"/>
      <c r="F245" s="84"/>
      <c r="G245" s="84"/>
    </row>
    <row r="246" spans="1:7" ht="15.75" customHeight="1">
      <c r="A246" s="20"/>
      <c r="B246" s="21"/>
      <c r="C246" s="22"/>
      <c r="E246" s="21"/>
      <c r="F246" s="84"/>
      <c r="G246" s="84"/>
    </row>
    <row r="247" spans="1:7" ht="15.75" customHeight="1">
      <c r="A247" s="20"/>
      <c r="B247" s="21"/>
      <c r="C247" s="22"/>
      <c r="E247" s="21"/>
      <c r="F247" s="84"/>
      <c r="G247" s="84"/>
    </row>
    <row r="248" spans="1:7" ht="15.75" customHeight="1">
      <c r="A248" s="20"/>
      <c r="B248" s="21"/>
      <c r="C248" s="22"/>
      <c r="E248" s="21"/>
      <c r="F248" s="84"/>
      <c r="G248" s="84"/>
    </row>
    <row r="249" spans="1:7" ht="15.75" customHeight="1">
      <c r="A249" s="20"/>
      <c r="B249" s="21"/>
      <c r="C249" s="22"/>
      <c r="E249" s="21"/>
      <c r="F249" s="84"/>
      <c r="G249" s="84"/>
    </row>
    <row r="250" spans="1:7" ht="15.75" customHeight="1">
      <c r="A250" s="20"/>
      <c r="B250" s="21"/>
      <c r="C250" s="22"/>
      <c r="E250" s="21"/>
      <c r="F250" s="84"/>
      <c r="G250" s="84"/>
    </row>
    <row r="251" spans="1:7" ht="15.75" customHeight="1">
      <c r="A251" s="20"/>
      <c r="B251" s="21"/>
      <c r="C251" s="22"/>
      <c r="E251" s="21"/>
      <c r="F251" s="84"/>
      <c r="G251" s="84"/>
    </row>
    <row r="252" spans="1:7" ht="15.75" customHeight="1">
      <c r="A252" s="20"/>
      <c r="B252" s="21"/>
      <c r="C252" s="22"/>
      <c r="E252" s="21"/>
      <c r="F252" s="84"/>
      <c r="G252" s="84"/>
    </row>
    <row r="253" spans="1:7" ht="15.75" customHeight="1">
      <c r="A253" s="20"/>
      <c r="B253" s="21"/>
      <c r="C253" s="22"/>
      <c r="E253" s="21"/>
      <c r="F253" s="84"/>
      <c r="G253" s="84"/>
    </row>
    <row r="254" spans="1:7" ht="15.75" customHeight="1">
      <c r="A254" s="20"/>
      <c r="B254" s="21"/>
      <c r="C254" s="22"/>
      <c r="E254" s="21"/>
      <c r="F254" s="84"/>
      <c r="G254" s="84"/>
    </row>
    <row r="255" spans="1:7" ht="15.75" customHeight="1">
      <c r="A255" s="20"/>
      <c r="B255" s="21"/>
      <c r="C255" s="22"/>
      <c r="E255" s="21"/>
      <c r="F255" s="84"/>
      <c r="G255" s="84"/>
    </row>
    <row r="256" spans="1:7" ht="15.75" customHeight="1">
      <c r="A256" s="20"/>
      <c r="B256" s="21"/>
      <c r="C256" s="22"/>
      <c r="E256" s="21"/>
      <c r="F256" s="84"/>
      <c r="G256" s="84"/>
    </row>
    <row r="257" spans="1:7" ht="15.75" customHeight="1">
      <c r="A257" s="20"/>
      <c r="B257" s="21"/>
      <c r="C257" s="22"/>
      <c r="E257" s="21"/>
      <c r="F257" s="84"/>
      <c r="G257" s="84"/>
    </row>
    <row r="258" spans="1:7" ht="15.75" customHeight="1">
      <c r="A258" s="20"/>
      <c r="B258" s="21"/>
      <c r="C258" s="22"/>
      <c r="E258" s="21"/>
      <c r="F258" s="84"/>
      <c r="G258" s="84"/>
    </row>
    <row r="259" spans="1:7" ht="15.75" customHeight="1">
      <c r="A259" s="20"/>
      <c r="B259" s="21"/>
      <c r="C259" s="22"/>
      <c r="E259" s="21"/>
      <c r="F259" s="84"/>
      <c r="G259" s="84"/>
    </row>
    <row r="260" spans="1:7" ht="15.75" customHeight="1">
      <c r="A260" s="20"/>
      <c r="B260" s="21"/>
      <c r="C260" s="22"/>
      <c r="E260" s="21"/>
      <c r="F260" s="84"/>
      <c r="G260" s="84"/>
    </row>
    <row r="261" spans="1:7" ht="15.75" customHeight="1">
      <c r="A261" s="20"/>
      <c r="B261" s="21"/>
      <c r="C261" s="22"/>
      <c r="E261" s="21"/>
      <c r="F261" s="84"/>
      <c r="G261" s="84"/>
    </row>
    <row r="262" spans="1:7" ht="15.75" customHeight="1">
      <c r="A262" s="20"/>
      <c r="B262" s="21"/>
      <c r="C262" s="22"/>
      <c r="E262" s="21"/>
      <c r="F262" s="84"/>
      <c r="G262" s="84"/>
    </row>
    <row r="263" spans="1:7" ht="15.75" customHeight="1">
      <c r="A263" s="20"/>
      <c r="B263" s="21"/>
      <c r="C263" s="22"/>
      <c r="E263" s="21"/>
      <c r="F263" s="84"/>
      <c r="G263" s="84"/>
    </row>
    <row r="264" spans="1:7" ht="15.75" customHeight="1">
      <c r="A264" s="20"/>
      <c r="B264" s="21"/>
      <c r="C264" s="22"/>
      <c r="E264" s="21"/>
      <c r="F264" s="84"/>
      <c r="G264" s="84"/>
    </row>
    <row r="265" spans="1:7" ht="15.75" customHeight="1">
      <c r="A265" s="20"/>
      <c r="B265" s="21"/>
      <c r="C265" s="22"/>
      <c r="E265" s="21"/>
      <c r="F265" s="84"/>
      <c r="G265" s="84"/>
    </row>
    <row r="266" spans="1:7" ht="15.75" customHeight="1">
      <c r="A266" s="20"/>
      <c r="B266" s="21"/>
      <c r="C266" s="22"/>
      <c r="E266" s="21"/>
      <c r="F266" s="84"/>
      <c r="G266" s="84"/>
    </row>
    <row r="267" spans="1:7" ht="15.75" customHeight="1">
      <c r="A267" s="20"/>
      <c r="B267" s="21"/>
      <c r="C267" s="22"/>
      <c r="E267" s="21"/>
      <c r="F267" s="84"/>
      <c r="G267" s="84"/>
    </row>
    <row r="268" spans="1:7" ht="15.75" customHeight="1">
      <c r="A268" s="20"/>
      <c r="B268" s="21"/>
      <c r="C268" s="22"/>
      <c r="E268" s="21"/>
      <c r="F268" s="84"/>
      <c r="G268" s="84"/>
    </row>
    <row r="269" spans="1:7" ht="15.75" customHeight="1">
      <c r="A269" s="20"/>
      <c r="B269" s="21"/>
      <c r="C269" s="22"/>
      <c r="E269" s="21"/>
      <c r="F269" s="84"/>
      <c r="G269" s="84"/>
    </row>
    <row r="270" spans="1:7" ht="15.75" customHeight="1">
      <c r="A270" s="20"/>
      <c r="B270" s="21"/>
      <c r="C270" s="22"/>
      <c r="E270" s="21"/>
      <c r="F270" s="84"/>
      <c r="G270" s="84"/>
    </row>
    <row r="271" spans="1:7" ht="15.75" customHeight="1">
      <c r="A271" s="20"/>
      <c r="B271" s="21"/>
      <c r="C271" s="22"/>
      <c r="E271" s="21"/>
      <c r="F271" s="84"/>
      <c r="G271" s="84"/>
    </row>
    <row r="272" spans="1:7" ht="15.75" customHeight="1">
      <c r="A272" s="20"/>
      <c r="B272" s="21"/>
      <c r="C272" s="22"/>
      <c r="E272" s="21"/>
      <c r="F272" s="84"/>
      <c r="G272" s="84"/>
    </row>
    <row r="273" spans="1:7" ht="15.75" customHeight="1">
      <c r="A273" s="20"/>
      <c r="B273" s="21"/>
      <c r="C273" s="22"/>
      <c r="E273" s="21"/>
      <c r="F273" s="84"/>
      <c r="G273" s="84"/>
    </row>
    <row r="274" spans="1:7" ht="15.75" customHeight="1">
      <c r="A274" s="20"/>
      <c r="B274" s="21"/>
      <c r="C274" s="22"/>
      <c r="E274" s="21"/>
      <c r="F274" s="84"/>
      <c r="G274" s="84"/>
    </row>
    <row r="275" spans="1:7" ht="15.75" customHeight="1">
      <c r="A275" s="20"/>
      <c r="B275" s="21"/>
      <c r="C275" s="22"/>
      <c r="E275" s="21"/>
      <c r="F275" s="84"/>
      <c r="G275" s="84"/>
    </row>
    <row r="276" spans="1:7" ht="15.75" customHeight="1">
      <c r="A276" s="20"/>
      <c r="B276" s="21"/>
      <c r="C276" s="22"/>
      <c r="E276" s="21"/>
      <c r="F276" s="84"/>
      <c r="G276" s="84"/>
    </row>
    <row r="277" spans="1:7" ht="15.75" customHeight="1">
      <c r="A277" s="20"/>
      <c r="B277" s="21"/>
      <c r="C277" s="22"/>
      <c r="E277" s="21"/>
      <c r="F277" s="84"/>
      <c r="G277" s="84"/>
    </row>
    <row r="278" spans="1:7" ht="15.75" customHeight="1">
      <c r="A278" s="20"/>
      <c r="B278" s="21"/>
      <c r="C278" s="22"/>
      <c r="E278" s="21"/>
      <c r="F278" s="84"/>
      <c r="G278" s="84"/>
    </row>
    <row r="279" spans="1:7" ht="15.75" customHeight="1">
      <c r="A279" s="20"/>
      <c r="B279" s="21"/>
      <c r="C279" s="22"/>
      <c r="E279" s="21"/>
      <c r="F279" s="84"/>
      <c r="G279" s="84"/>
    </row>
    <row r="280" spans="1:7" ht="15.75" customHeight="1">
      <c r="A280" s="20"/>
      <c r="B280" s="21"/>
      <c r="C280" s="22"/>
      <c r="E280" s="21"/>
      <c r="F280" s="84"/>
      <c r="G280" s="84"/>
    </row>
    <row r="281" spans="1:7" ht="15.75" customHeight="1">
      <c r="A281" s="20"/>
      <c r="B281" s="21"/>
      <c r="C281" s="22"/>
      <c r="E281" s="21"/>
      <c r="F281" s="84"/>
      <c r="G281" s="84"/>
    </row>
    <row r="282" spans="1:7" ht="15.75" customHeight="1">
      <c r="A282" s="20"/>
      <c r="B282" s="21"/>
      <c r="C282" s="22"/>
      <c r="E282" s="21"/>
      <c r="F282" s="84"/>
      <c r="G282" s="84"/>
    </row>
    <row r="283" spans="1:7" ht="15.75" customHeight="1">
      <c r="A283" s="20"/>
      <c r="B283" s="21"/>
      <c r="C283" s="22"/>
      <c r="E283" s="21"/>
      <c r="F283" s="84"/>
      <c r="G283" s="84"/>
    </row>
    <row r="284" spans="1:7" ht="15.75" customHeight="1">
      <c r="A284" s="20"/>
      <c r="B284" s="21"/>
      <c r="C284" s="22"/>
      <c r="E284" s="21"/>
      <c r="F284" s="84"/>
      <c r="G284" s="84"/>
    </row>
    <row r="285" spans="1:7" ht="15.75" customHeight="1">
      <c r="A285" s="20"/>
      <c r="B285" s="21"/>
      <c r="C285" s="22"/>
      <c r="E285" s="21"/>
      <c r="F285" s="84"/>
      <c r="G285" s="84"/>
    </row>
    <row r="286" spans="1:7" ht="15.75" customHeight="1">
      <c r="A286" s="20"/>
      <c r="B286" s="21"/>
      <c r="C286" s="22"/>
      <c r="E286" s="21"/>
      <c r="F286" s="84"/>
      <c r="G286" s="84"/>
    </row>
    <row r="287" spans="1:7" ht="15.75" customHeight="1">
      <c r="A287" s="20"/>
      <c r="B287" s="21"/>
      <c r="C287" s="22"/>
      <c r="E287" s="21"/>
      <c r="F287" s="84"/>
      <c r="G287" s="84"/>
    </row>
    <row r="288" spans="1:7" ht="15.75" customHeight="1">
      <c r="A288" s="20"/>
      <c r="B288" s="21"/>
      <c r="C288" s="22"/>
      <c r="E288" s="21"/>
      <c r="F288" s="84"/>
      <c r="G288" s="84"/>
    </row>
    <row r="289" spans="1:7" ht="15.75" customHeight="1">
      <c r="A289" s="20"/>
      <c r="B289" s="21"/>
      <c r="C289" s="22"/>
      <c r="E289" s="21"/>
      <c r="F289" s="84"/>
      <c r="G289" s="84"/>
    </row>
    <row r="290" spans="1:7" ht="15.75" customHeight="1">
      <c r="A290" s="20"/>
      <c r="B290" s="21"/>
      <c r="C290" s="22"/>
      <c r="E290" s="21"/>
      <c r="F290" s="84"/>
      <c r="G290" s="84"/>
    </row>
    <row r="291" spans="1:7" ht="15.75" customHeight="1">
      <c r="A291" s="20"/>
      <c r="B291" s="21"/>
      <c r="C291" s="22"/>
      <c r="E291" s="21"/>
      <c r="F291" s="84"/>
      <c r="G291" s="84"/>
    </row>
    <row r="292" spans="1:7" ht="15.75" customHeight="1">
      <c r="A292" s="20"/>
      <c r="B292" s="21"/>
      <c r="C292" s="22"/>
      <c r="E292" s="21"/>
      <c r="F292" s="84"/>
      <c r="G292" s="84"/>
    </row>
    <row r="293" spans="1:7" ht="15.75" customHeight="1">
      <c r="A293" s="20"/>
      <c r="B293" s="21"/>
      <c r="C293" s="22"/>
      <c r="E293" s="21"/>
      <c r="F293" s="84"/>
      <c r="G293" s="84"/>
    </row>
    <row r="294" spans="1:7" ht="15.75" customHeight="1">
      <c r="A294" s="20"/>
      <c r="B294" s="21"/>
      <c r="C294" s="22"/>
      <c r="E294" s="21"/>
      <c r="F294" s="84"/>
      <c r="G294" s="84"/>
    </row>
    <row r="295" spans="1:7" ht="15.75" customHeight="1">
      <c r="A295" s="20"/>
      <c r="B295" s="21"/>
      <c r="C295" s="22"/>
      <c r="E295" s="21"/>
      <c r="F295" s="84"/>
      <c r="G295" s="84"/>
    </row>
    <row r="296" spans="1:7" ht="15.75" customHeight="1">
      <c r="A296" s="20"/>
      <c r="B296" s="21"/>
      <c r="C296" s="22"/>
      <c r="E296" s="21"/>
      <c r="F296" s="84"/>
      <c r="G296" s="84"/>
    </row>
    <row r="297" spans="1:7" ht="15.75" customHeight="1">
      <c r="A297" s="20"/>
      <c r="B297" s="21"/>
      <c r="C297" s="22"/>
      <c r="E297" s="21"/>
      <c r="F297" s="84"/>
      <c r="G297" s="84"/>
    </row>
    <row r="298" spans="1:7" ht="15.75" customHeight="1">
      <c r="A298" s="20"/>
      <c r="B298" s="21"/>
      <c r="C298" s="22"/>
      <c r="E298" s="21"/>
      <c r="F298" s="84"/>
      <c r="G298" s="84"/>
    </row>
    <row r="299" spans="1:7" ht="15.75" customHeight="1">
      <c r="A299" s="20"/>
      <c r="B299" s="21"/>
      <c r="C299" s="22"/>
      <c r="E299" s="21"/>
      <c r="F299" s="84"/>
      <c r="G299" s="84"/>
    </row>
    <row r="300" spans="1:7" ht="15.75" customHeight="1">
      <c r="A300" s="20"/>
      <c r="B300" s="21"/>
      <c r="C300" s="22"/>
      <c r="E300" s="21"/>
      <c r="F300" s="84"/>
      <c r="G300" s="84"/>
    </row>
    <row r="301" spans="1:7" ht="15.75" customHeight="1">
      <c r="A301" s="20"/>
      <c r="B301" s="21"/>
      <c r="C301" s="22"/>
      <c r="E301" s="21"/>
      <c r="F301" s="84"/>
      <c r="G301" s="84"/>
    </row>
    <row r="302" spans="1:7" ht="15.75" customHeight="1">
      <c r="A302" s="20"/>
      <c r="B302" s="21"/>
      <c r="C302" s="22"/>
      <c r="E302" s="21"/>
      <c r="F302" s="84"/>
      <c r="G302" s="84"/>
    </row>
    <row r="303" spans="1:7" ht="15.75" customHeight="1">
      <c r="A303" s="20"/>
      <c r="B303" s="21"/>
      <c r="C303" s="22"/>
      <c r="E303" s="21"/>
      <c r="F303" s="84"/>
      <c r="G303" s="84"/>
    </row>
    <row r="304" spans="1:7" ht="15.75" customHeight="1">
      <c r="A304" s="20"/>
      <c r="B304" s="21"/>
      <c r="C304" s="22"/>
      <c r="E304" s="21"/>
      <c r="F304" s="84"/>
      <c r="G304" s="84"/>
    </row>
    <row r="305" spans="1:7" ht="15.75" customHeight="1">
      <c r="A305" s="20"/>
      <c r="B305" s="21"/>
      <c r="C305" s="22"/>
      <c r="E305" s="21"/>
      <c r="F305" s="84"/>
      <c r="G305" s="84"/>
    </row>
    <row r="306" spans="1:7" ht="15.75" customHeight="1">
      <c r="A306" s="20"/>
      <c r="B306" s="21"/>
      <c r="C306" s="22"/>
      <c r="E306" s="21"/>
      <c r="F306" s="84"/>
      <c r="G306" s="84"/>
    </row>
    <row r="307" spans="1:7" ht="15.75" customHeight="1">
      <c r="A307" s="20"/>
      <c r="B307" s="21"/>
      <c r="C307" s="22"/>
      <c r="E307" s="21"/>
      <c r="F307" s="84"/>
      <c r="G307" s="84"/>
    </row>
    <row r="308" spans="1:7" ht="15.75" customHeight="1">
      <c r="A308" s="20"/>
      <c r="B308" s="21"/>
      <c r="C308" s="22"/>
      <c r="E308" s="21"/>
      <c r="F308" s="84"/>
      <c r="G308" s="84"/>
    </row>
    <row r="309" spans="1:7" ht="15.75" customHeight="1">
      <c r="A309" s="20"/>
      <c r="B309" s="21"/>
      <c r="C309" s="22"/>
      <c r="E309" s="21"/>
      <c r="F309" s="84"/>
      <c r="G309" s="84"/>
    </row>
    <row r="310" spans="1:7" ht="15.75" customHeight="1">
      <c r="A310" s="20"/>
      <c r="B310" s="21"/>
      <c r="C310" s="22"/>
      <c r="E310" s="21"/>
      <c r="F310" s="84"/>
      <c r="G310" s="84"/>
    </row>
    <row r="311" spans="1:7" ht="15.75" customHeight="1">
      <c r="A311" s="20"/>
      <c r="B311" s="21"/>
      <c r="C311" s="22"/>
      <c r="E311" s="21"/>
      <c r="F311" s="84"/>
      <c r="G311" s="84"/>
    </row>
    <row r="312" spans="1:7" ht="15.75" customHeight="1">
      <c r="A312" s="20"/>
      <c r="B312" s="21"/>
      <c r="C312" s="22"/>
      <c r="E312" s="21"/>
      <c r="F312" s="84"/>
      <c r="G312" s="84"/>
    </row>
    <row r="313" spans="1:7" ht="15.75" customHeight="1">
      <c r="A313" s="20"/>
      <c r="B313" s="21"/>
      <c r="C313" s="22"/>
      <c r="E313" s="21"/>
      <c r="F313" s="84"/>
      <c r="G313" s="84"/>
    </row>
    <row r="314" spans="1:7" ht="15.75" customHeight="1">
      <c r="A314" s="20"/>
      <c r="B314" s="21"/>
      <c r="C314" s="22"/>
      <c r="E314" s="21"/>
      <c r="F314" s="84"/>
      <c r="G314" s="84"/>
    </row>
    <row r="315" spans="1:7" ht="15.75" customHeight="1">
      <c r="A315" s="20"/>
      <c r="B315" s="21"/>
      <c r="C315" s="22"/>
      <c r="E315" s="21"/>
      <c r="F315" s="84"/>
      <c r="G315" s="84"/>
    </row>
    <row r="316" spans="1:7" ht="15.75" customHeight="1">
      <c r="A316" s="20"/>
      <c r="B316" s="21"/>
      <c r="C316" s="22"/>
      <c r="E316" s="21"/>
      <c r="F316" s="84"/>
      <c r="G316" s="84"/>
    </row>
    <row r="317" spans="1:7" ht="15.75" customHeight="1">
      <c r="A317" s="20"/>
      <c r="B317" s="21"/>
      <c r="C317" s="22"/>
      <c r="E317" s="21"/>
      <c r="F317" s="84"/>
      <c r="G317" s="84"/>
    </row>
    <row r="318" spans="1:7" ht="15.75" customHeight="1">
      <c r="A318" s="20"/>
      <c r="B318" s="21"/>
      <c r="C318" s="22"/>
      <c r="E318" s="21"/>
      <c r="F318" s="84"/>
      <c r="G318" s="84"/>
    </row>
    <row r="319" spans="1:7" ht="15.75" customHeight="1">
      <c r="A319" s="20"/>
      <c r="B319" s="21"/>
      <c r="C319" s="22"/>
      <c r="E319" s="21"/>
      <c r="F319" s="84"/>
      <c r="G319" s="84"/>
    </row>
    <row r="320" spans="1:7" ht="15.75" customHeight="1">
      <c r="A320" s="20"/>
      <c r="B320" s="21"/>
      <c r="C320" s="22"/>
      <c r="E320" s="21"/>
      <c r="F320" s="84"/>
      <c r="G320" s="84"/>
    </row>
    <row r="321" spans="1:7" ht="15.75" customHeight="1">
      <c r="A321" s="20"/>
      <c r="B321" s="21"/>
      <c r="C321" s="22"/>
      <c r="E321" s="21"/>
      <c r="F321" s="84"/>
      <c r="G321" s="84"/>
    </row>
    <row r="322" spans="1:7" ht="15.75" customHeight="1">
      <c r="A322" s="20"/>
      <c r="B322" s="21"/>
      <c r="C322" s="22"/>
      <c r="E322" s="21"/>
      <c r="F322" s="84"/>
      <c r="G322" s="84"/>
    </row>
    <row r="323" spans="1:7" ht="15.75" customHeight="1">
      <c r="A323" s="20"/>
      <c r="B323" s="21"/>
      <c r="C323" s="22"/>
      <c r="E323" s="21"/>
      <c r="F323" s="84"/>
      <c r="G323" s="84"/>
    </row>
    <row r="324" spans="1:7" ht="15.75" customHeight="1">
      <c r="A324" s="20"/>
      <c r="B324" s="21"/>
      <c r="C324" s="22"/>
      <c r="E324" s="21"/>
      <c r="F324" s="84"/>
      <c r="G324" s="84"/>
    </row>
    <row r="325" spans="1:7" ht="15.75" customHeight="1">
      <c r="A325" s="20"/>
      <c r="B325" s="21"/>
      <c r="C325" s="22"/>
      <c r="E325" s="21"/>
      <c r="F325" s="84"/>
      <c r="G325" s="84"/>
    </row>
    <row r="326" spans="1:7" ht="15.75" customHeight="1">
      <c r="A326" s="20"/>
      <c r="B326" s="21"/>
      <c r="C326" s="22"/>
      <c r="E326" s="21"/>
      <c r="F326" s="84"/>
      <c r="G326" s="84"/>
    </row>
    <row r="327" spans="1:7" ht="15.75" customHeight="1">
      <c r="A327" s="20"/>
      <c r="B327" s="21"/>
      <c r="C327" s="22"/>
      <c r="E327" s="21"/>
      <c r="F327" s="84"/>
      <c r="G327" s="84"/>
    </row>
    <row r="328" spans="1:7" ht="15.75" customHeight="1">
      <c r="A328" s="20"/>
      <c r="B328" s="21"/>
      <c r="C328" s="22"/>
      <c r="E328" s="21"/>
      <c r="F328" s="84"/>
      <c r="G328" s="84"/>
    </row>
    <row r="329" spans="1:7" ht="15.75" customHeight="1">
      <c r="A329" s="20"/>
      <c r="B329" s="21"/>
      <c r="C329" s="22"/>
      <c r="E329" s="21"/>
      <c r="F329" s="84"/>
      <c r="G329" s="84"/>
    </row>
    <row r="330" spans="1:7" ht="15.75" customHeight="1">
      <c r="A330" s="20"/>
      <c r="B330" s="21"/>
      <c r="C330" s="22"/>
      <c r="E330" s="21"/>
      <c r="F330" s="84"/>
      <c r="G330" s="84"/>
    </row>
    <row r="331" spans="1:7" ht="15.75" customHeight="1">
      <c r="A331" s="20"/>
      <c r="B331" s="21"/>
      <c r="C331" s="22"/>
      <c r="E331" s="21"/>
      <c r="F331" s="84"/>
      <c r="G331" s="84"/>
    </row>
    <row r="332" spans="1:7" ht="15.75" customHeight="1">
      <c r="A332" s="20"/>
      <c r="B332" s="21"/>
      <c r="C332" s="22"/>
      <c r="E332" s="21"/>
      <c r="F332" s="84"/>
      <c r="G332" s="84"/>
    </row>
    <row r="333" spans="1:7" ht="15.75" customHeight="1">
      <c r="A333" s="20"/>
      <c r="B333" s="21"/>
      <c r="C333" s="22"/>
      <c r="E333" s="21"/>
      <c r="F333" s="84"/>
      <c r="G333" s="84"/>
    </row>
    <row r="334" spans="1:7" ht="15.75" customHeight="1">
      <c r="A334" s="20"/>
      <c r="B334" s="21"/>
      <c r="C334" s="22"/>
      <c r="E334" s="21"/>
      <c r="F334" s="84"/>
      <c r="G334" s="84"/>
    </row>
    <row r="335" spans="1:7" ht="15.75" customHeight="1">
      <c r="A335" s="20"/>
      <c r="B335" s="21"/>
      <c r="C335" s="22"/>
      <c r="E335" s="21"/>
      <c r="F335" s="84"/>
      <c r="G335" s="84"/>
    </row>
    <row r="336" spans="1:7" ht="15.75" customHeight="1">
      <c r="A336" s="20"/>
      <c r="B336" s="21"/>
      <c r="C336" s="22"/>
      <c r="E336" s="21"/>
      <c r="F336" s="84"/>
      <c r="G336" s="84"/>
    </row>
    <row r="337" spans="1:7" ht="15.75" customHeight="1">
      <c r="A337" s="20"/>
      <c r="B337" s="21"/>
      <c r="C337" s="22"/>
      <c r="E337" s="21"/>
      <c r="F337" s="84"/>
      <c r="G337" s="84"/>
    </row>
    <row r="338" spans="1:7" ht="15.75" customHeight="1">
      <c r="A338" s="20"/>
      <c r="B338" s="21"/>
      <c r="C338" s="22"/>
      <c r="E338" s="21"/>
      <c r="F338" s="84"/>
      <c r="G338" s="84"/>
    </row>
    <row r="339" spans="1:7" ht="15.75" customHeight="1">
      <c r="A339" s="20"/>
      <c r="B339" s="21"/>
      <c r="C339" s="22"/>
      <c r="E339" s="21"/>
      <c r="F339" s="84"/>
      <c r="G339" s="84"/>
    </row>
    <row r="340" spans="1:7" ht="15.75" customHeight="1">
      <c r="A340" s="20"/>
      <c r="B340" s="21"/>
      <c r="C340" s="22"/>
      <c r="E340" s="21"/>
      <c r="F340" s="84"/>
      <c r="G340" s="84"/>
    </row>
    <row r="341" spans="1:7" ht="15.75" customHeight="1">
      <c r="A341" s="20"/>
      <c r="B341" s="21"/>
      <c r="C341" s="22"/>
      <c r="E341" s="21"/>
      <c r="F341" s="84"/>
      <c r="G341" s="84"/>
    </row>
    <row r="342" spans="1:7" ht="15.75" customHeight="1">
      <c r="A342" s="20"/>
      <c r="B342" s="21"/>
      <c r="C342" s="22"/>
      <c r="E342" s="21"/>
      <c r="F342" s="84"/>
      <c r="G342" s="84"/>
    </row>
    <row r="343" spans="1:7" ht="15.75" customHeight="1">
      <c r="A343" s="20"/>
      <c r="B343" s="21"/>
      <c r="C343" s="22"/>
      <c r="E343" s="21"/>
      <c r="F343" s="84"/>
      <c r="G343" s="84"/>
    </row>
    <row r="344" spans="1:7" ht="15.75" customHeight="1">
      <c r="A344" s="20"/>
      <c r="B344" s="21"/>
      <c r="C344" s="22"/>
      <c r="E344" s="21"/>
      <c r="F344" s="84"/>
      <c r="G344" s="84"/>
    </row>
    <row r="345" spans="1:7" ht="15.75" customHeight="1">
      <c r="A345" s="20"/>
      <c r="B345" s="21"/>
      <c r="C345" s="22"/>
      <c r="E345" s="21"/>
      <c r="F345" s="84"/>
      <c r="G345" s="84"/>
    </row>
    <row r="346" spans="1:7" ht="15.75" customHeight="1">
      <c r="A346" s="20"/>
      <c r="B346" s="21"/>
      <c r="C346" s="22"/>
      <c r="E346" s="21"/>
      <c r="F346" s="84"/>
      <c r="G346" s="84"/>
    </row>
    <row r="347" spans="1:7" ht="15.75" customHeight="1">
      <c r="A347" s="20"/>
      <c r="B347" s="21"/>
      <c r="C347" s="22"/>
      <c r="E347" s="21"/>
      <c r="F347" s="84"/>
      <c r="G347" s="84"/>
    </row>
    <row r="348" spans="1:7" ht="15.75" customHeight="1">
      <c r="A348" s="20"/>
      <c r="B348" s="21"/>
      <c r="C348" s="22"/>
      <c r="E348" s="21"/>
      <c r="F348" s="84"/>
      <c r="G348" s="84"/>
    </row>
    <row r="349" spans="1:7" ht="15.75" customHeight="1">
      <c r="A349" s="20"/>
      <c r="B349" s="21"/>
      <c r="C349" s="22"/>
      <c r="E349" s="21"/>
      <c r="F349" s="84"/>
      <c r="G349" s="84"/>
    </row>
    <row r="350" spans="1:7" ht="15.75" customHeight="1">
      <c r="A350" s="20"/>
      <c r="B350" s="21"/>
      <c r="C350" s="22"/>
      <c r="E350" s="21"/>
      <c r="F350" s="84"/>
      <c r="G350" s="84"/>
    </row>
    <row r="351" spans="1:7" ht="15.75" customHeight="1">
      <c r="A351" s="20"/>
      <c r="B351" s="21"/>
      <c r="C351" s="22"/>
      <c r="E351" s="21"/>
      <c r="F351" s="84"/>
      <c r="G351" s="84"/>
    </row>
    <row r="352" spans="1:7" ht="15.75" customHeight="1">
      <c r="A352" s="20"/>
      <c r="B352" s="21"/>
      <c r="C352" s="22"/>
      <c r="E352" s="21"/>
      <c r="F352" s="84"/>
      <c r="G352" s="84"/>
    </row>
    <row r="353" spans="1:7" ht="15.75" customHeight="1">
      <c r="A353" s="20"/>
      <c r="B353" s="21"/>
      <c r="C353" s="22"/>
      <c r="E353" s="21"/>
      <c r="F353" s="84"/>
      <c r="G353" s="84"/>
    </row>
    <row r="354" spans="1:7" ht="15.75" customHeight="1">
      <c r="A354" s="20"/>
      <c r="B354" s="21"/>
      <c r="C354" s="22"/>
      <c r="E354" s="21"/>
      <c r="F354" s="84"/>
      <c r="G354" s="84"/>
    </row>
    <row r="355" spans="1:7" ht="15.75" customHeight="1">
      <c r="A355" s="20"/>
      <c r="B355" s="21"/>
      <c r="C355" s="22"/>
      <c r="E355" s="21"/>
      <c r="F355" s="84"/>
      <c r="G355" s="84"/>
    </row>
    <row r="356" spans="1:7" ht="15.75" customHeight="1">
      <c r="A356" s="20"/>
      <c r="B356" s="21"/>
      <c r="C356" s="22"/>
      <c r="E356" s="21"/>
      <c r="F356" s="84"/>
      <c r="G356" s="84"/>
    </row>
    <row r="357" spans="1:7" ht="15.75" customHeight="1">
      <c r="A357" s="20"/>
      <c r="B357" s="21"/>
      <c r="C357" s="22"/>
      <c r="E357" s="21"/>
      <c r="F357" s="84"/>
      <c r="G357" s="84"/>
    </row>
    <row r="358" spans="1:7" ht="15.75" customHeight="1">
      <c r="A358" s="20"/>
      <c r="B358" s="21"/>
      <c r="C358" s="22"/>
      <c r="E358" s="21"/>
      <c r="F358" s="84"/>
      <c r="G358" s="84"/>
    </row>
    <row r="359" spans="1:7" ht="15.75" customHeight="1">
      <c r="A359" s="20"/>
      <c r="B359" s="21"/>
      <c r="C359" s="22"/>
      <c r="E359" s="21"/>
      <c r="F359" s="84"/>
      <c r="G359" s="84"/>
    </row>
    <row r="360" spans="1:7" ht="15.75" customHeight="1">
      <c r="A360" s="20"/>
      <c r="B360" s="21"/>
      <c r="C360" s="22"/>
      <c r="E360" s="21"/>
      <c r="F360" s="84"/>
      <c r="G360" s="84"/>
    </row>
    <row r="361" spans="1:7" ht="15.75" customHeight="1">
      <c r="A361" s="20"/>
      <c r="B361" s="21"/>
      <c r="C361" s="22"/>
      <c r="E361" s="21"/>
      <c r="F361" s="84"/>
      <c r="G361" s="84"/>
    </row>
    <row r="362" spans="1:7" ht="15.75" customHeight="1">
      <c r="A362" s="20"/>
      <c r="B362" s="21"/>
      <c r="C362" s="22"/>
      <c r="E362" s="21"/>
      <c r="F362" s="84"/>
      <c r="G362" s="84"/>
    </row>
    <row r="363" spans="1:7" ht="15.75" customHeight="1">
      <c r="A363" s="20"/>
      <c r="B363" s="21"/>
      <c r="C363" s="22"/>
      <c r="E363" s="21"/>
      <c r="F363" s="84"/>
      <c r="G363" s="84"/>
    </row>
    <row r="364" spans="1:7" ht="15.75" customHeight="1">
      <c r="A364" s="20"/>
      <c r="B364" s="21"/>
      <c r="C364" s="22"/>
      <c r="E364" s="21"/>
      <c r="F364" s="84"/>
      <c r="G364" s="84"/>
    </row>
    <row r="365" spans="1:7" ht="15.75" customHeight="1">
      <c r="A365" s="20"/>
      <c r="B365" s="21"/>
      <c r="C365" s="22"/>
      <c r="E365" s="21"/>
      <c r="F365" s="84"/>
      <c r="G365" s="84"/>
    </row>
    <row r="366" spans="1:7" ht="15.75" customHeight="1">
      <c r="A366" s="20"/>
      <c r="B366" s="21"/>
      <c r="C366" s="22"/>
      <c r="E366" s="21"/>
      <c r="F366" s="84"/>
      <c r="G366" s="84"/>
    </row>
    <row r="367" spans="1:7" ht="15.75" customHeight="1">
      <c r="A367" s="20"/>
      <c r="B367" s="21"/>
      <c r="C367" s="22"/>
      <c r="E367" s="21"/>
      <c r="F367" s="84"/>
      <c r="G367" s="84"/>
    </row>
    <row r="368" spans="1:7" ht="15.75" customHeight="1">
      <c r="A368" s="20"/>
      <c r="B368" s="21"/>
      <c r="C368" s="22"/>
      <c r="E368" s="21"/>
      <c r="F368" s="84"/>
      <c r="G368" s="84"/>
    </row>
    <row r="369" spans="1:7" ht="15.75" customHeight="1">
      <c r="A369" s="20"/>
      <c r="B369" s="21"/>
      <c r="C369" s="22"/>
      <c r="E369" s="21"/>
      <c r="F369" s="84"/>
      <c r="G369" s="84"/>
    </row>
    <row r="370" spans="1:7" ht="15.75" customHeight="1">
      <c r="A370" s="20"/>
      <c r="B370" s="21"/>
      <c r="C370" s="22"/>
      <c r="E370" s="21"/>
      <c r="F370" s="84"/>
      <c r="G370" s="84"/>
    </row>
    <row r="371" spans="1:7" ht="15.75" customHeight="1">
      <c r="A371" s="20"/>
      <c r="B371" s="21"/>
      <c r="C371" s="22"/>
      <c r="E371" s="21"/>
      <c r="F371" s="84"/>
      <c r="G371" s="84"/>
    </row>
    <row r="372" spans="1:7" ht="15.75" customHeight="1">
      <c r="A372" s="20"/>
      <c r="B372" s="21"/>
      <c r="C372" s="22"/>
      <c r="E372" s="21"/>
      <c r="F372" s="84"/>
      <c r="G372" s="84"/>
    </row>
    <row r="373" spans="1:7" ht="15.75" customHeight="1">
      <c r="A373" s="20"/>
      <c r="B373" s="21"/>
      <c r="C373" s="22"/>
      <c r="E373" s="21"/>
      <c r="F373" s="84"/>
      <c r="G373" s="84"/>
    </row>
    <row r="374" spans="1:7" ht="15.75" customHeight="1">
      <c r="A374" s="20"/>
      <c r="B374" s="21"/>
      <c r="C374" s="22"/>
      <c r="E374" s="21"/>
      <c r="F374" s="84"/>
      <c r="G374" s="84"/>
    </row>
    <row r="375" spans="1:7" ht="15.75" customHeight="1">
      <c r="A375" s="20"/>
      <c r="B375" s="21"/>
      <c r="C375" s="22"/>
      <c r="E375" s="21"/>
      <c r="F375" s="84"/>
      <c r="G375" s="84"/>
    </row>
    <row r="376" spans="1:7" ht="15.75" customHeight="1">
      <c r="A376" s="20"/>
      <c r="B376" s="21"/>
      <c r="C376" s="22"/>
      <c r="E376" s="21"/>
      <c r="F376" s="84"/>
      <c r="G376" s="84"/>
    </row>
    <row r="377" spans="1:7" ht="15.75" customHeight="1">
      <c r="A377" s="20"/>
      <c r="B377" s="21"/>
      <c r="C377" s="22"/>
      <c r="E377" s="21"/>
      <c r="F377" s="84"/>
      <c r="G377" s="84"/>
    </row>
    <row r="378" spans="1:7" ht="15.75" customHeight="1">
      <c r="A378" s="20"/>
      <c r="B378" s="21"/>
      <c r="C378" s="22"/>
      <c r="E378" s="21"/>
      <c r="F378" s="84"/>
      <c r="G378" s="84"/>
    </row>
    <row r="379" spans="1:7" ht="15.75" customHeight="1">
      <c r="A379" s="20"/>
      <c r="B379" s="21"/>
      <c r="C379" s="22"/>
      <c r="E379" s="21"/>
      <c r="F379" s="84"/>
      <c r="G379" s="84"/>
    </row>
    <row r="380" spans="1:7" ht="15.75" customHeight="1">
      <c r="A380" s="20"/>
      <c r="B380" s="21"/>
      <c r="C380" s="22"/>
      <c r="E380" s="21"/>
      <c r="F380" s="84"/>
      <c r="G380" s="84"/>
    </row>
    <row r="381" spans="1:7" ht="15.75" customHeight="1">
      <c r="A381" s="20"/>
      <c r="B381" s="21"/>
      <c r="C381" s="22"/>
      <c r="E381" s="21"/>
      <c r="F381" s="84"/>
      <c r="G381" s="84"/>
    </row>
    <row r="382" spans="1:7" ht="15.75" customHeight="1">
      <c r="A382" s="20"/>
      <c r="B382" s="21"/>
      <c r="C382" s="22"/>
      <c r="E382" s="21"/>
      <c r="F382" s="84"/>
      <c r="G382" s="84"/>
    </row>
    <row r="383" spans="1:7" ht="15.75" customHeight="1">
      <c r="A383" s="20"/>
      <c r="B383" s="21"/>
      <c r="C383" s="22"/>
      <c r="E383" s="21"/>
      <c r="F383" s="84"/>
      <c r="G383" s="84"/>
    </row>
    <row r="384" spans="1:7" ht="15.75" customHeight="1">
      <c r="A384" s="20"/>
      <c r="B384" s="21"/>
      <c r="C384" s="22"/>
      <c r="E384" s="21"/>
      <c r="F384" s="84"/>
      <c r="G384" s="84"/>
    </row>
    <row r="385" spans="1:7" ht="15.75" customHeight="1">
      <c r="A385" s="20"/>
      <c r="B385" s="21"/>
      <c r="C385" s="22"/>
      <c r="E385" s="21"/>
      <c r="F385" s="84"/>
      <c r="G385" s="84"/>
    </row>
    <row r="386" spans="1:7" ht="15.75" customHeight="1">
      <c r="A386" s="20"/>
      <c r="B386" s="21"/>
      <c r="C386" s="22"/>
      <c r="E386" s="21"/>
      <c r="F386" s="84"/>
      <c r="G386" s="84"/>
    </row>
    <row r="387" spans="1:7" ht="15.75" customHeight="1">
      <c r="A387" s="20"/>
      <c r="B387" s="21"/>
      <c r="C387" s="22"/>
      <c r="E387" s="21"/>
      <c r="F387" s="84"/>
      <c r="G387" s="84"/>
    </row>
    <row r="388" spans="1:7" ht="15.75" customHeight="1">
      <c r="A388" s="20"/>
      <c r="B388" s="21"/>
      <c r="C388" s="22"/>
      <c r="E388" s="21"/>
      <c r="F388" s="84"/>
      <c r="G388" s="84"/>
    </row>
    <row r="389" spans="1:7" ht="15.75" customHeight="1">
      <c r="A389" s="20"/>
      <c r="B389" s="21"/>
      <c r="C389" s="22"/>
      <c r="E389" s="21"/>
      <c r="F389" s="84"/>
      <c r="G389" s="84"/>
    </row>
    <row r="390" spans="1:7" ht="15.75" customHeight="1">
      <c r="A390" s="20"/>
      <c r="B390" s="21"/>
      <c r="C390" s="22"/>
      <c r="E390" s="21"/>
      <c r="F390" s="84"/>
      <c r="G390" s="84"/>
    </row>
    <row r="391" spans="1:7" ht="15.75" customHeight="1">
      <c r="A391" s="20"/>
      <c r="B391" s="21"/>
      <c r="C391" s="22"/>
      <c r="E391" s="21"/>
      <c r="F391" s="84"/>
      <c r="G391" s="84"/>
    </row>
    <row r="392" spans="1:7" ht="15.75" customHeight="1">
      <c r="A392" s="20"/>
      <c r="B392" s="21"/>
      <c r="C392" s="22"/>
      <c r="E392" s="21"/>
      <c r="F392" s="84"/>
      <c r="G392" s="84"/>
    </row>
    <row r="393" spans="1:7" ht="15.75" customHeight="1">
      <c r="A393" s="20"/>
      <c r="B393" s="21"/>
      <c r="C393" s="22"/>
      <c r="E393" s="21"/>
      <c r="F393" s="84"/>
      <c r="G393" s="84"/>
    </row>
    <row r="394" spans="1:7" ht="15.75" customHeight="1">
      <c r="A394" s="20"/>
      <c r="B394" s="21"/>
      <c r="C394" s="22"/>
      <c r="E394" s="21"/>
      <c r="F394" s="84"/>
      <c r="G394" s="84"/>
    </row>
    <row r="395" spans="1:7" ht="15.75" customHeight="1">
      <c r="A395" s="20"/>
      <c r="B395" s="21"/>
      <c r="C395" s="22"/>
      <c r="E395" s="21"/>
      <c r="F395" s="84"/>
      <c r="G395" s="84"/>
    </row>
    <row r="396" spans="1:7" ht="15.75" customHeight="1">
      <c r="A396" s="20"/>
      <c r="B396" s="21"/>
      <c r="C396" s="22"/>
      <c r="E396" s="21"/>
      <c r="F396" s="84"/>
      <c r="G396" s="84"/>
    </row>
    <row r="397" spans="1:7" ht="15.75" customHeight="1">
      <c r="A397" s="20"/>
      <c r="B397" s="21"/>
      <c r="C397" s="22"/>
      <c r="E397" s="21"/>
      <c r="F397" s="84"/>
      <c r="G397" s="84"/>
    </row>
    <row r="398" spans="1:7" ht="15.75" customHeight="1">
      <c r="A398" s="20"/>
      <c r="B398" s="21"/>
      <c r="C398" s="22"/>
      <c r="E398" s="21"/>
      <c r="F398" s="84"/>
      <c r="G398" s="84"/>
    </row>
    <row r="399" spans="1:7" ht="15.75" customHeight="1">
      <c r="A399" s="20"/>
      <c r="B399" s="21"/>
      <c r="C399" s="22"/>
      <c r="E399" s="21"/>
      <c r="F399" s="84"/>
      <c r="G399" s="84"/>
    </row>
    <row r="400" spans="1:7" ht="15.75" customHeight="1">
      <c r="A400" s="20"/>
      <c r="B400" s="21"/>
      <c r="C400" s="22"/>
      <c r="E400" s="21"/>
      <c r="F400" s="84"/>
      <c r="G400" s="84"/>
    </row>
    <row r="401" spans="1:7" ht="15.75" customHeight="1">
      <c r="A401" s="20"/>
      <c r="B401" s="21"/>
      <c r="C401" s="22"/>
      <c r="E401" s="21"/>
      <c r="F401" s="84"/>
      <c r="G401" s="84"/>
    </row>
    <row r="402" spans="1:7" ht="15.75" customHeight="1">
      <c r="A402" s="20"/>
      <c r="B402" s="21"/>
      <c r="C402" s="22"/>
      <c r="E402" s="21"/>
      <c r="F402" s="84"/>
      <c r="G402" s="84"/>
    </row>
    <row r="403" spans="1:7" ht="15.75" customHeight="1">
      <c r="A403" s="20"/>
      <c r="B403" s="21"/>
      <c r="C403" s="22"/>
      <c r="E403" s="21"/>
      <c r="F403" s="84"/>
      <c r="G403" s="84"/>
    </row>
    <row r="404" spans="1:7" ht="15.75" customHeight="1">
      <c r="A404" s="20"/>
      <c r="B404" s="21"/>
      <c r="C404" s="22"/>
      <c r="E404" s="21"/>
      <c r="F404" s="84"/>
      <c r="G404" s="84"/>
    </row>
    <row r="405" spans="1:7" ht="15.75" customHeight="1">
      <c r="A405" s="20"/>
      <c r="B405" s="21"/>
      <c r="C405" s="22"/>
      <c r="E405" s="21"/>
      <c r="F405" s="84"/>
      <c r="G405" s="84"/>
    </row>
    <row r="406" spans="1:7" ht="15.75" customHeight="1">
      <c r="A406" s="20"/>
      <c r="B406" s="21"/>
      <c r="C406" s="22"/>
      <c r="E406" s="21"/>
      <c r="F406" s="84"/>
      <c r="G406" s="84"/>
    </row>
    <row r="407" spans="1:7" ht="15.75" customHeight="1">
      <c r="A407" s="20"/>
      <c r="B407" s="21"/>
      <c r="C407" s="22"/>
      <c r="E407" s="21"/>
      <c r="F407" s="84"/>
      <c r="G407" s="84"/>
    </row>
    <row r="408" spans="1:7" ht="15.75" customHeight="1">
      <c r="A408" s="20"/>
      <c r="B408" s="21"/>
      <c r="C408" s="22"/>
      <c r="E408" s="21"/>
      <c r="F408" s="84"/>
      <c r="G408" s="84"/>
    </row>
    <row r="409" spans="1:7" ht="15.75" customHeight="1">
      <c r="A409" s="20"/>
      <c r="B409" s="21"/>
      <c r="C409" s="22"/>
      <c r="E409" s="21"/>
      <c r="F409" s="84"/>
      <c r="G409" s="84"/>
    </row>
    <row r="410" spans="1:7" ht="15.75" customHeight="1">
      <c r="A410" s="20"/>
      <c r="B410" s="21"/>
      <c r="C410" s="22"/>
      <c r="E410" s="21"/>
      <c r="F410" s="84"/>
      <c r="G410" s="84"/>
    </row>
    <row r="411" spans="1:7" ht="15.75" customHeight="1">
      <c r="A411" s="20"/>
      <c r="B411" s="21"/>
      <c r="C411" s="22"/>
      <c r="E411" s="21"/>
      <c r="F411" s="84"/>
      <c r="G411" s="84"/>
    </row>
    <row r="412" spans="1:7" ht="15.75" customHeight="1">
      <c r="A412" s="20"/>
      <c r="B412" s="21"/>
      <c r="C412" s="22"/>
      <c r="E412" s="21"/>
      <c r="F412" s="84"/>
      <c r="G412" s="84"/>
    </row>
    <row r="413" spans="1:7" ht="15.75" customHeight="1">
      <c r="A413" s="20"/>
      <c r="B413" s="21"/>
      <c r="C413" s="22"/>
      <c r="E413" s="21"/>
      <c r="F413" s="84"/>
      <c r="G413" s="84"/>
    </row>
    <row r="414" spans="1:7" ht="15.75" customHeight="1">
      <c r="A414" s="20"/>
      <c r="B414" s="21"/>
      <c r="C414" s="22"/>
      <c r="E414" s="21"/>
      <c r="F414" s="84"/>
      <c r="G414" s="84"/>
    </row>
    <row r="415" spans="1:7" ht="15.75" customHeight="1">
      <c r="A415" s="20"/>
      <c r="B415" s="21"/>
      <c r="C415" s="22"/>
      <c r="E415" s="21"/>
      <c r="F415" s="84"/>
      <c r="G415" s="84"/>
    </row>
    <row r="416" spans="1:7" ht="15.75" customHeight="1">
      <c r="A416" s="20"/>
      <c r="B416" s="21"/>
      <c r="C416" s="22"/>
      <c r="E416" s="21"/>
      <c r="F416" s="84"/>
      <c r="G416" s="84"/>
    </row>
    <row r="417" spans="1:7" ht="15.75" customHeight="1">
      <c r="A417" s="20"/>
      <c r="B417" s="21"/>
      <c r="C417" s="22"/>
      <c r="E417" s="21"/>
      <c r="F417" s="84"/>
      <c r="G417" s="84"/>
    </row>
    <row r="418" spans="1:7" ht="15.75" customHeight="1">
      <c r="A418" s="20"/>
      <c r="B418" s="21"/>
      <c r="C418" s="22"/>
      <c r="E418" s="21"/>
      <c r="F418" s="84"/>
      <c r="G418" s="84"/>
    </row>
    <row r="419" spans="1:7" ht="15.75" customHeight="1">
      <c r="A419" s="20"/>
      <c r="B419" s="21"/>
      <c r="C419" s="22"/>
      <c r="E419" s="21"/>
      <c r="F419" s="84"/>
      <c r="G419" s="84"/>
    </row>
    <row r="420" spans="1:7" ht="15.75" customHeight="1">
      <c r="A420" s="20"/>
      <c r="B420" s="21"/>
      <c r="C420" s="22"/>
      <c r="E420" s="21"/>
      <c r="F420" s="84"/>
      <c r="G420" s="84"/>
    </row>
    <row r="421" spans="1:7" ht="15.75" customHeight="1">
      <c r="A421" s="20"/>
      <c r="B421" s="21"/>
      <c r="C421" s="22"/>
      <c r="E421" s="21"/>
      <c r="F421" s="84"/>
      <c r="G421" s="84"/>
    </row>
    <row r="422" spans="1:7" ht="15.75" customHeight="1">
      <c r="A422" s="20"/>
      <c r="B422" s="21"/>
      <c r="C422" s="22"/>
      <c r="E422" s="21"/>
      <c r="F422" s="84"/>
      <c r="G422" s="84"/>
    </row>
    <row r="423" spans="1:7" ht="15.75" customHeight="1">
      <c r="A423" s="20"/>
      <c r="B423" s="21"/>
      <c r="C423" s="22"/>
      <c r="E423" s="21"/>
      <c r="F423" s="84"/>
      <c r="G423" s="84"/>
    </row>
    <row r="424" spans="1:7" ht="15.75" customHeight="1">
      <c r="A424" s="20"/>
      <c r="B424" s="21"/>
      <c r="C424" s="22"/>
      <c r="E424" s="21"/>
      <c r="F424" s="84"/>
      <c r="G424" s="84"/>
    </row>
    <row r="425" spans="1:7" ht="15.75" customHeight="1">
      <c r="A425" s="20"/>
      <c r="B425" s="21"/>
      <c r="C425" s="22"/>
      <c r="E425" s="21"/>
      <c r="F425" s="84"/>
      <c r="G425" s="84"/>
    </row>
    <row r="426" spans="1:7" ht="15.75" customHeight="1">
      <c r="A426" s="20"/>
      <c r="B426" s="21"/>
      <c r="C426" s="22"/>
      <c r="E426" s="21"/>
      <c r="F426" s="84"/>
      <c r="G426" s="84"/>
    </row>
    <row r="427" spans="1:7" ht="15.75" customHeight="1">
      <c r="A427" s="20"/>
      <c r="B427" s="21"/>
      <c r="C427" s="22"/>
      <c r="E427" s="21"/>
      <c r="F427" s="84"/>
      <c r="G427" s="84"/>
    </row>
    <row r="428" spans="1:7" ht="15.75" customHeight="1">
      <c r="A428" s="20"/>
      <c r="B428" s="21"/>
      <c r="C428" s="22"/>
      <c r="E428" s="21"/>
      <c r="F428" s="84"/>
      <c r="G428" s="84"/>
    </row>
    <row r="429" spans="1:7" ht="15.75" customHeight="1">
      <c r="A429" s="20"/>
      <c r="B429" s="21"/>
      <c r="C429" s="22"/>
      <c r="E429" s="21"/>
      <c r="F429" s="84"/>
      <c r="G429" s="84"/>
    </row>
    <row r="430" spans="1:7" ht="15.75" customHeight="1">
      <c r="A430" s="20"/>
      <c r="B430" s="21"/>
      <c r="C430" s="22"/>
      <c r="E430" s="21"/>
      <c r="F430" s="84"/>
      <c r="G430" s="84"/>
    </row>
    <row r="431" spans="1:7" ht="15.75" customHeight="1">
      <c r="A431" s="20"/>
      <c r="B431" s="21"/>
      <c r="C431" s="22"/>
      <c r="E431" s="21"/>
      <c r="F431" s="84"/>
      <c r="G431" s="84"/>
    </row>
    <row r="432" spans="1:7" ht="15.75" customHeight="1">
      <c r="A432" s="20"/>
      <c r="B432" s="21"/>
      <c r="C432" s="22"/>
      <c r="E432" s="21"/>
      <c r="F432" s="84"/>
      <c r="G432" s="84"/>
    </row>
    <row r="433" spans="1:7" ht="15.75" customHeight="1">
      <c r="A433" s="20"/>
      <c r="B433" s="21"/>
      <c r="C433" s="22"/>
      <c r="E433" s="21"/>
      <c r="F433" s="84"/>
      <c r="G433" s="84"/>
    </row>
    <row r="434" spans="1:7" ht="15.75" customHeight="1">
      <c r="A434" s="20"/>
      <c r="B434" s="21"/>
      <c r="C434" s="22"/>
      <c r="E434" s="21"/>
      <c r="F434" s="84"/>
      <c r="G434" s="84"/>
    </row>
    <row r="435" spans="1:7" ht="15.75" customHeight="1">
      <c r="A435" s="20"/>
      <c r="B435" s="21"/>
      <c r="C435" s="22"/>
      <c r="E435" s="21"/>
      <c r="F435" s="84"/>
      <c r="G435" s="84"/>
    </row>
    <row r="436" spans="1:7" ht="15.75" customHeight="1">
      <c r="A436" s="20"/>
      <c r="B436" s="21"/>
      <c r="C436" s="22"/>
      <c r="E436" s="21"/>
      <c r="F436" s="84"/>
      <c r="G436" s="84"/>
    </row>
    <row r="437" spans="1:7" ht="15.75" customHeight="1">
      <c r="A437" s="20"/>
      <c r="B437" s="21"/>
      <c r="C437" s="22"/>
      <c r="E437" s="21"/>
      <c r="F437" s="84"/>
      <c r="G437" s="84"/>
    </row>
    <row r="438" spans="1:7" ht="15.75" customHeight="1">
      <c r="A438" s="20"/>
      <c r="B438" s="21"/>
      <c r="C438" s="22"/>
      <c r="E438" s="21"/>
      <c r="F438" s="84"/>
      <c r="G438" s="84"/>
    </row>
    <row r="439" spans="1:7" ht="15.75" customHeight="1">
      <c r="A439" s="20"/>
      <c r="B439" s="21"/>
      <c r="C439" s="22"/>
      <c r="E439" s="21"/>
      <c r="F439" s="84"/>
      <c r="G439" s="84"/>
    </row>
    <row r="440" spans="1:7" ht="15.75" customHeight="1">
      <c r="A440" s="20"/>
      <c r="B440" s="21"/>
      <c r="C440" s="22"/>
      <c r="E440" s="21"/>
      <c r="F440" s="84"/>
      <c r="G440" s="84"/>
    </row>
    <row r="441" spans="1:7" ht="15.75" customHeight="1">
      <c r="A441" s="20"/>
      <c r="B441" s="21"/>
      <c r="C441" s="22"/>
      <c r="E441" s="21"/>
      <c r="F441" s="84"/>
      <c r="G441" s="84"/>
    </row>
    <row r="442" spans="1:7" ht="15.75" customHeight="1">
      <c r="A442" s="20"/>
      <c r="B442" s="21"/>
      <c r="C442" s="22"/>
      <c r="E442" s="21"/>
      <c r="F442" s="84"/>
      <c r="G442" s="84"/>
    </row>
    <row r="443" spans="1:7" ht="15.75" customHeight="1">
      <c r="A443" s="20"/>
      <c r="B443" s="21"/>
      <c r="C443" s="22"/>
      <c r="E443" s="21"/>
      <c r="F443" s="84"/>
      <c r="G443" s="84"/>
    </row>
    <row r="444" spans="1:7" ht="15.75" customHeight="1">
      <c r="A444" s="20"/>
      <c r="B444" s="21"/>
      <c r="C444" s="22"/>
      <c r="E444" s="21"/>
      <c r="F444" s="84"/>
      <c r="G444" s="84"/>
    </row>
    <row r="445" spans="1:7" ht="15.75" customHeight="1">
      <c r="A445" s="20"/>
      <c r="B445" s="21"/>
      <c r="C445" s="22"/>
      <c r="E445" s="21"/>
      <c r="F445" s="84"/>
      <c r="G445" s="84"/>
    </row>
    <row r="446" spans="1:7" ht="15.75" customHeight="1">
      <c r="A446" s="20"/>
      <c r="B446" s="21"/>
      <c r="C446" s="22"/>
      <c r="E446" s="21"/>
      <c r="F446" s="84"/>
      <c r="G446" s="84"/>
    </row>
    <row r="447" spans="1:7" ht="15.75" customHeight="1">
      <c r="A447" s="20"/>
      <c r="B447" s="21"/>
      <c r="C447" s="22"/>
      <c r="E447" s="21"/>
      <c r="F447" s="84"/>
      <c r="G447" s="84"/>
    </row>
    <row r="448" spans="1:7" ht="15.75" customHeight="1">
      <c r="A448" s="20"/>
      <c r="B448" s="21"/>
      <c r="C448" s="22"/>
      <c r="E448" s="21"/>
      <c r="F448" s="84"/>
      <c r="G448" s="84"/>
    </row>
    <row r="449" spans="1:7" ht="15.75" customHeight="1">
      <c r="A449" s="20"/>
      <c r="B449" s="21"/>
      <c r="C449" s="22"/>
      <c r="E449" s="21"/>
      <c r="F449" s="84"/>
      <c r="G449" s="84"/>
    </row>
    <row r="450" spans="1:7" ht="15.75" customHeight="1">
      <c r="A450" s="20"/>
      <c r="B450" s="21"/>
      <c r="C450" s="22"/>
      <c r="E450" s="21"/>
      <c r="F450" s="84"/>
      <c r="G450" s="84"/>
    </row>
    <row r="451" spans="1:7" ht="15.75" customHeight="1">
      <c r="A451" s="20"/>
      <c r="B451" s="21"/>
      <c r="C451" s="22"/>
      <c r="E451" s="21"/>
      <c r="F451" s="84"/>
      <c r="G451" s="84"/>
    </row>
    <row r="452" spans="1:7" ht="15.75" customHeight="1">
      <c r="A452" s="20"/>
      <c r="B452" s="21"/>
      <c r="C452" s="22"/>
      <c r="E452" s="21"/>
      <c r="F452" s="84"/>
      <c r="G452" s="84"/>
    </row>
    <row r="453" spans="1:7" ht="15.75" customHeight="1">
      <c r="A453" s="20"/>
      <c r="B453" s="21"/>
      <c r="C453" s="22"/>
      <c r="E453" s="21"/>
      <c r="F453" s="84"/>
      <c r="G453" s="84"/>
    </row>
    <row r="454" spans="1:7" ht="15.75" customHeight="1">
      <c r="A454" s="20"/>
      <c r="B454" s="21"/>
      <c r="C454" s="22"/>
      <c r="E454" s="21"/>
      <c r="F454" s="84"/>
      <c r="G454" s="84"/>
    </row>
    <row r="455" spans="1:7" ht="15.75" customHeight="1">
      <c r="A455" s="20"/>
      <c r="B455" s="21"/>
      <c r="C455" s="22"/>
      <c r="E455" s="21"/>
      <c r="F455" s="84"/>
      <c r="G455" s="84"/>
    </row>
    <row r="456" spans="1:7" ht="15.75" customHeight="1">
      <c r="A456" s="20"/>
      <c r="B456" s="21"/>
      <c r="C456" s="22"/>
      <c r="E456" s="21"/>
      <c r="F456" s="84"/>
      <c r="G456" s="84"/>
    </row>
    <row r="457" spans="1:7" ht="15.75" customHeight="1">
      <c r="A457" s="20"/>
      <c r="B457" s="21"/>
      <c r="C457" s="22"/>
      <c r="E457" s="21"/>
      <c r="F457" s="84"/>
      <c r="G457" s="84"/>
    </row>
    <row r="458" spans="1:7" ht="15.75" customHeight="1">
      <c r="A458" s="20"/>
      <c r="B458" s="21"/>
      <c r="C458" s="22"/>
      <c r="E458" s="21"/>
      <c r="F458" s="84"/>
      <c r="G458" s="84"/>
    </row>
    <row r="459" spans="1:7" ht="15.75" customHeight="1">
      <c r="A459" s="20"/>
      <c r="B459" s="21"/>
      <c r="C459" s="22"/>
      <c r="E459" s="21"/>
      <c r="F459" s="84"/>
      <c r="G459" s="84"/>
    </row>
    <row r="460" spans="1:7" ht="15.75" customHeight="1">
      <c r="A460" s="20"/>
      <c r="B460" s="21"/>
      <c r="C460" s="22"/>
      <c r="E460" s="21"/>
      <c r="F460" s="84"/>
      <c r="G460" s="84"/>
    </row>
    <row r="461" spans="1:7" ht="15.75" customHeight="1">
      <c r="A461" s="20"/>
      <c r="B461" s="21"/>
      <c r="C461" s="22"/>
      <c r="E461" s="21"/>
      <c r="F461" s="84"/>
      <c r="G461" s="84"/>
    </row>
    <row r="462" spans="1:7" ht="15.75" customHeight="1">
      <c r="A462" s="20"/>
      <c r="B462" s="21"/>
      <c r="C462" s="22"/>
      <c r="E462" s="21"/>
      <c r="F462" s="84"/>
      <c r="G462" s="84"/>
    </row>
    <row r="463" spans="1:7" ht="15.75" customHeight="1">
      <c r="A463" s="20"/>
      <c r="B463" s="21"/>
      <c r="C463" s="22"/>
      <c r="E463" s="21"/>
      <c r="F463" s="84"/>
      <c r="G463" s="84"/>
    </row>
    <row r="464" spans="1:7" ht="15.75" customHeight="1">
      <c r="A464" s="20"/>
      <c r="B464" s="21"/>
      <c r="C464" s="22"/>
      <c r="E464" s="21"/>
      <c r="F464" s="84"/>
      <c r="G464" s="84"/>
    </row>
    <row r="465" spans="1:7" ht="15.75" customHeight="1">
      <c r="A465" s="20"/>
      <c r="B465" s="21"/>
      <c r="C465" s="22"/>
      <c r="E465" s="21"/>
      <c r="F465" s="84"/>
      <c r="G465" s="84"/>
    </row>
    <row r="466" spans="1:7" ht="15.75" customHeight="1">
      <c r="A466" s="20"/>
      <c r="B466" s="21"/>
      <c r="C466" s="22"/>
      <c r="E466" s="21"/>
      <c r="F466" s="84"/>
      <c r="G466" s="84"/>
    </row>
    <row r="467" spans="1:7" ht="15.75" customHeight="1">
      <c r="A467" s="20"/>
      <c r="B467" s="21"/>
      <c r="C467" s="22"/>
      <c r="E467" s="21"/>
      <c r="F467" s="84"/>
      <c r="G467" s="84"/>
    </row>
    <row r="468" spans="1:7" ht="15.75" customHeight="1">
      <c r="A468" s="20"/>
      <c r="B468" s="21"/>
      <c r="C468" s="22"/>
      <c r="E468" s="21"/>
      <c r="F468" s="84"/>
      <c r="G468" s="84"/>
    </row>
    <row r="469" spans="1:7" ht="15.75" customHeight="1">
      <c r="A469" s="20"/>
      <c r="B469" s="21"/>
      <c r="C469" s="22"/>
      <c r="E469" s="21"/>
      <c r="F469" s="84"/>
      <c r="G469" s="84"/>
    </row>
    <row r="470" spans="1:7" ht="15.75" customHeight="1">
      <c r="A470" s="20"/>
      <c r="B470" s="21"/>
      <c r="C470" s="22"/>
      <c r="E470" s="21"/>
      <c r="F470" s="84"/>
      <c r="G470" s="84"/>
    </row>
    <row r="471" spans="1:7" ht="15.75" customHeight="1">
      <c r="A471" s="20"/>
      <c r="B471" s="21"/>
      <c r="C471" s="22"/>
      <c r="E471" s="21"/>
      <c r="F471" s="84"/>
      <c r="G471" s="84"/>
    </row>
    <row r="472" spans="1:7" ht="15.75" customHeight="1">
      <c r="A472" s="20"/>
      <c r="B472" s="21"/>
      <c r="C472" s="22"/>
      <c r="E472" s="21"/>
      <c r="F472" s="84"/>
      <c r="G472" s="84"/>
    </row>
    <row r="473" spans="1:7" ht="15.75" customHeight="1">
      <c r="A473" s="20"/>
      <c r="B473" s="21"/>
      <c r="C473" s="22"/>
      <c r="E473" s="21"/>
      <c r="F473" s="84"/>
      <c r="G473" s="84"/>
    </row>
    <row r="474" spans="1:7" ht="15.75" customHeight="1">
      <c r="A474" s="20"/>
      <c r="B474" s="21"/>
      <c r="C474" s="22"/>
      <c r="E474" s="21"/>
      <c r="F474" s="84"/>
      <c r="G474" s="84"/>
    </row>
    <row r="475" spans="1:7" ht="15.75" customHeight="1">
      <c r="A475" s="20"/>
      <c r="B475" s="21"/>
      <c r="C475" s="22"/>
      <c r="E475" s="21"/>
      <c r="F475" s="84"/>
      <c r="G475" s="84"/>
    </row>
    <row r="476" spans="1:7" ht="15.75" customHeight="1">
      <c r="A476" s="20"/>
      <c r="B476" s="21"/>
      <c r="C476" s="22"/>
      <c r="E476" s="21"/>
      <c r="F476" s="84"/>
      <c r="G476" s="84"/>
    </row>
    <row r="477" spans="1:7" ht="15.75" customHeight="1">
      <c r="A477" s="20"/>
      <c r="B477" s="21"/>
      <c r="C477" s="22"/>
      <c r="E477" s="21"/>
      <c r="F477" s="84"/>
      <c r="G477" s="84"/>
    </row>
    <row r="478" spans="1:7" ht="15.75" customHeight="1">
      <c r="A478" s="20"/>
      <c r="B478" s="21"/>
      <c r="C478" s="22"/>
      <c r="E478" s="21"/>
      <c r="F478" s="84"/>
      <c r="G478" s="84"/>
    </row>
    <row r="479" spans="1:7" ht="15.75" customHeight="1">
      <c r="A479" s="20"/>
      <c r="B479" s="21"/>
      <c r="C479" s="22"/>
      <c r="E479" s="21"/>
      <c r="F479" s="84"/>
      <c r="G479" s="84"/>
    </row>
    <row r="480" spans="1:7" ht="15.75" customHeight="1">
      <c r="A480" s="20"/>
      <c r="B480" s="21"/>
      <c r="C480" s="22"/>
      <c r="E480" s="21"/>
      <c r="F480" s="84"/>
      <c r="G480" s="84"/>
    </row>
    <row r="481" spans="1:7" ht="15.75" customHeight="1">
      <c r="A481" s="20"/>
      <c r="B481" s="21"/>
      <c r="C481" s="22"/>
      <c r="E481" s="21"/>
      <c r="F481" s="84"/>
      <c r="G481" s="84"/>
    </row>
    <row r="482" spans="1:7" ht="15.75" customHeight="1">
      <c r="A482" s="20"/>
      <c r="B482" s="21"/>
      <c r="C482" s="22"/>
      <c r="E482" s="21"/>
      <c r="F482" s="84"/>
      <c r="G482" s="84"/>
    </row>
    <row r="483" spans="1:7" ht="15.75" customHeight="1">
      <c r="A483" s="20"/>
      <c r="B483" s="21"/>
      <c r="C483" s="22"/>
      <c r="E483" s="21"/>
      <c r="F483" s="84"/>
      <c r="G483" s="84"/>
    </row>
    <row r="484" spans="1:7" ht="15.75" customHeight="1">
      <c r="A484" s="20"/>
      <c r="B484" s="21"/>
      <c r="C484" s="22"/>
      <c r="E484" s="21"/>
      <c r="F484" s="84"/>
      <c r="G484" s="84"/>
    </row>
    <row r="485" spans="1:7" ht="15.75" customHeight="1">
      <c r="A485" s="20"/>
      <c r="B485" s="21"/>
      <c r="C485" s="22"/>
      <c r="E485" s="21"/>
      <c r="F485" s="84"/>
      <c r="G485" s="84"/>
    </row>
    <row r="486" spans="1:7" ht="15.75" customHeight="1">
      <c r="A486" s="20"/>
      <c r="B486" s="21"/>
      <c r="C486" s="22"/>
      <c r="E486" s="21"/>
      <c r="F486" s="84"/>
      <c r="G486" s="84"/>
    </row>
    <row r="487" spans="1:7" ht="15.75" customHeight="1">
      <c r="A487" s="20"/>
      <c r="B487" s="21"/>
      <c r="C487" s="22"/>
      <c r="E487" s="21"/>
      <c r="F487" s="84"/>
      <c r="G487" s="84"/>
    </row>
    <row r="488" spans="1:7" ht="15.75" customHeight="1">
      <c r="A488" s="20"/>
      <c r="B488" s="21"/>
      <c r="C488" s="22"/>
      <c r="E488" s="21"/>
      <c r="F488" s="84"/>
      <c r="G488" s="84"/>
    </row>
    <row r="489" spans="1:7" ht="15.75" customHeight="1">
      <c r="A489" s="20"/>
      <c r="B489" s="21"/>
      <c r="C489" s="22"/>
      <c r="E489" s="21"/>
      <c r="F489" s="84"/>
      <c r="G489" s="84"/>
    </row>
    <row r="490" spans="1:7" ht="15.75" customHeight="1">
      <c r="A490" s="20"/>
      <c r="B490" s="21"/>
      <c r="C490" s="22"/>
      <c r="E490" s="21"/>
      <c r="F490" s="84"/>
      <c r="G490" s="84"/>
    </row>
    <row r="491" spans="1:7" ht="15.75" customHeight="1">
      <c r="A491" s="20"/>
      <c r="B491" s="21"/>
      <c r="C491" s="22"/>
      <c r="E491" s="21"/>
      <c r="F491" s="84"/>
      <c r="G491" s="84"/>
    </row>
    <row r="492" spans="1:7" ht="15.75" customHeight="1">
      <c r="A492" s="20"/>
      <c r="B492" s="21"/>
      <c r="C492" s="22"/>
      <c r="E492" s="21"/>
      <c r="F492" s="84"/>
      <c r="G492" s="84"/>
    </row>
    <row r="493" spans="1:7" ht="15.75" customHeight="1">
      <c r="A493" s="20"/>
      <c r="B493" s="21"/>
      <c r="C493" s="22"/>
      <c r="E493" s="21"/>
      <c r="F493" s="84"/>
      <c r="G493" s="84"/>
    </row>
    <row r="494" spans="1:7" ht="15.75" customHeight="1">
      <c r="A494" s="20"/>
      <c r="B494" s="21"/>
      <c r="C494" s="22"/>
      <c r="E494" s="21"/>
      <c r="F494" s="84"/>
      <c r="G494" s="84"/>
    </row>
    <row r="495" spans="1:7" ht="15.75" customHeight="1">
      <c r="A495" s="20"/>
      <c r="B495" s="21"/>
      <c r="C495" s="22"/>
      <c r="E495" s="21"/>
      <c r="F495" s="84"/>
      <c r="G495" s="84"/>
    </row>
    <row r="496" spans="1:7" ht="15.75" customHeight="1">
      <c r="A496" s="20"/>
      <c r="B496" s="21"/>
      <c r="C496" s="22"/>
      <c r="E496" s="21"/>
      <c r="F496" s="84"/>
      <c r="G496" s="84"/>
    </row>
    <row r="497" spans="1:7" ht="15.75" customHeight="1">
      <c r="A497" s="20"/>
      <c r="B497" s="21"/>
      <c r="C497" s="22"/>
      <c r="E497" s="21"/>
      <c r="F497" s="84"/>
      <c r="G497" s="84"/>
    </row>
    <row r="498" spans="1:7" ht="15.75" customHeight="1">
      <c r="A498" s="20"/>
      <c r="B498" s="21"/>
      <c r="C498" s="22"/>
      <c r="E498" s="21"/>
      <c r="F498" s="84"/>
      <c r="G498" s="84"/>
    </row>
    <row r="499" spans="1:7" ht="15.75" customHeight="1">
      <c r="A499" s="20"/>
      <c r="B499" s="21"/>
      <c r="C499" s="22"/>
      <c r="E499" s="21"/>
      <c r="F499" s="84"/>
      <c r="G499" s="84"/>
    </row>
    <row r="500" spans="1:7" ht="15.75" customHeight="1">
      <c r="A500" s="20"/>
      <c r="B500" s="21"/>
      <c r="C500" s="22"/>
      <c r="E500" s="21"/>
      <c r="F500" s="84"/>
      <c r="G500" s="84"/>
    </row>
    <row r="501" spans="1:7" ht="15.75" customHeight="1">
      <c r="A501" s="20"/>
      <c r="B501" s="21"/>
      <c r="C501" s="22"/>
      <c r="E501" s="21"/>
      <c r="F501" s="84"/>
      <c r="G501" s="84"/>
    </row>
    <row r="502" spans="1:7" ht="15.75" customHeight="1">
      <c r="A502" s="20"/>
      <c r="B502" s="21"/>
      <c r="C502" s="22"/>
      <c r="E502" s="21"/>
      <c r="F502" s="84"/>
      <c r="G502" s="84"/>
    </row>
    <row r="503" spans="1:7" ht="15.75" customHeight="1">
      <c r="A503" s="20"/>
      <c r="B503" s="21"/>
      <c r="C503" s="22"/>
      <c r="E503" s="21"/>
      <c r="F503" s="84"/>
      <c r="G503" s="84"/>
    </row>
    <row r="504" spans="1:7" ht="15.75" customHeight="1">
      <c r="A504" s="20"/>
      <c r="B504" s="21"/>
      <c r="C504" s="22"/>
      <c r="E504" s="21"/>
      <c r="F504" s="84"/>
      <c r="G504" s="84"/>
    </row>
    <row r="505" spans="1:7" ht="15.75" customHeight="1">
      <c r="A505" s="20"/>
      <c r="B505" s="21"/>
      <c r="C505" s="22"/>
      <c r="E505" s="21"/>
      <c r="F505" s="84"/>
      <c r="G505" s="84"/>
    </row>
    <row r="506" spans="1:7" ht="15.75" customHeight="1">
      <c r="A506" s="20"/>
      <c r="B506" s="21"/>
      <c r="C506" s="22"/>
      <c r="E506" s="21"/>
      <c r="F506" s="84"/>
      <c r="G506" s="84"/>
    </row>
    <row r="507" spans="1:7" ht="15.75" customHeight="1">
      <c r="A507" s="20"/>
      <c r="B507" s="21"/>
      <c r="C507" s="22"/>
      <c r="E507" s="21"/>
      <c r="F507" s="84"/>
      <c r="G507" s="84"/>
    </row>
    <row r="508" spans="1:7" ht="15.75" customHeight="1">
      <c r="A508" s="20"/>
      <c r="B508" s="21"/>
      <c r="C508" s="22"/>
      <c r="E508" s="21"/>
      <c r="F508" s="84"/>
      <c r="G508" s="84"/>
    </row>
    <row r="509" spans="1:7" ht="15.75" customHeight="1">
      <c r="A509" s="20"/>
      <c r="B509" s="21"/>
      <c r="C509" s="22"/>
      <c r="E509" s="21"/>
      <c r="F509" s="84"/>
      <c r="G509" s="84"/>
    </row>
    <row r="510" spans="1:7" ht="15.75" customHeight="1">
      <c r="A510" s="20"/>
      <c r="B510" s="21"/>
      <c r="C510" s="22"/>
      <c r="E510" s="21"/>
      <c r="F510" s="84"/>
      <c r="G510" s="84"/>
    </row>
    <row r="511" spans="1:7" ht="15.75" customHeight="1">
      <c r="A511" s="20"/>
      <c r="B511" s="21"/>
      <c r="C511" s="22"/>
      <c r="E511" s="21"/>
      <c r="F511" s="84"/>
      <c r="G511" s="84"/>
    </row>
    <row r="512" spans="1:7" ht="15.75" customHeight="1">
      <c r="A512" s="20"/>
      <c r="B512" s="21"/>
      <c r="C512" s="22"/>
      <c r="E512" s="21"/>
      <c r="F512" s="84"/>
      <c r="G512" s="84"/>
    </row>
    <row r="513" spans="1:7" ht="15.75" customHeight="1">
      <c r="A513" s="20"/>
      <c r="B513" s="21"/>
      <c r="C513" s="22"/>
      <c r="E513" s="21"/>
      <c r="F513" s="84"/>
      <c r="G513" s="84"/>
    </row>
    <row r="514" spans="1:7" ht="15.75" customHeight="1">
      <c r="A514" s="20"/>
      <c r="B514" s="21"/>
      <c r="C514" s="22"/>
      <c r="E514" s="21"/>
      <c r="F514" s="84"/>
      <c r="G514" s="84"/>
    </row>
    <row r="515" spans="1:7" ht="15.75" customHeight="1">
      <c r="A515" s="20"/>
      <c r="B515" s="21"/>
      <c r="C515" s="22"/>
      <c r="E515" s="21"/>
      <c r="F515" s="84"/>
      <c r="G515" s="84"/>
    </row>
    <row r="516" spans="1:7" ht="15.75" customHeight="1">
      <c r="A516" s="20"/>
      <c r="B516" s="21"/>
      <c r="C516" s="22"/>
      <c r="E516" s="21"/>
      <c r="F516" s="84"/>
      <c r="G516" s="84"/>
    </row>
    <row r="517" spans="1:7" ht="15.75" customHeight="1">
      <c r="A517" s="20"/>
      <c r="B517" s="21"/>
      <c r="C517" s="22"/>
      <c r="E517" s="21"/>
      <c r="F517" s="84"/>
      <c r="G517" s="84"/>
    </row>
    <row r="518" spans="1:7" ht="15.75" customHeight="1">
      <c r="A518" s="20"/>
      <c r="B518" s="21"/>
      <c r="C518" s="22"/>
      <c r="E518" s="21"/>
      <c r="F518" s="84"/>
      <c r="G518" s="84"/>
    </row>
    <row r="519" spans="1:7" ht="15.75" customHeight="1">
      <c r="A519" s="20"/>
      <c r="B519" s="21"/>
      <c r="C519" s="22"/>
      <c r="E519" s="21"/>
      <c r="F519" s="84"/>
      <c r="G519" s="84"/>
    </row>
    <row r="520" spans="1:7" ht="15.75" customHeight="1">
      <c r="A520" s="20"/>
      <c r="B520" s="21"/>
      <c r="C520" s="22"/>
      <c r="E520" s="21"/>
      <c r="F520" s="84"/>
      <c r="G520" s="84"/>
    </row>
    <row r="521" spans="1:7" ht="15.75" customHeight="1">
      <c r="A521" s="20"/>
      <c r="B521" s="21"/>
      <c r="C521" s="22"/>
      <c r="E521" s="21"/>
      <c r="F521" s="84"/>
      <c r="G521" s="84"/>
    </row>
    <row r="522" spans="1:7" ht="15.75" customHeight="1">
      <c r="A522" s="20"/>
      <c r="B522" s="21"/>
      <c r="C522" s="22"/>
      <c r="E522" s="21"/>
      <c r="F522" s="84"/>
      <c r="G522" s="84"/>
    </row>
    <row r="523" spans="1:7" ht="15.75" customHeight="1">
      <c r="A523" s="20"/>
      <c r="B523" s="21"/>
      <c r="C523" s="22"/>
      <c r="E523" s="21"/>
      <c r="F523" s="84"/>
      <c r="G523" s="84"/>
    </row>
    <row r="524" spans="1:7" ht="15.75" customHeight="1">
      <c r="A524" s="20"/>
      <c r="B524" s="21"/>
      <c r="C524" s="22"/>
      <c r="E524" s="21"/>
      <c r="F524" s="84"/>
      <c r="G524" s="84"/>
    </row>
    <row r="525" spans="1:7" ht="15.75" customHeight="1">
      <c r="A525" s="20"/>
      <c r="B525" s="21"/>
      <c r="C525" s="22"/>
      <c r="E525" s="21"/>
      <c r="F525" s="84"/>
      <c r="G525" s="84"/>
    </row>
    <row r="526" spans="1:7" ht="15.75" customHeight="1">
      <c r="A526" s="20"/>
      <c r="B526" s="21"/>
      <c r="C526" s="22"/>
      <c r="E526" s="21"/>
      <c r="F526" s="84"/>
      <c r="G526" s="84"/>
    </row>
    <row r="527" spans="1:7" ht="15.75" customHeight="1">
      <c r="A527" s="20"/>
      <c r="B527" s="21"/>
      <c r="C527" s="22"/>
      <c r="E527" s="21"/>
      <c r="F527" s="84"/>
      <c r="G527" s="84"/>
    </row>
    <row r="528" spans="1:7" ht="15.75" customHeight="1">
      <c r="A528" s="20"/>
      <c r="B528" s="21"/>
      <c r="C528" s="22"/>
      <c r="E528" s="21"/>
      <c r="F528" s="84"/>
      <c r="G528" s="84"/>
    </row>
    <row r="529" spans="1:7" ht="15.75" customHeight="1">
      <c r="A529" s="20"/>
      <c r="B529" s="21"/>
      <c r="C529" s="22"/>
      <c r="E529" s="21"/>
      <c r="F529" s="84"/>
      <c r="G529" s="84"/>
    </row>
    <row r="530" spans="1:7" ht="15.75" customHeight="1">
      <c r="A530" s="20"/>
      <c r="B530" s="21"/>
      <c r="C530" s="22"/>
      <c r="E530" s="21"/>
      <c r="F530" s="84"/>
      <c r="G530" s="84"/>
    </row>
    <row r="531" spans="1:7" ht="15.75" customHeight="1">
      <c r="A531" s="20"/>
      <c r="B531" s="21"/>
      <c r="C531" s="22"/>
      <c r="E531" s="21"/>
      <c r="F531" s="84"/>
      <c r="G531" s="84"/>
    </row>
    <row r="532" spans="1:7" ht="15.75" customHeight="1">
      <c r="A532" s="20"/>
      <c r="B532" s="21"/>
      <c r="C532" s="22"/>
      <c r="E532" s="21"/>
      <c r="F532" s="84"/>
      <c r="G532" s="84"/>
    </row>
    <row r="533" spans="1:7" ht="15.75" customHeight="1">
      <c r="A533" s="20"/>
      <c r="B533" s="21"/>
      <c r="C533" s="22"/>
      <c r="E533" s="21"/>
      <c r="F533" s="84"/>
      <c r="G533" s="84"/>
    </row>
    <row r="534" spans="1:7" ht="15.75" customHeight="1">
      <c r="A534" s="20"/>
      <c r="B534" s="21"/>
      <c r="C534" s="22"/>
      <c r="E534" s="21"/>
      <c r="F534" s="84"/>
      <c r="G534" s="84"/>
    </row>
    <row r="535" spans="1:7" ht="15.75" customHeight="1">
      <c r="A535" s="20"/>
      <c r="B535" s="21"/>
      <c r="C535" s="22"/>
      <c r="E535" s="21"/>
      <c r="F535" s="84"/>
      <c r="G535" s="84"/>
    </row>
    <row r="536" spans="1:7" ht="15.75" customHeight="1">
      <c r="A536" s="20"/>
      <c r="B536" s="21"/>
      <c r="C536" s="22"/>
      <c r="E536" s="21"/>
      <c r="F536" s="84"/>
      <c r="G536" s="84"/>
    </row>
    <row r="537" spans="1:7" ht="15.75" customHeight="1">
      <c r="A537" s="20"/>
      <c r="B537" s="21"/>
      <c r="C537" s="22"/>
      <c r="E537" s="21"/>
      <c r="F537" s="84"/>
      <c r="G537" s="84"/>
    </row>
    <row r="538" spans="1:7" ht="15.75" customHeight="1">
      <c r="A538" s="20"/>
      <c r="B538" s="21"/>
      <c r="C538" s="22"/>
      <c r="E538" s="21"/>
      <c r="F538" s="84"/>
      <c r="G538" s="84"/>
    </row>
    <row r="539" spans="1:7" ht="15.75" customHeight="1">
      <c r="A539" s="20"/>
      <c r="B539" s="21"/>
      <c r="C539" s="22"/>
      <c r="E539" s="21"/>
      <c r="F539" s="84"/>
      <c r="G539" s="84"/>
    </row>
    <row r="540" spans="1:7" ht="15.75" customHeight="1">
      <c r="A540" s="20"/>
      <c r="B540" s="21"/>
      <c r="C540" s="22"/>
      <c r="E540" s="21"/>
      <c r="F540" s="84"/>
      <c r="G540" s="84"/>
    </row>
    <row r="541" spans="1:7" ht="15.75" customHeight="1">
      <c r="A541" s="20"/>
      <c r="B541" s="21"/>
      <c r="C541" s="22"/>
      <c r="E541" s="21"/>
      <c r="F541" s="84"/>
      <c r="G541" s="84"/>
    </row>
    <row r="542" spans="1:7" ht="15.75" customHeight="1">
      <c r="A542" s="20"/>
      <c r="B542" s="21"/>
      <c r="C542" s="22"/>
      <c r="E542" s="21"/>
      <c r="F542" s="84"/>
      <c r="G542" s="84"/>
    </row>
    <row r="543" spans="1:7" ht="15.75" customHeight="1">
      <c r="A543" s="20"/>
      <c r="B543" s="21"/>
      <c r="C543" s="22"/>
      <c r="E543" s="21"/>
      <c r="F543" s="84"/>
      <c r="G543" s="84"/>
    </row>
    <row r="544" spans="1:7" ht="15.75" customHeight="1">
      <c r="A544" s="20"/>
      <c r="B544" s="21"/>
      <c r="C544" s="22"/>
      <c r="E544" s="21"/>
      <c r="F544" s="84"/>
      <c r="G544" s="84"/>
    </row>
    <row r="545" spans="1:7" ht="15.75" customHeight="1">
      <c r="A545" s="20"/>
      <c r="B545" s="21"/>
      <c r="C545" s="22"/>
      <c r="E545" s="21"/>
      <c r="F545" s="84"/>
      <c r="G545" s="84"/>
    </row>
    <row r="546" spans="1:7" ht="15.75" customHeight="1">
      <c r="A546" s="20"/>
      <c r="B546" s="21"/>
      <c r="C546" s="22"/>
      <c r="E546" s="21"/>
      <c r="F546" s="84"/>
      <c r="G546" s="84"/>
    </row>
    <row r="547" spans="1:7" ht="15.75" customHeight="1">
      <c r="A547" s="20"/>
      <c r="B547" s="21"/>
      <c r="C547" s="22"/>
      <c r="E547" s="21"/>
      <c r="F547" s="84"/>
      <c r="G547" s="84"/>
    </row>
    <row r="548" spans="1:7" ht="15.75" customHeight="1">
      <c r="A548" s="20"/>
      <c r="B548" s="21"/>
      <c r="C548" s="22"/>
      <c r="E548" s="21"/>
      <c r="F548" s="84"/>
      <c r="G548" s="84"/>
    </row>
    <row r="549" spans="1:7" ht="15.75" customHeight="1">
      <c r="A549" s="20"/>
      <c r="B549" s="21"/>
      <c r="C549" s="22"/>
      <c r="E549" s="21"/>
      <c r="F549" s="84"/>
      <c r="G549" s="84"/>
    </row>
    <row r="550" spans="1:7" ht="15.75" customHeight="1">
      <c r="A550" s="20"/>
      <c r="B550" s="21"/>
      <c r="C550" s="22"/>
      <c r="E550" s="21"/>
      <c r="F550" s="84"/>
      <c r="G550" s="84"/>
    </row>
    <row r="551" spans="1:7" ht="15.75" customHeight="1">
      <c r="A551" s="20"/>
      <c r="B551" s="21"/>
      <c r="C551" s="22"/>
      <c r="E551" s="21"/>
      <c r="F551" s="84"/>
      <c r="G551" s="84"/>
    </row>
    <row r="552" spans="1:7" ht="15.75" customHeight="1">
      <c r="A552" s="20"/>
      <c r="B552" s="21"/>
      <c r="C552" s="22"/>
      <c r="E552" s="21"/>
      <c r="F552" s="84"/>
      <c r="G552" s="84"/>
    </row>
    <row r="553" spans="1:7" ht="15.75" customHeight="1">
      <c r="A553" s="20"/>
      <c r="B553" s="21"/>
      <c r="C553" s="22"/>
      <c r="E553" s="21"/>
      <c r="F553" s="84"/>
      <c r="G553" s="84"/>
    </row>
    <row r="554" spans="1:7" ht="15.75" customHeight="1">
      <c r="A554" s="20"/>
      <c r="B554" s="21"/>
      <c r="C554" s="22"/>
      <c r="E554" s="21"/>
      <c r="F554" s="84"/>
      <c r="G554" s="84"/>
    </row>
    <row r="555" spans="1:7" ht="15.75" customHeight="1">
      <c r="A555" s="20"/>
      <c r="B555" s="21"/>
      <c r="C555" s="22"/>
      <c r="E555" s="21"/>
      <c r="F555" s="84"/>
      <c r="G555" s="84"/>
    </row>
    <row r="556" spans="1:7" ht="15.75" customHeight="1">
      <c r="A556" s="20"/>
      <c r="B556" s="21"/>
      <c r="C556" s="22"/>
      <c r="E556" s="21"/>
      <c r="F556" s="84"/>
      <c r="G556" s="84"/>
    </row>
    <row r="557" spans="1:7" ht="15.75" customHeight="1">
      <c r="A557" s="20"/>
      <c r="B557" s="21"/>
      <c r="C557" s="22"/>
      <c r="E557" s="21"/>
      <c r="F557" s="84"/>
      <c r="G557" s="84"/>
    </row>
    <row r="558" spans="1:7" ht="15.75" customHeight="1">
      <c r="A558" s="20"/>
      <c r="B558" s="21"/>
      <c r="C558" s="22"/>
      <c r="E558" s="21"/>
      <c r="F558" s="84"/>
      <c r="G558" s="84"/>
    </row>
    <row r="559" spans="1:7" ht="15.75" customHeight="1">
      <c r="A559" s="20"/>
      <c r="B559" s="21"/>
      <c r="C559" s="22"/>
      <c r="E559" s="21"/>
      <c r="F559" s="84"/>
      <c r="G559" s="84"/>
    </row>
    <row r="560" spans="1:7" ht="15.75" customHeight="1">
      <c r="A560" s="20"/>
      <c r="B560" s="21"/>
      <c r="C560" s="22"/>
      <c r="E560" s="21"/>
      <c r="F560" s="84"/>
      <c r="G560" s="84"/>
    </row>
    <row r="561" spans="1:7" ht="15.75" customHeight="1">
      <c r="A561" s="20"/>
      <c r="B561" s="21"/>
      <c r="C561" s="22"/>
      <c r="E561" s="21"/>
      <c r="F561" s="84"/>
      <c r="G561" s="84"/>
    </row>
    <row r="562" spans="1:7" ht="15.75" customHeight="1">
      <c r="A562" s="20"/>
      <c r="B562" s="21"/>
      <c r="C562" s="22"/>
      <c r="E562" s="21"/>
      <c r="F562" s="84"/>
      <c r="G562" s="84"/>
    </row>
    <row r="563" spans="1:7" ht="15.75" customHeight="1">
      <c r="A563" s="20"/>
      <c r="B563" s="21"/>
      <c r="C563" s="22"/>
      <c r="E563" s="21"/>
      <c r="F563" s="84"/>
      <c r="G563" s="84"/>
    </row>
    <row r="564" spans="1:7" ht="15.75" customHeight="1">
      <c r="A564" s="20"/>
      <c r="B564" s="21"/>
      <c r="C564" s="22"/>
      <c r="E564" s="21"/>
      <c r="F564" s="84"/>
      <c r="G564" s="84"/>
    </row>
    <row r="565" spans="1:7" ht="15.75" customHeight="1">
      <c r="A565" s="20"/>
      <c r="B565" s="21"/>
      <c r="C565" s="22"/>
      <c r="E565" s="21"/>
      <c r="F565" s="84"/>
      <c r="G565" s="84"/>
    </row>
    <row r="566" spans="1:7" ht="15.75" customHeight="1">
      <c r="A566" s="20"/>
      <c r="B566" s="21"/>
      <c r="C566" s="22"/>
      <c r="E566" s="21"/>
      <c r="F566" s="84"/>
      <c r="G566" s="84"/>
    </row>
    <row r="567" spans="1:7" ht="15.75" customHeight="1">
      <c r="A567" s="20"/>
      <c r="B567" s="21"/>
      <c r="C567" s="22"/>
      <c r="E567" s="21"/>
      <c r="F567" s="84"/>
      <c r="G567" s="84"/>
    </row>
    <row r="568" spans="1:7" ht="15.75" customHeight="1">
      <c r="A568" s="20"/>
      <c r="B568" s="21"/>
      <c r="C568" s="22"/>
      <c r="E568" s="21"/>
      <c r="F568" s="84"/>
      <c r="G568" s="84"/>
    </row>
    <row r="569" spans="1:7" ht="15.75" customHeight="1">
      <c r="A569" s="20"/>
      <c r="B569" s="21"/>
      <c r="C569" s="22"/>
      <c r="E569" s="21"/>
      <c r="F569" s="84"/>
      <c r="G569" s="84"/>
    </row>
    <row r="570" spans="1:7" ht="15.75" customHeight="1">
      <c r="A570" s="20"/>
      <c r="B570" s="21"/>
      <c r="C570" s="22"/>
      <c r="E570" s="21"/>
      <c r="F570" s="84"/>
      <c r="G570" s="84"/>
    </row>
    <row r="571" spans="1:7" ht="15.75" customHeight="1">
      <c r="A571" s="20"/>
      <c r="B571" s="21"/>
      <c r="C571" s="22"/>
      <c r="E571" s="21"/>
      <c r="F571" s="84"/>
      <c r="G571" s="84"/>
    </row>
    <row r="572" spans="1:7" ht="15.75" customHeight="1">
      <c r="A572" s="20"/>
      <c r="B572" s="21"/>
      <c r="C572" s="22"/>
      <c r="E572" s="21"/>
      <c r="F572" s="84"/>
      <c r="G572" s="84"/>
    </row>
    <row r="573" spans="1:7" ht="15.75" customHeight="1">
      <c r="A573" s="20"/>
      <c r="B573" s="21"/>
      <c r="C573" s="22"/>
      <c r="E573" s="21"/>
      <c r="F573" s="84"/>
      <c r="G573" s="84"/>
    </row>
    <row r="574" spans="1:7" ht="15.75" customHeight="1">
      <c r="A574" s="20"/>
      <c r="B574" s="21"/>
      <c r="C574" s="22"/>
      <c r="E574" s="21"/>
      <c r="F574" s="84"/>
      <c r="G574" s="84"/>
    </row>
    <row r="575" spans="1:7" ht="15.75" customHeight="1">
      <c r="A575" s="20"/>
      <c r="B575" s="21"/>
      <c r="C575" s="22"/>
      <c r="E575" s="21"/>
      <c r="F575" s="84"/>
      <c r="G575" s="84"/>
    </row>
    <row r="576" spans="1:7" ht="15.75" customHeight="1">
      <c r="A576" s="20"/>
      <c r="B576" s="21"/>
      <c r="C576" s="22"/>
      <c r="E576" s="21"/>
      <c r="F576" s="84"/>
      <c r="G576" s="84"/>
    </row>
    <row r="577" spans="1:7" ht="15.75" customHeight="1">
      <c r="A577" s="20"/>
      <c r="B577" s="21"/>
      <c r="C577" s="22"/>
      <c r="E577" s="21"/>
      <c r="F577" s="84"/>
      <c r="G577" s="84"/>
    </row>
    <row r="578" spans="1:7" ht="15.75" customHeight="1">
      <c r="A578" s="20"/>
      <c r="B578" s="21"/>
      <c r="C578" s="22"/>
      <c r="E578" s="21"/>
      <c r="F578" s="84"/>
      <c r="G578" s="84"/>
    </row>
    <row r="579" spans="1:7" ht="15.75" customHeight="1">
      <c r="A579" s="20"/>
      <c r="B579" s="21"/>
      <c r="C579" s="22"/>
      <c r="E579" s="21"/>
      <c r="F579" s="84"/>
      <c r="G579" s="84"/>
    </row>
    <row r="580" spans="1:7" ht="15.75" customHeight="1">
      <c r="A580" s="20"/>
      <c r="B580" s="21"/>
      <c r="C580" s="22"/>
      <c r="E580" s="21"/>
      <c r="F580" s="84"/>
      <c r="G580" s="84"/>
    </row>
    <row r="581" spans="1:7" ht="15.75" customHeight="1">
      <c r="A581" s="20"/>
      <c r="B581" s="21"/>
      <c r="C581" s="22"/>
      <c r="E581" s="21"/>
      <c r="F581" s="84"/>
      <c r="G581" s="84"/>
    </row>
    <row r="582" spans="1:7" ht="15.75" customHeight="1">
      <c r="A582" s="20"/>
      <c r="B582" s="21"/>
      <c r="C582" s="22"/>
      <c r="E582" s="21"/>
      <c r="F582" s="84"/>
      <c r="G582" s="84"/>
    </row>
    <row r="583" spans="1:7" ht="15.75" customHeight="1">
      <c r="A583" s="20"/>
      <c r="B583" s="21"/>
      <c r="C583" s="22"/>
      <c r="E583" s="21"/>
      <c r="F583" s="84"/>
      <c r="G583" s="84"/>
    </row>
    <row r="584" spans="1:7" ht="15.75" customHeight="1">
      <c r="A584" s="20"/>
      <c r="B584" s="21"/>
      <c r="C584" s="22"/>
      <c r="E584" s="21"/>
      <c r="F584" s="84"/>
      <c r="G584" s="84"/>
    </row>
    <row r="585" spans="1:7" ht="15.75" customHeight="1">
      <c r="A585" s="20"/>
      <c r="B585" s="21"/>
      <c r="C585" s="22"/>
      <c r="E585" s="21"/>
      <c r="F585" s="84"/>
      <c r="G585" s="84"/>
    </row>
    <row r="586" spans="1:7" ht="15.75" customHeight="1">
      <c r="A586" s="20"/>
      <c r="B586" s="21"/>
      <c r="C586" s="22"/>
      <c r="E586" s="21"/>
      <c r="F586" s="84"/>
      <c r="G586" s="84"/>
    </row>
    <row r="587" spans="1:7" ht="15.75" customHeight="1">
      <c r="A587" s="20"/>
      <c r="B587" s="21"/>
      <c r="C587" s="22"/>
      <c r="E587" s="21"/>
      <c r="F587" s="84"/>
      <c r="G587" s="84"/>
    </row>
    <row r="588" spans="1:7" ht="15.75" customHeight="1">
      <c r="A588" s="20"/>
      <c r="B588" s="21"/>
      <c r="C588" s="22"/>
      <c r="E588" s="21"/>
      <c r="F588" s="84"/>
      <c r="G588" s="84"/>
    </row>
    <row r="589" spans="1:7" ht="15.75" customHeight="1">
      <c r="A589" s="20"/>
      <c r="B589" s="21"/>
      <c r="C589" s="22"/>
      <c r="E589" s="21"/>
      <c r="F589" s="84"/>
      <c r="G589" s="84"/>
    </row>
    <row r="590" spans="1:7" ht="15.75" customHeight="1">
      <c r="A590" s="20"/>
      <c r="B590" s="21"/>
      <c r="C590" s="22"/>
      <c r="E590" s="21"/>
      <c r="F590" s="84"/>
      <c r="G590" s="84"/>
    </row>
    <row r="591" spans="1:7" ht="15.75" customHeight="1">
      <c r="A591" s="20"/>
      <c r="B591" s="21"/>
      <c r="C591" s="22"/>
      <c r="E591" s="21"/>
      <c r="F591" s="84"/>
      <c r="G591" s="84"/>
    </row>
    <row r="592" spans="1:7" ht="15.75" customHeight="1">
      <c r="A592" s="20"/>
      <c r="B592" s="21"/>
      <c r="C592" s="22"/>
      <c r="E592" s="21"/>
      <c r="F592" s="84"/>
      <c r="G592" s="84"/>
    </row>
    <row r="593" spans="1:7" ht="15.75" customHeight="1">
      <c r="A593" s="20"/>
      <c r="B593" s="21"/>
      <c r="C593" s="22"/>
      <c r="E593" s="21"/>
      <c r="F593" s="84"/>
      <c r="G593" s="84"/>
    </row>
    <row r="594" spans="1:7" ht="15.75" customHeight="1">
      <c r="A594" s="20"/>
      <c r="B594" s="21"/>
      <c r="C594" s="22"/>
      <c r="E594" s="21"/>
      <c r="F594" s="84"/>
      <c r="G594" s="84"/>
    </row>
    <row r="595" spans="1:7" ht="15.75" customHeight="1">
      <c r="A595" s="20"/>
      <c r="B595" s="21"/>
      <c r="C595" s="22"/>
      <c r="E595" s="21"/>
      <c r="F595" s="84"/>
      <c r="G595" s="84"/>
    </row>
    <row r="596" spans="1:7" ht="15.75" customHeight="1">
      <c r="A596" s="20"/>
      <c r="B596" s="21"/>
      <c r="C596" s="22"/>
      <c r="E596" s="21"/>
      <c r="F596" s="84"/>
      <c r="G596" s="84"/>
    </row>
    <row r="597" spans="1:7" ht="15.75" customHeight="1">
      <c r="A597" s="20"/>
      <c r="B597" s="21"/>
      <c r="C597" s="22"/>
      <c r="E597" s="21"/>
      <c r="F597" s="84"/>
      <c r="G597" s="84"/>
    </row>
    <row r="598" spans="1:7" ht="15.75" customHeight="1">
      <c r="A598" s="20"/>
      <c r="B598" s="21"/>
      <c r="C598" s="22"/>
      <c r="E598" s="21"/>
      <c r="F598" s="84"/>
      <c r="G598" s="84"/>
    </row>
    <row r="599" spans="1:7" ht="15.75" customHeight="1">
      <c r="A599" s="20"/>
      <c r="B599" s="21"/>
      <c r="C599" s="22"/>
      <c r="E599" s="21"/>
      <c r="F599" s="84"/>
      <c r="G599" s="84"/>
    </row>
    <row r="600" spans="1:7" ht="15.75" customHeight="1">
      <c r="A600" s="20"/>
      <c r="B600" s="21"/>
      <c r="C600" s="22"/>
      <c r="E600" s="21"/>
      <c r="F600" s="84"/>
      <c r="G600" s="84"/>
    </row>
    <row r="601" spans="1:7" ht="15.75" customHeight="1">
      <c r="A601" s="20"/>
      <c r="B601" s="21"/>
      <c r="C601" s="22"/>
      <c r="E601" s="21"/>
      <c r="F601" s="84"/>
      <c r="G601" s="84"/>
    </row>
    <row r="602" spans="1:7" ht="15.75" customHeight="1">
      <c r="A602" s="20"/>
      <c r="B602" s="21"/>
      <c r="C602" s="22"/>
      <c r="E602" s="21"/>
      <c r="F602" s="84"/>
      <c r="G602" s="84"/>
    </row>
    <row r="603" spans="1:7" ht="15.75" customHeight="1">
      <c r="A603" s="20"/>
      <c r="B603" s="21"/>
      <c r="C603" s="22"/>
      <c r="E603" s="21"/>
      <c r="F603" s="84"/>
      <c r="G603" s="84"/>
    </row>
    <row r="604" spans="1:7" ht="15.75" customHeight="1">
      <c r="A604" s="20"/>
      <c r="B604" s="21"/>
      <c r="C604" s="22"/>
      <c r="E604" s="21"/>
      <c r="F604" s="84"/>
      <c r="G604" s="84"/>
    </row>
    <row r="605" spans="1:7" ht="15.75" customHeight="1">
      <c r="A605" s="20"/>
      <c r="B605" s="21"/>
      <c r="C605" s="22"/>
      <c r="E605" s="21"/>
      <c r="F605" s="84"/>
      <c r="G605" s="84"/>
    </row>
    <row r="606" spans="1:7" ht="15.75" customHeight="1">
      <c r="A606" s="20"/>
      <c r="B606" s="21"/>
      <c r="C606" s="22"/>
      <c r="E606" s="21"/>
      <c r="F606" s="84"/>
      <c r="G606" s="84"/>
    </row>
    <row r="607" spans="1:7" ht="15.75" customHeight="1">
      <c r="A607" s="20"/>
      <c r="B607" s="21"/>
      <c r="C607" s="22"/>
      <c r="E607" s="21"/>
      <c r="F607" s="84"/>
      <c r="G607" s="84"/>
    </row>
    <row r="608" spans="1:7" ht="15.75" customHeight="1">
      <c r="A608" s="20"/>
      <c r="B608" s="21"/>
      <c r="C608" s="22"/>
      <c r="E608" s="21"/>
      <c r="F608" s="84"/>
      <c r="G608" s="84"/>
    </row>
    <row r="609" spans="1:7" ht="15.75" customHeight="1">
      <c r="A609" s="20"/>
      <c r="B609" s="21"/>
      <c r="C609" s="22"/>
      <c r="E609" s="21"/>
      <c r="F609" s="84"/>
      <c r="G609" s="84"/>
    </row>
    <row r="610" spans="1:7" ht="15.75" customHeight="1">
      <c r="A610" s="20"/>
      <c r="B610" s="21"/>
      <c r="C610" s="22"/>
      <c r="E610" s="21"/>
      <c r="F610" s="84"/>
      <c r="G610" s="84"/>
    </row>
    <row r="611" spans="1:7" ht="15.75" customHeight="1">
      <c r="A611" s="20"/>
      <c r="B611" s="21"/>
      <c r="C611" s="22"/>
      <c r="E611" s="21"/>
      <c r="F611" s="84"/>
      <c r="G611" s="84"/>
    </row>
    <row r="612" spans="1:7" ht="15.75" customHeight="1">
      <c r="A612" s="20"/>
      <c r="B612" s="21"/>
      <c r="C612" s="22"/>
      <c r="E612" s="21"/>
      <c r="F612" s="84"/>
      <c r="G612" s="84"/>
    </row>
    <row r="613" spans="1:7" ht="15.75" customHeight="1">
      <c r="A613" s="20"/>
      <c r="B613" s="21"/>
      <c r="C613" s="22"/>
      <c r="E613" s="21"/>
      <c r="F613" s="84"/>
      <c r="G613" s="84"/>
    </row>
    <row r="614" spans="1:7" ht="15.75" customHeight="1">
      <c r="A614" s="20"/>
      <c r="B614" s="21"/>
      <c r="C614" s="22"/>
      <c r="E614" s="21"/>
      <c r="F614" s="84"/>
      <c r="G614" s="84"/>
    </row>
    <row r="615" spans="1:7" ht="15.75" customHeight="1">
      <c r="A615" s="20"/>
      <c r="B615" s="21"/>
      <c r="C615" s="22"/>
      <c r="E615" s="21"/>
      <c r="F615" s="84"/>
      <c r="G615" s="84"/>
    </row>
    <row r="616" spans="1:7" ht="15.75" customHeight="1">
      <c r="A616" s="20"/>
      <c r="B616" s="21"/>
      <c r="C616" s="22"/>
      <c r="E616" s="21"/>
      <c r="F616" s="84"/>
      <c r="G616" s="84"/>
    </row>
    <row r="617" spans="1:7" ht="15.75" customHeight="1">
      <c r="A617" s="20"/>
      <c r="B617" s="21"/>
      <c r="C617" s="22"/>
      <c r="E617" s="21"/>
      <c r="F617" s="84"/>
      <c r="G617" s="84"/>
    </row>
    <row r="618" spans="1:7" ht="15.75" customHeight="1">
      <c r="A618" s="20"/>
      <c r="B618" s="21"/>
      <c r="C618" s="22"/>
      <c r="E618" s="21"/>
      <c r="F618" s="84"/>
      <c r="G618" s="84"/>
    </row>
    <row r="619" spans="1:7" ht="15.75" customHeight="1">
      <c r="A619" s="20"/>
      <c r="B619" s="21"/>
      <c r="C619" s="22"/>
      <c r="E619" s="21"/>
      <c r="F619" s="84"/>
      <c r="G619" s="84"/>
    </row>
    <row r="620" spans="1:7" ht="15.75" customHeight="1">
      <c r="A620" s="20"/>
      <c r="B620" s="21"/>
      <c r="C620" s="22"/>
      <c r="E620" s="21"/>
      <c r="F620" s="84"/>
      <c r="G620" s="84"/>
    </row>
    <row r="621" spans="1:7" ht="15.75" customHeight="1">
      <c r="A621" s="20"/>
      <c r="B621" s="21"/>
      <c r="C621" s="22"/>
      <c r="E621" s="21"/>
      <c r="F621" s="84"/>
      <c r="G621" s="84"/>
    </row>
    <row r="622" spans="1:7" ht="15.75" customHeight="1">
      <c r="A622" s="20"/>
      <c r="B622" s="21"/>
      <c r="C622" s="22"/>
      <c r="E622" s="21"/>
      <c r="F622" s="84"/>
      <c r="G622" s="84"/>
    </row>
    <row r="623" spans="1:7" ht="15.75" customHeight="1">
      <c r="A623" s="20"/>
      <c r="B623" s="21"/>
      <c r="C623" s="22"/>
      <c r="E623" s="21"/>
      <c r="F623" s="84"/>
      <c r="G623" s="84"/>
    </row>
    <row r="624" spans="1:7" ht="15.75" customHeight="1">
      <c r="A624" s="20"/>
      <c r="B624" s="21"/>
      <c r="C624" s="22"/>
      <c r="E624" s="21"/>
      <c r="F624" s="84"/>
      <c r="G624" s="84"/>
    </row>
    <row r="625" spans="1:7" ht="15.75" customHeight="1">
      <c r="A625" s="20"/>
      <c r="B625" s="21"/>
      <c r="C625" s="22"/>
      <c r="E625" s="21"/>
      <c r="F625" s="84"/>
      <c r="G625" s="84"/>
    </row>
    <row r="626" spans="1:7" ht="15.75" customHeight="1">
      <c r="A626" s="20"/>
      <c r="B626" s="21"/>
      <c r="C626" s="22"/>
      <c r="E626" s="21"/>
      <c r="F626" s="84"/>
      <c r="G626" s="84"/>
    </row>
    <row r="627" spans="1:7" ht="15.75" customHeight="1">
      <c r="A627" s="20"/>
      <c r="B627" s="21"/>
      <c r="C627" s="22"/>
      <c r="E627" s="21"/>
      <c r="F627" s="84"/>
      <c r="G627" s="84"/>
    </row>
    <row r="628" spans="1:7" ht="15.75" customHeight="1">
      <c r="A628" s="20"/>
      <c r="B628" s="21"/>
      <c r="C628" s="22"/>
      <c r="E628" s="21"/>
      <c r="F628" s="84"/>
      <c r="G628" s="84"/>
    </row>
    <row r="629" spans="1:7" ht="15.75" customHeight="1">
      <c r="A629" s="20"/>
      <c r="B629" s="21"/>
      <c r="C629" s="22"/>
      <c r="E629" s="21"/>
      <c r="F629" s="84"/>
      <c r="G629" s="84"/>
    </row>
    <row r="630" spans="1:7" ht="15.75" customHeight="1">
      <c r="A630" s="20"/>
      <c r="B630" s="21"/>
      <c r="C630" s="22"/>
      <c r="E630" s="21"/>
      <c r="F630" s="84"/>
      <c r="G630" s="84"/>
    </row>
    <row r="631" spans="1:7" ht="15.75" customHeight="1">
      <c r="A631" s="20"/>
      <c r="B631" s="21"/>
      <c r="C631" s="22"/>
      <c r="E631" s="21"/>
      <c r="F631" s="84"/>
      <c r="G631" s="84"/>
    </row>
    <row r="632" spans="1:7" ht="15.75" customHeight="1">
      <c r="A632" s="20"/>
      <c r="B632" s="21"/>
      <c r="C632" s="22"/>
      <c r="E632" s="21"/>
      <c r="F632" s="84"/>
      <c r="G632" s="84"/>
    </row>
    <row r="633" spans="1:7" ht="15.75" customHeight="1">
      <c r="A633" s="20"/>
      <c r="B633" s="21"/>
      <c r="C633" s="22"/>
      <c r="E633" s="21"/>
      <c r="F633" s="84"/>
      <c r="G633" s="84"/>
    </row>
    <row r="634" spans="1:7" ht="15.75" customHeight="1">
      <c r="A634" s="20"/>
      <c r="B634" s="21"/>
      <c r="C634" s="22"/>
      <c r="E634" s="21"/>
      <c r="F634" s="84"/>
      <c r="G634" s="84"/>
    </row>
    <row r="635" spans="1:7" ht="15.75" customHeight="1">
      <c r="A635" s="20"/>
      <c r="B635" s="21"/>
      <c r="C635" s="22"/>
      <c r="E635" s="21"/>
      <c r="F635" s="84"/>
      <c r="G635" s="84"/>
    </row>
    <row r="636" spans="1:7" ht="15.75" customHeight="1">
      <c r="A636" s="20"/>
      <c r="B636" s="21"/>
      <c r="C636" s="22"/>
      <c r="E636" s="21"/>
      <c r="F636" s="84"/>
      <c r="G636" s="84"/>
    </row>
    <row r="637" spans="1:7" ht="15.75" customHeight="1">
      <c r="A637" s="20"/>
      <c r="B637" s="21"/>
      <c r="C637" s="22"/>
      <c r="E637" s="21"/>
      <c r="F637" s="84"/>
      <c r="G637" s="84"/>
    </row>
    <row r="638" spans="1:7" ht="15.75" customHeight="1">
      <c r="A638" s="20"/>
      <c r="B638" s="21"/>
      <c r="C638" s="22"/>
      <c r="E638" s="21"/>
      <c r="F638" s="84"/>
      <c r="G638" s="84"/>
    </row>
    <row r="639" spans="1:7" ht="15.75" customHeight="1">
      <c r="A639" s="20"/>
      <c r="B639" s="21"/>
      <c r="C639" s="22"/>
      <c r="E639" s="21"/>
      <c r="F639" s="84"/>
      <c r="G639" s="84"/>
    </row>
    <row r="640" spans="1:7" ht="15.75" customHeight="1">
      <c r="A640" s="20"/>
      <c r="B640" s="21"/>
      <c r="C640" s="22"/>
      <c r="E640" s="21"/>
      <c r="F640" s="84"/>
      <c r="G640" s="84"/>
    </row>
    <row r="641" spans="1:7" ht="15.75" customHeight="1">
      <c r="A641" s="20"/>
      <c r="B641" s="21"/>
      <c r="C641" s="22"/>
      <c r="E641" s="21"/>
      <c r="F641" s="84"/>
      <c r="G641" s="84"/>
    </row>
    <row r="642" spans="1:7" ht="15.75" customHeight="1">
      <c r="A642" s="20"/>
      <c r="B642" s="21"/>
      <c r="C642" s="22"/>
      <c r="E642" s="21"/>
      <c r="F642" s="84"/>
      <c r="G642" s="84"/>
    </row>
    <row r="643" spans="1:7" ht="15.75" customHeight="1">
      <c r="A643" s="20"/>
      <c r="B643" s="21"/>
      <c r="C643" s="22"/>
      <c r="E643" s="21"/>
      <c r="F643" s="84"/>
      <c r="G643" s="84"/>
    </row>
    <row r="644" spans="1:7" ht="15.75" customHeight="1">
      <c r="A644" s="20"/>
      <c r="B644" s="21"/>
      <c r="C644" s="22"/>
      <c r="E644" s="21"/>
      <c r="F644" s="84"/>
      <c r="G644" s="84"/>
    </row>
    <row r="645" spans="1:7" ht="15.75" customHeight="1">
      <c r="A645" s="20"/>
      <c r="B645" s="21"/>
      <c r="C645" s="22"/>
      <c r="E645" s="21"/>
      <c r="F645" s="84"/>
      <c r="G645" s="84"/>
    </row>
    <row r="646" spans="1:7" ht="15.75" customHeight="1">
      <c r="A646" s="20"/>
      <c r="B646" s="21"/>
      <c r="C646" s="22"/>
      <c r="E646" s="21"/>
      <c r="F646" s="84"/>
      <c r="G646" s="84"/>
    </row>
    <row r="647" spans="1:7" ht="15.75" customHeight="1">
      <c r="A647" s="20"/>
      <c r="B647" s="21"/>
      <c r="C647" s="22"/>
      <c r="E647" s="21"/>
      <c r="F647" s="84"/>
      <c r="G647" s="84"/>
    </row>
    <row r="648" spans="1:7" ht="15.75" customHeight="1">
      <c r="A648" s="20"/>
      <c r="B648" s="21"/>
      <c r="C648" s="22"/>
      <c r="E648" s="21"/>
      <c r="F648" s="84"/>
      <c r="G648" s="84"/>
    </row>
    <row r="649" spans="1:7" ht="15.75" customHeight="1">
      <c r="A649" s="20"/>
      <c r="B649" s="21"/>
      <c r="C649" s="22"/>
      <c r="E649" s="21"/>
      <c r="F649" s="84"/>
      <c r="G649" s="84"/>
    </row>
    <row r="650" spans="1:7" ht="15.75" customHeight="1">
      <c r="A650" s="20"/>
      <c r="B650" s="21"/>
      <c r="C650" s="22"/>
      <c r="E650" s="21"/>
      <c r="F650" s="84"/>
      <c r="G650" s="84"/>
    </row>
    <row r="651" spans="1:7" ht="15.75" customHeight="1">
      <c r="A651" s="20"/>
      <c r="B651" s="21"/>
      <c r="C651" s="22"/>
      <c r="E651" s="21"/>
      <c r="F651" s="84"/>
      <c r="G651" s="84"/>
    </row>
    <row r="652" spans="1:7" ht="15.75" customHeight="1">
      <c r="A652" s="20"/>
      <c r="B652" s="21"/>
      <c r="C652" s="22"/>
      <c r="E652" s="21"/>
      <c r="F652" s="84"/>
      <c r="G652" s="84"/>
    </row>
    <row r="653" spans="1:7" ht="15.75" customHeight="1">
      <c r="A653" s="20"/>
      <c r="B653" s="21"/>
      <c r="C653" s="22"/>
      <c r="E653" s="21"/>
      <c r="F653" s="84"/>
      <c r="G653" s="84"/>
    </row>
    <row r="654" spans="1:7" ht="15.75" customHeight="1">
      <c r="A654" s="20"/>
      <c r="B654" s="21"/>
      <c r="C654" s="22"/>
      <c r="E654" s="21"/>
      <c r="F654" s="84"/>
      <c r="G654" s="84"/>
    </row>
    <row r="655" spans="1:7" ht="15.75" customHeight="1">
      <c r="A655" s="20"/>
      <c r="B655" s="21"/>
      <c r="C655" s="22"/>
      <c r="E655" s="21"/>
      <c r="F655" s="84"/>
      <c r="G655" s="84"/>
    </row>
    <row r="656" spans="1:7" ht="15.75" customHeight="1">
      <c r="A656" s="20"/>
      <c r="B656" s="21"/>
      <c r="C656" s="22"/>
      <c r="E656" s="21"/>
      <c r="F656" s="84"/>
      <c r="G656" s="84"/>
    </row>
    <row r="657" spans="1:7" ht="15.75" customHeight="1">
      <c r="A657" s="20"/>
      <c r="B657" s="21"/>
      <c r="C657" s="22"/>
      <c r="E657" s="21"/>
      <c r="F657" s="84"/>
      <c r="G657" s="84"/>
    </row>
    <row r="658" spans="1:7" ht="15.75" customHeight="1">
      <c r="A658" s="20"/>
      <c r="B658" s="21"/>
      <c r="C658" s="22"/>
      <c r="E658" s="21"/>
      <c r="F658" s="84"/>
      <c r="G658" s="84"/>
    </row>
    <row r="659" spans="1:7" ht="15.75" customHeight="1">
      <c r="A659" s="20"/>
      <c r="B659" s="21"/>
      <c r="C659" s="22"/>
      <c r="E659" s="21"/>
      <c r="F659" s="84"/>
      <c r="G659" s="84"/>
    </row>
    <row r="660" spans="1:7" ht="15.75" customHeight="1">
      <c r="A660" s="20"/>
      <c r="B660" s="21"/>
      <c r="C660" s="22"/>
      <c r="E660" s="21"/>
      <c r="F660" s="84"/>
      <c r="G660" s="84"/>
    </row>
    <row r="661" spans="1:7" ht="15.75" customHeight="1">
      <c r="A661" s="20"/>
      <c r="B661" s="21"/>
      <c r="C661" s="22"/>
      <c r="E661" s="21"/>
      <c r="F661" s="84"/>
      <c r="G661" s="84"/>
    </row>
    <row r="662" spans="1:7" ht="15.75" customHeight="1">
      <c r="A662" s="20"/>
      <c r="B662" s="21"/>
      <c r="C662" s="22"/>
      <c r="E662" s="21"/>
      <c r="F662" s="84"/>
      <c r="G662" s="84"/>
    </row>
    <row r="663" spans="1:7" ht="15.75" customHeight="1">
      <c r="A663" s="20"/>
      <c r="B663" s="21"/>
      <c r="C663" s="22"/>
      <c r="E663" s="21"/>
      <c r="F663" s="84"/>
      <c r="G663" s="84"/>
    </row>
    <row r="664" spans="1:7" ht="15.75" customHeight="1">
      <c r="A664" s="20"/>
      <c r="B664" s="21"/>
      <c r="C664" s="22"/>
      <c r="E664" s="21"/>
      <c r="F664" s="84"/>
      <c r="G664" s="84"/>
    </row>
    <row r="665" spans="1:7" ht="15.75" customHeight="1">
      <c r="A665" s="20"/>
      <c r="B665" s="21"/>
      <c r="C665" s="22"/>
      <c r="E665" s="21"/>
      <c r="F665" s="84"/>
      <c r="G665" s="84"/>
    </row>
    <row r="666" spans="1:7" ht="15.75" customHeight="1">
      <c r="A666" s="20"/>
      <c r="B666" s="21"/>
      <c r="C666" s="22"/>
      <c r="E666" s="21"/>
      <c r="F666" s="84"/>
      <c r="G666" s="84"/>
    </row>
    <row r="667" spans="1:7" ht="15.75" customHeight="1">
      <c r="A667" s="20"/>
      <c r="B667" s="21"/>
      <c r="C667" s="22"/>
      <c r="E667" s="21"/>
      <c r="F667" s="84"/>
      <c r="G667" s="84"/>
    </row>
    <row r="668" spans="1:7" ht="15.75" customHeight="1">
      <c r="A668" s="20"/>
      <c r="B668" s="21"/>
      <c r="C668" s="22"/>
      <c r="E668" s="21"/>
      <c r="F668" s="84"/>
      <c r="G668" s="84"/>
    </row>
    <row r="669" spans="1:7" ht="15.75" customHeight="1">
      <c r="A669" s="20"/>
      <c r="B669" s="21"/>
      <c r="C669" s="22"/>
      <c r="E669" s="21"/>
      <c r="F669" s="84"/>
      <c r="G669" s="84"/>
    </row>
    <row r="670" spans="1:7" ht="15.75" customHeight="1">
      <c r="A670" s="20"/>
      <c r="B670" s="21"/>
      <c r="C670" s="22"/>
      <c r="E670" s="21"/>
      <c r="F670" s="84"/>
      <c r="G670" s="84"/>
    </row>
    <row r="671" spans="1:7" ht="15.75" customHeight="1">
      <c r="A671" s="20"/>
      <c r="B671" s="21"/>
      <c r="C671" s="22"/>
      <c r="E671" s="21"/>
      <c r="F671" s="84"/>
      <c r="G671" s="84"/>
    </row>
    <row r="672" spans="1:7" ht="15.75" customHeight="1">
      <c r="A672" s="20"/>
      <c r="B672" s="21"/>
      <c r="C672" s="22"/>
      <c r="E672" s="21"/>
      <c r="F672" s="84"/>
      <c r="G672" s="84"/>
    </row>
    <row r="673" spans="1:7" ht="15.75" customHeight="1">
      <c r="A673" s="20"/>
      <c r="B673" s="21"/>
      <c r="C673" s="22"/>
      <c r="E673" s="21"/>
      <c r="F673" s="84"/>
      <c r="G673" s="84"/>
    </row>
    <row r="674" spans="1:7" ht="15.75" customHeight="1">
      <c r="A674" s="20"/>
      <c r="B674" s="21"/>
      <c r="C674" s="22"/>
      <c r="E674" s="21"/>
      <c r="F674" s="84"/>
      <c r="G674" s="84"/>
    </row>
    <row r="675" spans="1:7" ht="15.75" customHeight="1">
      <c r="A675" s="20"/>
      <c r="B675" s="21"/>
      <c r="C675" s="22"/>
      <c r="E675" s="21"/>
      <c r="F675" s="84"/>
      <c r="G675" s="84"/>
    </row>
    <row r="676" spans="1:7" ht="15.75" customHeight="1">
      <c r="A676" s="20"/>
      <c r="B676" s="21"/>
      <c r="C676" s="22"/>
      <c r="E676" s="21"/>
      <c r="F676" s="84"/>
      <c r="G676" s="84"/>
    </row>
    <row r="677" spans="1:7" ht="15.75" customHeight="1">
      <c r="A677" s="20"/>
      <c r="B677" s="21"/>
      <c r="C677" s="22"/>
      <c r="E677" s="21"/>
      <c r="F677" s="84"/>
      <c r="G677" s="84"/>
    </row>
    <row r="678" spans="1:7" ht="15.75" customHeight="1">
      <c r="A678" s="20"/>
      <c r="B678" s="21"/>
      <c r="C678" s="22"/>
      <c r="E678" s="21"/>
      <c r="F678" s="84"/>
      <c r="G678" s="84"/>
    </row>
    <row r="679" spans="1:7" ht="15.75" customHeight="1">
      <c r="A679" s="20"/>
      <c r="B679" s="21"/>
      <c r="C679" s="22"/>
      <c r="E679" s="21"/>
      <c r="F679" s="84"/>
      <c r="G679" s="84"/>
    </row>
    <row r="680" spans="1:7" ht="15.75" customHeight="1">
      <c r="A680" s="20"/>
      <c r="B680" s="21"/>
      <c r="C680" s="22"/>
      <c r="E680" s="21"/>
      <c r="F680" s="84"/>
      <c r="G680" s="84"/>
    </row>
    <row r="681" spans="1:7" ht="15.75" customHeight="1">
      <c r="A681" s="20"/>
      <c r="B681" s="21"/>
      <c r="C681" s="22"/>
      <c r="E681" s="21"/>
      <c r="F681" s="84"/>
      <c r="G681" s="84"/>
    </row>
    <row r="682" spans="1:7" ht="15.75" customHeight="1">
      <c r="A682" s="20"/>
      <c r="B682" s="21"/>
      <c r="C682" s="22"/>
      <c r="E682" s="21"/>
      <c r="F682" s="84"/>
      <c r="G682" s="84"/>
    </row>
    <row r="683" spans="1:7" ht="15.75" customHeight="1">
      <c r="A683" s="20"/>
      <c r="B683" s="21"/>
      <c r="C683" s="22"/>
      <c r="E683" s="21"/>
      <c r="F683" s="84"/>
      <c r="G683" s="84"/>
    </row>
    <row r="684" spans="1:7" ht="15.75" customHeight="1">
      <c r="A684" s="20"/>
      <c r="B684" s="21"/>
      <c r="C684" s="22"/>
      <c r="E684" s="21"/>
      <c r="F684" s="84"/>
      <c r="G684" s="84"/>
    </row>
    <row r="685" spans="1:7" ht="15.75" customHeight="1">
      <c r="A685" s="20"/>
      <c r="B685" s="21"/>
      <c r="C685" s="22"/>
      <c r="E685" s="21"/>
      <c r="F685" s="84"/>
      <c r="G685" s="84"/>
    </row>
    <row r="686" spans="1:7" ht="15.75" customHeight="1">
      <c r="A686" s="20"/>
      <c r="B686" s="21"/>
      <c r="C686" s="22"/>
      <c r="E686" s="21"/>
      <c r="F686" s="84"/>
      <c r="G686" s="84"/>
    </row>
    <row r="687" spans="1:7" ht="15.75" customHeight="1">
      <c r="A687" s="20"/>
      <c r="B687" s="21"/>
      <c r="C687" s="22"/>
      <c r="E687" s="21"/>
      <c r="F687" s="84"/>
      <c r="G687" s="84"/>
    </row>
    <row r="688" spans="1:7" ht="15.75" customHeight="1">
      <c r="A688" s="20"/>
      <c r="B688" s="21"/>
      <c r="C688" s="22"/>
      <c r="E688" s="21"/>
      <c r="F688" s="84"/>
      <c r="G688" s="84"/>
    </row>
    <row r="689" spans="1:7" ht="15.75" customHeight="1">
      <c r="A689" s="20"/>
      <c r="B689" s="21"/>
      <c r="C689" s="22"/>
      <c r="E689" s="21"/>
      <c r="F689" s="84"/>
      <c r="G689" s="84"/>
    </row>
    <row r="690" spans="1:7" ht="15.75" customHeight="1">
      <c r="A690" s="20"/>
      <c r="B690" s="21"/>
      <c r="C690" s="22"/>
      <c r="E690" s="21"/>
      <c r="F690" s="84"/>
      <c r="G690" s="84"/>
    </row>
    <row r="691" spans="1:7" ht="15.75" customHeight="1">
      <c r="A691" s="20"/>
      <c r="B691" s="21"/>
      <c r="C691" s="22"/>
      <c r="E691" s="21"/>
      <c r="F691" s="84"/>
      <c r="G691" s="84"/>
    </row>
    <row r="692" spans="1:7" ht="15.75" customHeight="1">
      <c r="A692" s="20"/>
      <c r="B692" s="21"/>
      <c r="C692" s="22"/>
      <c r="E692" s="21"/>
      <c r="F692" s="84"/>
      <c r="G692" s="84"/>
    </row>
    <row r="693" spans="1:7" ht="15.75" customHeight="1">
      <c r="A693" s="20"/>
      <c r="B693" s="21"/>
      <c r="C693" s="22"/>
      <c r="E693" s="21"/>
      <c r="F693" s="84"/>
      <c r="G693" s="84"/>
    </row>
    <row r="694" spans="1:7" ht="15.75" customHeight="1">
      <c r="A694" s="20"/>
      <c r="B694" s="21"/>
      <c r="C694" s="22"/>
      <c r="E694" s="21"/>
      <c r="F694" s="84"/>
      <c r="G694" s="84"/>
    </row>
    <row r="695" spans="1:7" ht="15.75" customHeight="1">
      <c r="A695" s="20"/>
      <c r="B695" s="21"/>
      <c r="C695" s="22"/>
      <c r="E695" s="21"/>
      <c r="F695" s="84"/>
      <c r="G695" s="84"/>
    </row>
    <row r="696" spans="1:7" ht="15.75" customHeight="1">
      <c r="A696" s="20"/>
      <c r="B696" s="21"/>
      <c r="C696" s="22"/>
      <c r="E696" s="21"/>
      <c r="F696" s="84"/>
      <c r="G696" s="84"/>
    </row>
    <row r="697" spans="1:7" ht="15.75" customHeight="1">
      <c r="A697" s="20"/>
      <c r="B697" s="21"/>
      <c r="C697" s="22"/>
      <c r="E697" s="21"/>
      <c r="F697" s="84"/>
      <c r="G697" s="84"/>
    </row>
    <row r="698" spans="1:7" ht="15.75" customHeight="1">
      <c r="A698" s="20"/>
      <c r="B698" s="21"/>
      <c r="C698" s="22"/>
      <c r="E698" s="21"/>
      <c r="F698" s="84"/>
      <c r="G698" s="84"/>
    </row>
    <row r="699" spans="1:7" ht="15.75" customHeight="1">
      <c r="A699" s="20"/>
      <c r="B699" s="21"/>
      <c r="C699" s="22"/>
      <c r="E699" s="21"/>
      <c r="F699" s="84"/>
      <c r="G699" s="84"/>
    </row>
    <row r="700" spans="1:7" ht="15.75" customHeight="1">
      <c r="A700" s="20"/>
      <c r="B700" s="21"/>
      <c r="C700" s="22"/>
      <c r="E700" s="21"/>
      <c r="F700" s="84"/>
      <c r="G700" s="84"/>
    </row>
    <row r="701" spans="1:7" ht="15.75" customHeight="1">
      <c r="A701" s="20"/>
      <c r="B701" s="21"/>
      <c r="C701" s="22"/>
      <c r="E701" s="21"/>
      <c r="F701" s="84"/>
      <c r="G701" s="84"/>
    </row>
    <row r="702" spans="1:7" ht="15.75" customHeight="1">
      <c r="A702" s="20"/>
      <c r="B702" s="21"/>
      <c r="C702" s="22"/>
      <c r="E702" s="21"/>
      <c r="F702" s="84"/>
      <c r="G702" s="84"/>
    </row>
    <row r="703" spans="1:7" ht="15.75" customHeight="1">
      <c r="A703" s="20"/>
      <c r="B703" s="21"/>
      <c r="C703" s="22"/>
      <c r="E703" s="21"/>
      <c r="F703" s="84"/>
      <c r="G703" s="84"/>
    </row>
    <row r="704" spans="1:7" ht="15.75" customHeight="1">
      <c r="A704" s="20"/>
      <c r="B704" s="21"/>
      <c r="C704" s="22"/>
      <c r="E704" s="21"/>
      <c r="F704" s="84"/>
      <c r="G704" s="84"/>
    </row>
    <row r="705" spans="1:7" ht="15.75" customHeight="1">
      <c r="A705" s="20"/>
      <c r="B705" s="86"/>
      <c r="C705" s="22"/>
      <c r="E705" s="21"/>
      <c r="F705" s="84"/>
      <c r="G705" s="84"/>
    </row>
    <row r="706" spans="1:7" ht="15.75" customHeight="1">
      <c r="A706" s="20"/>
      <c r="B706" s="86"/>
      <c r="C706" s="22"/>
      <c r="E706" s="21"/>
      <c r="F706" s="84"/>
      <c r="G706" s="84"/>
    </row>
    <row r="707" spans="1:7" ht="15.75" customHeight="1">
      <c r="A707" s="20"/>
      <c r="B707" s="86"/>
      <c r="C707" s="22"/>
      <c r="E707" s="21"/>
      <c r="F707" s="84"/>
      <c r="G707" s="84"/>
    </row>
    <row r="708" spans="1:7" ht="15.75" customHeight="1">
      <c r="A708" s="20"/>
      <c r="B708" s="86"/>
      <c r="C708" s="22"/>
      <c r="E708" s="21"/>
      <c r="F708" s="84"/>
      <c r="G708" s="84"/>
    </row>
    <row r="709" spans="1:7" ht="15.75" customHeight="1">
      <c r="A709" s="20"/>
      <c r="B709" s="86"/>
      <c r="C709" s="22"/>
      <c r="E709" s="21"/>
      <c r="F709" s="84"/>
      <c r="G709" s="84"/>
    </row>
    <row r="710" spans="1:7" ht="15.75" customHeight="1">
      <c r="A710" s="20"/>
      <c r="B710" s="86"/>
      <c r="C710" s="22"/>
      <c r="E710" s="21"/>
      <c r="F710" s="84"/>
      <c r="G710" s="84"/>
    </row>
    <row r="711" spans="1:7" ht="15.75" customHeight="1">
      <c r="A711" s="20"/>
      <c r="B711" s="86"/>
      <c r="C711" s="22"/>
      <c r="E711" s="21"/>
      <c r="F711" s="84"/>
      <c r="G711" s="84"/>
    </row>
    <row r="712" spans="1:7" ht="15.75" customHeight="1">
      <c r="A712" s="20"/>
      <c r="B712" s="86"/>
      <c r="C712" s="22"/>
      <c r="E712" s="21"/>
      <c r="F712" s="84"/>
      <c r="G712" s="84"/>
    </row>
    <row r="713" spans="1:7" ht="15.75" customHeight="1">
      <c r="A713" s="20"/>
      <c r="B713" s="86"/>
      <c r="C713" s="22"/>
      <c r="E713" s="21"/>
      <c r="F713" s="84"/>
      <c r="G713" s="84"/>
    </row>
    <row r="714" spans="1:7" ht="15.75" customHeight="1">
      <c r="A714" s="20"/>
      <c r="B714" s="86"/>
      <c r="C714" s="22"/>
      <c r="E714" s="21"/>
      <c r="F714" s="84"/>
      <c r="G714" s="84"/>
    </row>
    <row r="715" spans="1:7" ht="15.75" customHeight="1">
      <c r="A715" s="20"/>
      <c r="B715" s="86"/>
      <c r="C715" s="22"/>
      <c r="E715" s="21"/>
      <c r="F715" s="84"/>
      <c r="G715" s="84"/>
    </row>
    <row r="716" spans="1:7" ht="15.75" customHeight="1">
      <c r="A716" s="20"/>
      <c r="B716" s="86"/>
      <c r="C716" s="22"/>
      <c r="E716" s="21"/>
      <c r="F716" s="84"/>
      <c r="G716" s="84"/>
    </row>
    <row r="717" spans="1:7" ht="15.75" customHeight="1">
      <c r="A717" s="20"/>
      <c r="B717" s="86"/>
      <c r="C717" s="22"/>
      <c r="E717" s="21"/>
      <c r="F717" s="84"/>
      <c r="G717" s="84"/>
    </row>
    <row r="718" spans="1:7" ht="15.75" customHeight="1">
      <c r="A718" s="20"/>
      <c r="B718" s="86"/>
      <c r="C718" s="22"/>
      <c r="E718" s="21"/>
      <c r="F718" s="84"/>
      <c r="G718" s="84"/>
    </row>
    <row r="719" spans="1:7" ht="15.75" customHeight="1">
      <c r="A719" s="20"/>
      <c r="B719" s="86"/>
      <c r="C719" s="22"/>
      <c r="E719" s="21"/>
      <c r="F719" s="84"/>
      <c r="G719" s="84"/>
    </row>
    <row r="720" spans="1:7" ht="15.75" customHeight="1">
      <c r="A720" s="20"/>
      <c r="B720" s="86"/>
      <c r="C720" s="22"/>
      <c r="E720" s="21"/>
      <c r="F720" s="84"/>
      <c r="G720" s="84"/>
    </row>
    <row r="721" spans="1:7" ht="15.75" customHeight="1">
      <c r="A721" s="20"/>
      <c r="B721" s="86"/>
      <c r="C721" s="22"/>
      <c r="E721" s="21"/>
      <c r="F721" s="84"/>
      <c r="G721" s="84"/>
    </row>
    <row r="722" spans="1:7" ht="15.75" customHeight="1">
      <c r="A722" s="20"/>
      <c r="B722" s="86"/>
      <c r="C722" s="22"/>
      <c r="E722" s="21"/>
      <c r="F722" s="84"/>
      <c r="G722" s="84"/>
    </row>
    <row r="723" spans="1:7" ht="15.75" customHeight="1">
      <c r="A723" s="20"/>
      <c r="B723" s="86"/>
      <c r="C723" s="22"/>
      <c r="E723" s="21"/>
      <c r="F723" s="84"/>
      <c r="G723" s="84"/>
    </row>
    <row r="724" spans="1:7" ht="15.75" customHeight="1">
      <c r="A724" s="20"/>
      <c r="B724" s="86"/>
      <c r="C724" s="22"/>
      <c r="E724" s="21"/>
      <c r="F724" s="84"/>
      <c r="G724" s="84"/>
    </row>
    <row r="725" spans="1:7" ht="15.75" customHeight="1">
      <c r="A725" s="20"/>
      <c r="B725" s="86"/>
      <c r="C725" s="22"/>
      <c r="E725" s="21"/>
      <c r="F725" s="84"/>
      <c r="G725" s="84"/>
    </row>
    <row r="726" spans="1:7" ht="15.75" customHeight="1">
      <c r="A726" s="20"/>
      <c r="B726" s="86"/>
      <c r="C726" s="22"/>
      <c r="E726" s="21"/>
      <c r="F726" s="84"/>
      <c r="G726" s="84"/>
    </row>
    <row r="727" spans="1:7" ht="15.75" customHeight="1">
      <c r="A727" s="20"/>
      <c r="B727" s="86"/>
      <c r="C727" s="22"/>
      <c r="E727" s="21"/>
      <c r="F727" s="84"/>
      <c r="G727" s="84"/>
    </row>
    <row r="728" spans="1:7" ht="15.75" customHeight="1">
      <c r="A728" s="20"/>
      <c r="B728" s="86"/>
      <c r="C728" s="22"/>
      <c r="E728" s="21"/>
      <c r="F728" s="84"/>
      <c r="G728" s="84"/>
    </row>
    <row r="729" spans="1:7" ht="15.75" customHeight="1">
      <c r="A729" s="20"/>
      <c r="B729" s="86"/>
      <c r="C729" s="22"/>
      <c r="E729" s="21"/>
      <c r="F729" s="84"/>
      <c r="G729" s="84"/>
    </row>
    <row r="730" spans="1:7" ht="15.75" customHeight="1">
      <c r="A730" s="20"/>
      <c r="B730" s="86"/>
      <c r="C730" s="22"/>
      <c r="E730" s="21"/>
      <c r="F730" s="84"/>
      <c r="G730" s="84"/>
    </row>
    <row r="731" spans="1:7" ht="15.75" customHeight="1">
      <c r="A731" s="20"/>
      <c r="B731" s="86"/>
      <c r="C731" s="22"/>
      <c r="E731" s="21"/>
      <c r="F731" s="84"/>
      <c r="G731" s="84"/>
    </row>
    <row r="732" spans="1:7" ht="15.75" customHeight="1">
      <c r="A732" s="20"/>
      <c r="B732" s="86"/>
      <c r="C732" s="22"/>
      <c r="E732" s="21"/>
      <c r="F732" s="84"/>
      <c r="G732" s="84"/>
    </row>
    <row r="733" spans="1:7" ht="15.75" customHeight="1">
      <c r="A733" s="20"/>
      <c r="B733" s="86"/>
      <c r="C733" s="22"/>
      <c r="E733" s="21"/>
      <c r="F733" s="84"/>
      <c r="G733" s="84"/>
    </row>
    <row r="734" spans="1:7" ht="15.75" customHeight="1">
      <c r="A734" s="20"/>
      <c r="B734" s="86"/>
      <c r="C734" s="22"/>
      <c r="E734" s="21"/>
      <c r="F734" s="84"/>
      <c r="G734" s="84"/>
    </row>
    <row r="735" spans="1:7" ht="15.75" customHeight="1">
      <c r="A735" s="20"/>
      <c r="B735" s="86"/>
      <c r="C735" s="22"/>
      <c r="E735" s="21"/>
      <c r="F735" s="84"/>
      <c r="G735" s="84"/>
    </row>
    <row r="736" spans="1:7" ht="15.75" customHeight="1">
      <c r="A736" s="20"/>
      <c r="B736" s="86"/>
      <c r="C736" s="22"/>
      <c r="E736" s="21"/>
      <c r="F736" s="84"/>
      <c r="G736" s="84"/>
    </row>
    <row r="737" spans="1:7" ht="15.75" customHeight="1">
      <c r="A737" s="20"/>
      <c r="B737" s="86"/>
      <c r="C737" s="22"/>
      <c r="E737" s="21"/>
      <c r="F737" s="84"/>
      <c r="G737" s="84"/>
    </row>
    <row r="738" spans="1:7" ht="15.75" customHeight="1">
      <c r="A738" s="20"/>
      <c r="B738" s="86"/>
      <c r="C738" s="22"/>
      <c r="E738" s="21"/>
      <c r="F738" s="84"/>
      <c r="G738" s="84"/>
    </row>
    <row r="739" spans="1:7" ht="15.75" customHeight="1">
      <c r="A739" s="20"/>
      <c r="B739" s="86"/>
      <c r="C739" s="22"/>
      <c r="E739" s="21"/>
      <c r="F739" s="84"/>
      <c r="G739" s="84"/>
    </row>
    <row r="740" spans="1:7" ht="15.75" customHeight="1">
      <c r="A740" s="20"/>
      <c r="B740" s="86"/>
      <c r="C740" s="22"/>
      <c r="E740" s="21"/>
      <c r="F740" s="84"/>
      <c r="G740" s="84"/>
    </row>
    <row r="741" spans="1:7" ht="15.75" customHeight="1">
      <c r="A741" s="20"/>
      <c r="B741" s="86"/>
      <c r="C741" s="22"/>
      <c r="E741" s="21"/>
      <c r="F741" s="84"/>
      <c r="G741" s="84"/>
    </row>
    <row r="742" spans="1:7" ht="15.75" customHeight="1">
      <c r="A742" s="20"/>
      <c r="B742" s="86"/>
      <c r="C742" s="22"/>
      <c r="E742" s="21"/>
      <c r="F742" s="84"/>
      <c r="G742" s="84"/>
    </row>
    <row r="743" spans="1:7" ht="15.75" customHeight="1">
      <c r="A743" s="20"/>
      <c r="B743" s="86"/>
      <c r="C743" s="22"/>
      <c r="E743" s="21"/>
      <c r="F743" s="84"/>
      <c r="G743" s="84"/>
    </row>
    <row r="744" spans="1:7" ht="15.75" customHeight="1">
      <c r="A744" s="20"/>
      <c r="B744" s="86"/>
      <c r="C744" s="22"/>
      <c r="E744" s="21"/>
      <c r="F744" s="84"/>
      <c r="G744" s="84"/>
    </row>
    <row r="745" spans="1:7" ht="15.75" customHeight="1">
      <c r="A745" s="20"/>
      <c r="B745" s="86"/>
      <c r="C745" s="22"/>
      <c r="E745" s="21"/>
      <c r="F745" s="84"/>
      <c r="G745" s="84"/>
    </row>
    <row r="746" spans="1:7" ht="15.75" customHeight="1">
      <c r="A746" s="20"/>
      <c r="B746" s="86"/>
      <c r="C746" s="22"/>
      <c r="E746" s="21"/>
      <c r="F746" s="84"/>
      <c r="G746" s="84"/>
    </row>
    <row r="747" spans="1:7" ht="15.75" customHeight="1">
      <c r="A747" s="20"/>
      <c r="B747" s="86"/>
      <c r="C747" s="22"/>
      <c r="E747" s="21"/>
      <c r="F747" s="84"/>
      <c r="G747" s="84"/>
    </row>
    <row r="748" spans="1:7" ht="15.75" customHeight="1">
      <c r="A748" s="20"/>
      <c r="B748" s="86"/>
      <c r="C748" s="22"/>
      <c r="E748" s="21"/>
      <c r="F748" s="84"/>
      <c r="G748" s="84"/>
    </row>
    <row r="749" spans="1:7" ht="15.75" customHeight="1">
      <c r="A749" s="20"/>
      <c r="B749" s="86"/>
      <c r="C749" s="22"/>
      <c r="E749" s="21"/>
      <c r="F749" s="84"/>
      <c r="G749" s="84"/>
    </row>
    <row r="750" spans="1:7" ht="15.75" customHeight="1">
      <c r="A750" s="20"/>
      <c r="B750" s="86"/>
      <c r="C750" s="22"/>
      <c r="E750" s="21"/>
      <c r="F750" s="84"/>
      <c r="G750" s="84"/>
    </row>
    <row r="751" spans="1:7" ht="15.75" customHeight="1">
      <c r="A751" s="20"/>
      <c r="B751" s="86"/>
      <c r="C751" s="22"/>
      <c r="E751" s="21"/>
      <c r="F751" s="84"/>
      <c r="G751" s="84"/>
    </row>
    <row r="752" spans="1:7" ht="15.75" customHeight="1">
      <c r="A752" s="20"/>
      <c r="B752" s="86"/>
      <c r="C752" s="22"/>
      <c r="E752" s="21"/>
      <c r="F752" s="84"/>
      <c r="G752" s="84"/>
    </row>
    <row r="753" spans="1:7" ht="15.75" customHeight="1">
      <c r="A753" s="20"/>
      <c r="B753" s="86"/>
      <c r="C753" s="22"/>
      <c r="E753" s="21"/>
      <c r="F753" s="84"/>
      <c r="G753" s="84"/>
    </row>
    <row r="754" spans="1:7" ht="15.75" customHeight="1">
      <c r="A754" s="20"/>
      <c r="B754" s="86"/>
      <c r="C754" s="22"/>
      <c r="E754" s="21"/>
      <c r="F754" s="84"/>
      <c r="G754" s="84"/>
    </row>
    <row r="755" spans="1:7" ht="15.75" customHeight="1">
      <c r="A755" s="20"/>
      <c r="B755" s="86"/>
      <c r="C755" s="22"/>
      <c r="E755" s="21"/>
      <c r="F755" s="84"/>
      <c r="G755" s="84"/>
    </row>
    <row r="756" spans="1:7" ht="15.75" customHeight="1">
      <c r="A756" s="20"/>
      <c r="B756" s="86"/>
      <c r="C756" s="22"/>
      <c r="E756" s="21"/>
      <c r="F756" s="84"/>
      <c r="G756" s="84"/>
    </row>
    <row r="757" spans="1:7" ht="15.75" customHeight="1">
      <c r="A757" s="20"/>
      <c r="B757" s="86"/>
      <c r="C757" s="22"/>
      <c r="E757" s="21"/>
      <c r="F757" s="84"/>
      <c r="G757" s="84"/>
    </row>
    <row r="758" spans="1:7" ht="15.75" customHeight="1">
      <c r="A758" s="20"/>
      <c r="B758" s="86"/>
      <c r="C758" s="22"/>
      <c r="E758" s="21"/>
      <c r="F758" s="84"/>
      <c r="G758" s="84"/>
    </row>
    <row r="759" spans="1:7" ht="15.75" customHeight="1">
      <c r="A759" s="20"/>
      <c r="B759" s="86"/>
      <c r="C759" s="22"/>
      <c r="E759" s="21"/>
      <c r="F759" s="84"/>
      <c r="G759" s="84"/>
    </row>
    <row r="760" spans="1:7" ht="15.75" customHeight="1">
      <c r="A760" s="20"/>
      <c r="B760" s="86"/>
      <c r="C760" s="22"/>
      <c r="E760" s="21"/>
      <c r="F760" s="84"/>
      <c r="G760" s="84"/>
    </row>
    <row r="761" spans="1:7" ht="15.75" customHeight="1">
      <c r="A761" s="20"/>
      <c r="B761" s="86"/>
      <c r="C761" s="22"/>
      <c r="E761" s="21"/>
      <c r="F761" s="84"/>
      <c r="G761" s="84"/>
    </row>
    <row r="762" spans="1:7" ht="15.75" customHeight="1">
      <c r="A762" s="20"/>
      <c r="B762" s="86"/>
      <c r="C762" s="22"/>
      <c r="E762" s="21"/>
      <c r="F762" s="84"/>
      <c r="G762" s="84"/>
    </row>
    <row r="763" spans="1:7" ht="15.75" customHeight="1">
      <c r="A763" s="20"/>
      <c r="B763" s="86"/>
      <c r="C763" s="22"/>
      <c r="E763" s="21"/>
      <c r="F763" s="84"/>
      <c r="G763" s="84"/>
    </row>
    <row r="764" spans="1:7" ht="15.75" customHeight="1">
      <c r="A764" s="20"/>
      <c r="B764" s="86"/>
      <c r="C764" s="22"/>
      <c r="E764" s="21"/>
      <c r="F764" s="84"/>
      <c r="G764" s="84"/>
    </row>
    <row r="765" spans="1:7" ht="15.75" customHeight="1">
      <c r="A765" s="20"/>
      <c r="B765" s="86"/>
      <c r="C765" s="22"/>
      <c r="E765" s="21"/>
      <c r="F765" s="84"/>
      <c r="G765" s="84"/>
    </row>
    <row r="766" spans="1:7" ht="15.75" customHeight="1">
      <c r="A766" s="20"/>
      <c r="B766" s="86"/>
      <c r="C766" s="22"/>
      <c r="E766" s="21"/>
      <c r="F766" s="84"/>
      <c r="G766" s="84"/>
    </row>
    <row r="767" spans="1:7" ht="15.75" customHeight="1">
      <c r="A767" s="20"/>
      <c r="B767" s="86"/>
      <c r="C767" s="22"/>
      <c r="E767" s="21"/>
      <c r="F767" s="84"/>
      <c r="G767" s="84"/>
    </row>
    <row r="768" spans="1:7" ht="15.75" customHeight="1">
      <c r="A768" s="20"/>
      <c r="B768" s="86"/>
      <c r="C768" s="22"/>
      <c r="E768" s="21"/>
      <c r="F768" s="84"/>
      <c r="G768" s="84"/>
    </row>
    <row r="769" spans="1:7" ht="15.75" customHeight="1">
      <c r="A769" s="20"/>
      <c r="B769" s="86"/>
      <c r="C769" s="22"/>
      <c r="E769" s="21"/>
      <c r="F769" s="84"/>
      <c r="G769" s="84"/>
    </row>
    <row r="770" spans="1:7" ht="15.75" customHeight="1">
      <c r="A770" s="20"/>
      <c r="B770" s="86"/>
      <c r="C770" s="22"/>
      <c r="E770" s="21"/>
      <c r="F770" s="84"/>
      <c r="G770" s="84"/>
    </row>
    <row r="771" spans="1:7" ht="15.75" customHeight="1">
      <c r="A771" s="20"/>
      <c r="B771" s="86"/>
      <c r="C771" s="22"/>
      <c r="E771" s="21"/>
      <c r="F771" s="84"/>
      <c r="G771" s="84"/>
    </row>
    <row r="772" spans="1:7" ht="15.75" customHeight="1">
      <c r="A772" s="20"/>
      <c r="B772" s="86"/>
      <c r="C772" s="22"/>
      <c r="E772" s="21"/>
      <c r="F772" s="84"/>
      <c r="G772" s="84"/>
    </row>
    <row r="773" spans="1:7" ht="15.75" customHeight="1">
      <c r="A773" s="20"/>
      <c r="B773" s="86"/>
      <c r="C773" s="22"/>
      <c r="E773" s="21"/>
      <c r="F773" s="84"/>
      <c r="G773" s="84"/>
    </row>
    <row r="774" spans="1:7" ht="15.75" customHeight="1">
      <c r="A774" s="20"/>
      <c r="B774" s="86"/>
      <c r="C774" s="22"/>
      <c r="E774" s="21"/>
      <c r="F774" s="84"/>
      <c r="G774" s="84"/>
    </row>
    <row r="775" spans="1:7" ht="15.75" customHeight="1">
      <c r="A775" s="20"/>
      <c r="B775" s="86"/>
      <c r="C775" s="22"/>
      <c r="E775" s="21"/>
      <c r="F775" s="84"/>
      <c r="G775" s="84"/>
    </row>
    <row r="776" spans="1:7" ht="15.75" customHeight="1">
      <c r="A776" s="20"/>
      <c r="B776" s="86"/>
      <c r="C776" s="22"/>
      <c r="E776" s="21"/>
      <c r="F776" s="84"/>
      <c r="G776" s="84"/>
    </row>
    <row r="777" spans="1:7" ht="15.75" customHeight="1">
      <c r="A777" s="20"/>
      <c r="B777" s="86"/>
      <c r="C777" s="22"/>
      <c r="E777" s="21"/>
      <c r="F777" s="84"/>
      <c r="G777" s="84"/>
    </row>
    <row r="778" spans="1:7" ht="15.75" customHeight="1">
      <c r="A778" s="20"/>
      <c r="B778" s="86"/>
      <c r="C778" s="22"/>
      <c r="E778" s="21"/>
      <c r="F778" s="84"/>
      <c r="G778" s="84"/>
    </row>
    <row r="779" spans="1:7" ht="15.75" customHeight="1">
      <c r="A779" s="20"/>
      <c r="B779" s="86"/>
      <c r="C779" s="22"/>
      <c r="E779" s="21"/>
      <c r="F779" s="84"/>
      <c r="G779" s="84"/>
    </row>
    <row r="780" spans="1:7" ht="15.75" customHeight="1">
      <c r="A780" s="20"/>
      <c r="B780" s="86"/>
      <c r="C780" s="22"/>
      <c r="E780" s="21"/>
      <c r="F780" s="84"/>
      <c r="G780" s="84"/>
    </row>
    <row r="781" spans="1:7" ht="15.75" customHeight="1">
      <c r="A781" s="20"/>
      <c r="B781" s="86"/>
      <c r="C781" s="22"/>
      <c r="E781" s="21"/>
      <c r="F781" s="84"/>
      <c r="G781" s="84"/>
    </row>
    <row r="782" spans="1:7" ht="15.75" customHeight="1">
      <c r="A782" s="20"/>
      <c r="B782" s="86"/>
      <c r="C782" s="22"/>
      <c r="E782" s="21"/>
      <c r="F782" s="84"/>
      <c r="G782" s="84"/>
    </row>
    <row r="783" spans="1:7" ht="15.75" customHeight="1">
      <c r="A783" s="20"/>
      <c r="B783" s="86"/>
      <c r="C783" s="22"/>
      <c r="E783" s="21"/>
      <c r="F783" s="84"/>
      <c r="G783" s="84"/>
    </row>
    <row r="784" spans="1:7" ht="15.75" customHeight="1">
      <c r="A784" s="20"/>
      <c r="B784" s="86"/>
      <c r="C784" s="22"/>
      <c r="E784" s="21"/>
      <c r="F784" s="84"/>
      <c r="G784" s="84"/>
    </row>
    <row r="785" spans="1:7" ht="15.75" customHeight="1">
      <c r="A785" s="20"/>
      <c r="B785" s="86"/>
      <c r="C785" s="22"/>
      <c r="E785" s="21"/>
      <c r="F785" s="84"/>
      <c r="G785" s="84"/>
    </row>
    <row r="786" spans="1:7" ht="15.75" customHeight="1">
      <c r="A786" s="20"/>
      <c r="B786" s="86"/>
      <c r="C786" s="22"/>
      <c r="E786" s="21"/>
      <c r="F786" s="84"/>
      <c r="G786" s="84"/>
    </row>
    <row r="787" spans="1:7" ht="15.75" customHeight="1">
      <c r="A787" s="20"/>
      <c r="B787" s="86"/>
      <c r="C787" s="22"/>
      <c r="E787" s="21"/>
      <c r="F787" s="84"/>
      <c r="G787" s="84"/>
    </row>
    <row r="788" spans="1:7" ht="15.75" customHeight="1">
      <c r="A788" s="20"/>
      <c r="B788" s="86"/>
      <c r="C788" s="22"/>
      <c r="E788" s="21"/>
      <c r="F788" s="84"/>
      <c r="G788" s="84"/>
    </row>
    <row r="789" spans="1:7" ht="15.75" customHeight="1">
      <c r="A789" s="20"/>
      <c r="B789" s="86"/>
      <c r="C789" s="22"/>
      <c r="E789" s="21"/>
      <c r="F789" s="84"/>
      <c r="G789" s="84"/>
    </row>
    <row r="790" spans="1:7" ht="15.75" customHeight="1">
      <c r="A790" s="20"/>
      <c r="B790" s="86"/>
      <c r="C790" s="22"/>
      <c r="E790" s="21"/>
      <c r="F790" s="84"/>
      <c r="G790" s="84"/>
    </row>
    <row r="791" spans="1:7" ht="15.75" customHeight="1">
      <c r="A791" s="20"/>
      <c r="B791" s="86"/>
      <c r="C791" s="22"/>
      <c r="E791" s="21"/>
      <c r="F791" s="84"/>
      <c r="G791" s="84"/>
    </row>
    <row r="792" spans="1:7" ht="15.75" customHeight="1">
      <c r="A792" s="20"/>
      <c r="B792" s="86"/>
      <c r="C792" s="22"/>
      <c r="E792" s="21"/>
      <c r="F792" s="84"/>
      <c r="G792" s="84"/>
    </row>
    <row r="793" spans="1:7" ht="15.75" customHeight="1">
      <c r="A793" s="20"/>
      <c r="B793" s="86"/>
      <c r="C793" s="22"/>
      <c r="E793" s="21"/>
      <c r="F793" s="84"/>
      <c r="G793" s="84"/>
    </row>
    <row r="794" spans="1:7" ht="15.75" customHeight="1">
      <c r="A794" s="20"/>
      <c r="B794" s="86"/>
      <c r="C794" s="22"/>
      <c r="E794" s="21"/>
      <c r="F794" s="84"/>
      <c r="G794" s="84"/>
    </row>
    <row r="795" spans="1:7" ht="15.75" customHeight="1">
      <c r="A795" s="20"/>
      <c r="B795" s="86"/>
      <c r="C795" s="22"/>
      <c r="E795" s="21"/>
      <c r="F795" s="84"/>
      <c r="G795" s="84"/>
    </row>
    <row r="796" spans="1:7" ht="15.75" customHeight="1">
      <c r="A796" s="20"/>
      <c r="B796" s="86"/>
      <c r="C796" s="22"/>
      <c r="E796" s="21"/>
      <c r="F796" s="84"/>
      <c r="G796" s="84"/>
    </row>
    <row r="797" spans="1:7" ht="15.75" customHeight="1">
      <c r="A797" s="20"/>
      <c r="B797" s="86"/>
      <c r="C797" s="22"/>
      <c r="E797" s="21"/>
      <c r="F797" s="84"/>
      <c r="G797" s="84"/>
    </row>
    <row r="798" spans="1:7" ht="15.75" customHeight="1">
      <c r="A798" s="20"/>
      <c r="B798" s="86"/>
      <c r="C798" s="22"/>
      <c r="E798" s="21"/>
      <c r="F798" s="84"/>
      <c r="G798" s="84"/>
    </row>
    <row r="799" spans="1:7" ht="15.75" customHeight="1">
      <c r="A799" s="20"/>
      <c r="B799" s="86"/>
      <c r="C799" s="22"/>
      <c r="E799" s="21"/>
      <c r="F799" s="84"/>
      <c r="G799" s="84"/>
    </row>
    <row r="800" spans="1:7" ht="15.75" customHeight="1">
      <c r="A800" s="20"/>
      <c r="B800" s="86"/>
      <c r="C800" s="22"/>
      <c r="E800" s="21"/>
      <c r="F800" s="84"/>
      <c r="G800" s="84"/>
    </row>
    <row r="801" spans="1:7" ht="15.75" customHeight="1">
      <c r="A801" s="20"/>
      <c r="B801" s="86"/>
      <c r="C801" s="22"/>
      <c r="E801" s="21"/>
      <c r="F801" s="84"/>
      <c r="G801" s="84"/>
    </row>
    <row r="802" spans="1:7" ht="15.75" customHeight="1">
      <c r="A802" s="20"/>
      <c r="B802" s="86"/>
      <c r="C802" s="22"/>
      <c r="E802" s="21"/>
      <c r="F802" s="84"/>
      <c r="G802" s="84"/>
    </row>
    <row r="803" spans="1:7" ht="15.75" customHeight="1">
      <c r="A803" s="20"/>
      <c r="B803" s="86"/>
      <c r="C803" s="22"/>
      <c r="E803" s="21"/>
      <c r="F803" s="84"/>
      <c r="G803" s="84"/>
    </row>
    <row r="804" spans="1:7" ht="15.75" customHeight="1">
      <c r="A804" s="20"/>
      <c r="B804" s="86"/>
      <c r="C804" s="22"/>
      <c r="E804" s="21"/>
      <c r="F804" s="84"/>
      <c r="G804" s="84"/>
    </row>
    <row r="805" spans="1:7" ht="15.75" customHeight="1">
      <c r="A805" s="20"/>
      <c r="B805" s="86"/>
      <c r="C805" s="22"/>
      <c r="E805" s="21"/>
      <c r="F805" s="84"/>
      <c r="G805" s="84"/>
    </row>
    <row r="806" spans="1:7" ht="15.75" customHeight="1">
      <c r="A806" s="20"/>
      <c r="B806" s="86"/>
      <c r="C806" s="22"/>
      <c r="E806" s="21"/>
      <c r="F806" s="84"/>
      <c r="G806" s="84"/>
    </row>
    <row r="807" spans="1:7" ht="15.75" customHeight="1">
      <c r="A807" s="20"/>
      <c r="B807" s="86"/>
      <c r="C807" s="22"/>
      <c r="E807" s="21"/>
      <c r="F807" s="84"/>
      <c r="G807" s="84"/>
    </row>
    <row r="808" spans="1:7" ht="15.75" customHeight="1">
      <c r="A808" s="20"/>
      <c r="B808" s="86"/>
      <c r="C808" s="22"/>
      <c r="E808" s="21"/>
      <c r="F808" s="84"/>
      <c r="G808" s="84"/>
    </row>
    <row r="809" spans="1:7" ht="15.75" customHeight="1">
      <c r="A809" s="20"/>
      <c r="B809" s="86"/>
      <c r="C809" s="22"/>
      <c r="E809" s="21"/>
      <c r="F809" s="84"/>
      <c r="G809" s="84"/>
    </row>
    <row r="810" spans="1:7" ht="15.75" customHeight="1">
      <c r="A810" s="20"/>
      <c r="B810" s="86"/>
      <c r="C810" s="22"/>
      <c r="E810" s="21"/>
      <c r="F810" s="84"/>
      <c r="G810" s="84"/>
    </row>
    <row r="811" spans="1:7" ht="15.75" customHeight="1">
      <c r="A811" s="20"/>
      <c r="B811" s="86"/>
      <c r="C811" s="22"/>
      <c r="E811" s="21"/>
      <c r="F811" s="84"/>
      <c r="G811" s="84"/>
    </row>
    <row r="812" spans="1:7" ht="15.75" customHeight="1">
      <c r="A812" s="20"/>
      <c r="B812" s="86"/>
      <c r="C812" s="22"/>
      <c r="E812" s="21"/>
      <c r="F812" s="84"/>
      <c r="G812" s="84"/>
    </row>
    <row r="813" spans="1:7" ht="15.75" customHeight="1">
      <c r="A813" s="20"/>
      <c r="B813" s="86"/>
      <c r="C813" s="22"/>
      <c r="E813" s="21"/>
      <c r="F813" s="84"/>
      <c r="G813" s="84"/>
    </row>
    <row r="814" spans="1:7" ht="15.75" customHeight="1">
      <c r="A814" s="20"/>
      <c r="B814" s="86"/>
      <c r="C814" s="22"/>
      <c r="E814" s="21"/>
      <c r="F814" s="84"/>
      <c r="G814" s="84"/>
    </row>
    <row r="815" spans="1:7" ht="15.75" customHeight="1">
      <c r="A815" s="20"/>
      <c r="B815" s="86"/>
      <c r="C815" s="22"/>
      <c r="E815" s="21"/>
      <c r="F815" s="84"/>
      <c r="G815" s="84"/>
    </row>
    <row r="816" spans="1:7" ht="15.75" customHeight="1">
      <c r="A816" s="20"/>
      <c r="B816" s="86"/>
      <c r="C816" s="22"/>
      <c r="E816" s="21"/>
      <c r="F816" s="84"/>
      <c r="G816" s="84"/>
    </row>
    <row r="817" spans="1:7" ht="15.75" customHeight="1">
      <c r="A817" s="20"/>
      <c r="B817" s="86"/>
      <c r="C817" s="22"/>
      <c r="E817" s="21"/>
      <c r="F817" s="84"/>
      <c r="G817" s="84"/>
    </row>
    <row r="818" spans="1:7" ht="15.75" customHeight="1">
      <c r="A818" s="20"/>
      <c r="B818" s="86"/>
      <c r="C818" s="22"/>
      <c r="E818" s="21"/>
      <c r="F818" s="84"/>
      <c r="G818" s="84"/>
    </row>
    <row r="819" spans="1:7" ht="15.75" customHeight="1">
      <c r="A819" s="20"/>
      <c r="B819" s="86"/>
      <c r="C819" s="22"/>
      <c r="E819" s="21"/>
      <c r="F819" s="84"/>
      <c r="G819" s="84"/>
    </row>
    <row r="820" spans="1:7" ht="15.75" customHeight="1">
      <c r="A820" s="20"/>
      <c r="B820" s="86"/>
      <c r="C820" s="22"/>
      <c r="E820" s="21"/>
      <c r="F820" s="84"/>
      <c r="G820" s="84"/>
    </row>
    <row r="821" spans="1:7" ht="15.75" customHeight="1">
      <c r="A821" s="20"/>
      <c r="B821" s="86"/>
      <c r="C821" s="22"/>
      <c r="E821" s="21"/>
      <c r="F821" s="84"/>
      <c r="G821" s="84"/>
    </row>
    <row r="822" spans="1:7" ht="15.75" customHeight="1">
      <c r="A822" s="20"/>
      <c r="B822" s="86"/>
      <c r="C822" s="22"/>
      <c r="E822" s="21"/>
      <c r="F822" s="84"/>
      <c r="G822" s="84"/>
    </row>
    <row r="823" spans="1:7" ht="15.75" customHeight="1">
      <c r="A823" s="20"/>
      <c r="B823" s="86"/>
      <c r="C823" s="22"/>
      <c r="E823" s="21"/>
      <c r="F823" s="84"/>
      <c r="G823" s="84"/>
    </row>
    <row r="824" spans="1:7" ht="15.75" customHeight="1">
      <c r="A824" s="20"/>
      <c r="B824" s="86"/>
      <c r="C824" s="22"/>
      <c r="E824" s="21"/>
      <c r="F824" s="84"/>
      <c r="G824" s="84"/>
    </row>
    <row r="825" spans="1:7" ht="15.75" customHeight="1">
      <c r="A825" s="20"/>
      <c r="B825" s="86"/>
      <c r="C825" s="22"/>
      <c r="E825" s="21"/>
      <c r="F825" s="84"/>
      <c r="G825" s="84"/>
    </row>
    <row r="826" spans="1:7" ht="15.75" customHeight="1">
      <c r="A826" s="20"/>
      <c r="B826" s="86"/>
      <c r="C826" s="22"/>
      <c r="E826" s="21"/>
      <c r="F826" s="84"/>
      <c r="G826" s="84"/>
    </row>
    <row r="827" spans="1:7" ht="15.75" customHeight="1">
      <c r="A827" s="20"/>
      <c r="B827" s="86"/>
      <c r="C827" s="22"/>
      <c r="E827" s="21"/>
      <c r="F827" s="84"/>
      <c r="G827" s="84"/>
    </row>
    <row r="828" spans="1:7" ht="15.75" customHeight="1">
      <c r="A828" s="20"/>
      <c r="B828" s="86"/>
      <c r="C828" s="22"/>
      <c r="E828" s="21"/>
      <c r="F828" s="84"/>
      <c r="G828" s="84"/>
    </row>
    <row r="829" spans="1:7" ht="15.75" customHeight="1">
      <c r="A829" s="20"/>
      <c r="B829" s="86"/>
      <c r="C829" s="22"/>
      <c r="E829" s="21"/>
      <c r="F829" s="84"/>
      <c r="G829" s="84"/>
    </row>
    <row r="830" spans="1:7" ht="15.75" customHeight="1">
      <c r="A830" s="20"/>
      <c r="B830" s="86"/>
      <c r="C830" s="22"/>
      <c r="E830" s="21"/>
      <c r="F830" s="84"/>
      <c r="G830" s="84"/>
    </row>
    <row r="831" spans="1:7" ht="15.75" customHeight="1">
      <c r="A831" s="20"/>
      <c r="B831" s="86"/>
      <c r="C831" s="22"/>
      <c r="E831" s="21"/>
      <c r="F831" s="84"/>
      <c r="G831" s="84"/>
    </row>
    <row r="832" spans="1:7" ht="15.75" customHeight="1">
      <c r="A832" s="20"/>
      <c r="B832" s="86"/>
      <c r="C832" s="22"/>
      <c r="E832" s="21"/>
      <c r="F832" s="84"/>
      <c r="G832" s="84"/>
    </row>
    <row r="833" spans="1:7" ht="15.75" customHeight="1">
      <c r="A833" s="20"/>
      <c r="B833" s="86"/>
      <c r="C833" s="22"/>
      <c r="E833" s="21"/>
      <c r="F833" s="84"/>
      <c r="G833" s="84"/>
    </row>
    <row r="834" spans="1:7" ht="15.75" customHeight="1">
      <c r="A834" s="20"/>
      <c r="B834" s="86"/>
      <c r="C834" s="22"/>
      <c r="E834" s="21"/>
      <c r="F834" s="84"/>
      <c r="G834" s="84"/>
    </row>
    <row r="835" spans="1:7" ht="15.75" customHeight="1">
      <c r="A835" s="20"/>
      <c r="B835" s="86"/>
      <c r="C835" s="22"/>
      <c r="E835" s="21"/>
      <c r="F835" s="84"/>
      <c r="G835" s="84"/>
    </row>
    <row r="836" spans="1:7" ht="15.75" customHeight="1">
      <c r="A836" s="20"/>
      <c r="B836" s="86"/>
      <c r="C836" s="22"/>
      <c r="E836" s="21"/>
      <c r="F836" s="84"/>
      <c r="G836" s="84"/>
    </row>
    <row r="837" spans="1:7" ht="15.75" customHeight="1">
      <c r="A837" s="20"/>
      <c r="B837" s="86"/>
      <c r="C837" s="22"/>
      <c r="E837" s="21"/>
      <c r="F837" s="84"/>
      <c r="G837" s="84"/>
    </row>
    <row r="838" spans="1:7" ht="15.75" customHeight="1">
      <c r="A838" s="20"/>
      <c r="B838" s="86"/>
      <c r="C838" s="22"/>
      <c r="E838" s="21"/>
      <c r="F838" s="84"/>
      <c r="G838" s="84"/>
    </row>
    <row r="839" spans="1:7" ht="15.75" customHeight="1">
      <c r="A839" s="20"/>
      <c r="B839" s="86"/>
      <c r="C839" s="22"/>
      <c r="E839" s="21"/>
      <c r="F839" s="84"/>
      <c r="G839" s="84"/>
    </row>
    <row r="840" spans="1:7" ht="15.75" customHeight="1">
      <c r="A840" s="20"/>
      <c r="B840" s="86"/>
      <c r="C840" s="22"/>
      <c r="E840" s="21"/>
      <c r="F840" s="84"/>
      <c r="G840" s="84"/>
    </row>
    <row r="841" spans="1:7" ht="15.75" customHeight="1">
      <c r="A841" s="20"/>
      <c r="B841" s="86"/>
      <c r="C841" s="22"/>
      <c r="E841" s="21"/>
      <c r="F841" s="84"/>
      <c r="G841" s="84"/>
    </row>
    <row r="842" spans="1:7" ht="15.75" customHeight="1">
      <c r="A842" s="20"/>
      <c r="B842" s="86"/>
      <c r="C842" s="22"/>
      <c r="E842" s="21"/>
      <c r="F842" s="84"/>
      <c r="G842" s="84"/>
    </row>
    <row r="843" spans="1:7" ht="15.75" customHeight="1">
      <c r="A843" s="20"/>
      <c r="B843" s="86"/>
      <c r="C843" s="22"/>
      <c r="E843" s="21"/>
      <c r="F843" s="84"/>
      <c r="G843" s="84"/>
    </row>
    <row r="844" spans="1:7" ht="15.75" customHeight="1">
      <c r="A844" s="20"/>
      <c r="B844" s="86"/>
      <c r="C844" s="22"/>
      <c r="E844" s="21"/>
      <c r="F844" s="84"/>
      <c r="G844" s="84"/>
    </row>
    <row r="845" spans="1:7" ht="15.75" customHeight="1">
      <c r="A845" s="20"/>
      <c r="B845" s="86"/>
      <c r="C845" s="22"/>
      <c r="E845" s="21"/>
      <c r="F845" s="84"/>
      <c r="G845" s="84"/>
    </row>
    <row r="846" spans="1:7" ht="15.75" customHeight="1">
      <c r="A846" s="20"/>
      <c r="B846" s="86"/>
      <c r="C846" s="22"/>
      <c r="E846" s="21"/>
      <c r="F846" s="84"/>
      <c r="G846" s="84"/>
    </row>
    <row r="847" spans="1:7" ht="15.75" customHeight="1">
      <c r="A847" s="20"/>
      <c r="B847" s="86"/>
      <c r="C847" s="22"/>
      <c r="E847" s="21"/>
      <c r="F847" s="84"/>
      <c r="G847" s="84"/>
    </row>
    <row r="848" spans="1:7" ht="15.75" customHeight="1">
      <c r="A848" s="20"/>
      <c r="B848" s="86"/>
      <c r="C848" s="22"/>
      <c r="E848" s="21"/>
      <c r="F848" s="84"/>
      <c r="G848" s="84"/>
    </row>
    <row r="849" spans="1:7" ht="15.75" customHeight="1">
      <c r="A849" s="20"/>
      <c r="B849" s="86"/>
      <c r="C849" s="22"/>
      <c r="E849" s="21"/>
      <c r="F849" s="84"/>
      <c r="G849" s="84"/>
    </row>
    <row r="850" spans="1:7" ht="15.75" customHeight="1">
      <c r="A850" s="20"/>
      <c r="B850" s="86"/>
      <c r="C850" s="22"/>
      <c r="E850" s="21"/>
      <c r="F850" s="84"/>
      <c r="G850" s="84"/>
    </row>
    <row r="851" spans="1:7" ht="15.75" customHeight="1">
      <c r="A851" s="20"/>
      <c r="B851" s="86"/>
      <c r="C851" s="22"/>
      <c r="E851" s="21"/>
      <c r="F851" s="84"/>
      <c r="G851" s="84"/>
    </row>
    <row r="852" spans="1:7" ht="15.75" customHeight="1">
      <c r="A852" s="20"/>
      <c r="B852" s="86"/>
      <c r="C852" s="22"/>
      <c r="E852" s="21"/>
      <c r="F852" s="84"/>
      <c r="G852" s="84"/>
    </row>
    <row r="853" spans="1:7" ht="15.75" customHeight="1">
      <c r="A853" s="20"/>
      <c r="B853" s="86"/>
      <c r="C853" s="22"/>
      <c r="E853" s="21"/>
      <c r="F853" s="84"/>
      <c r="G853" s="84"/>
    </row>
    <row r="854" spans="1:7" ht="15.75" customHeight="1">
      <c r="A854" s="20"/>
      <c r="B854" s="86"/>
      <c r="C854" s="22"/>
      <c r="E854" s="21"/>
      <c r="F854" s="84"/>
      <c r="G854" s="84"/>
    </row>
    <row r="855" spans="1:7" ht="15.75" customHeight="1">
      <c r="A855" s="20"/>
      <c r="B855" s="86"/>
      <c r="C855" s="22"/>
      <c r="E855" s="21"/>
      <c r="F855" s="84"/>
      <c r="G855" s="84"/>
    </row>
    <row r="856" spans="1:7" ht="15.75" customHeight="1">
      <c r="A856" s="20"/>
      <c r="B856" s="86"/>
      <c r="C856" s="22"/>
      <c r="E856" s="21"/>
      <c r="F856" s="84"/>
      <c r="G856" s="84"/>
    </row>
    <row r="857" spans="1:7" ht="15.75" customHeight="1">
      <c r="A857" s="20"/>
      <c r="B857" s="86"/>
      <c r="C857" s="22"/>
      <c r="E857" s="21"/>
      <c r="F857" s="84"/>
      <c r="G857" s="84"/>
    </row>
    <row r="858" spans="1:7" ht="15.75" customHeight="1">
      <c r="A858" s="20"/>
      <c r="B858" s="86"/>
      <c r="C858" s="22"/>
      <c r="E858" s="21"/>
      <c r="F858" s="84"/>
      <c r="G858" s="84"/>
    </row>
    <row r="859" spans="1:7" ht="15.75" customHeight="1">
      <c r="A859" s="20"/>
      <c r="B859" s="86"/>
      <c r="C859" s="22"/>
      <c r="E859" s="21"/>
      <c r="F859" s="84"/>
      <c r="G859" s="84"/>
    </row>
    <row r="860" spans="1:7" ht="15.75" customHeight="1">
      <c r="A860" s="20"/>
      <c r="B860" s="86"/>
      <c r="C860" s="22"/>
      <c r="E860" s="21"/>
      <c r="F860" s="84"/>
      <c r="G860" s="84"/>
    </row>
    <row r="861" spans="1:7" ht="15.75" customHeight="1">
      <c r="A861" s="20"/>
      <c r="B861" s="86"/>
      <c r="C861" s="22"/>
      <c r="E861" s="21"/>
      <c r="F861" s="84"/>
      <c r="G861" s="84"/>
    </row>
    <row r="862" spans="1:7" ht="15.75" customHeight="1">
      <c r="A862" s="20"/>
      <c r="B862" s="86"/>
      <c r="C862" s="22"/>
      <c r="E862" s="21"/>
      <c r="F862" s="84"/>
      <c r="G862" s="84"/>
    </row>
    <row r="863" spans="1:7" ht="15.75" customHeight="1">
      <c r="A863" s="20"/>
      <c r="B863" s="86"/>
      <c r="C863" s="22"/>
      <c r="E863" s="21"/>
      <c r="F863" s="84"/>
      <c r="G863" s="84"/>
    </row>
    <row r="864" spans="1:7" ht="15.75" customHeight="1">
      <c r="A864" s="20"/>
      <c r="B864" s="86"/>
      <c r="C864" s="22"/>
      <c r="E864" s="21"/>
      <c r="F864" s="84"/>
      <c r="G864" s="84"/>
    </row>
    <row r="865" spans="1:7" ht="15.75" customHeight="1">
      <c r="A865" s="20"/>
      <c r="B865" s="86"/>
      <c r="C865" s="22"/>
      <c r="E865" s="21"/>
      <c r="F865" s="84"/>
      <c r="G865" s="84"/>
    </row>
    <row r="866" spans="1:7" ht="15.75" customHeight="1">
      <c r="A866" s="20"/>
      <c r="B866" s="86"/>
      <c r="C866" s="22"/>
      <c r="E866" s="21"/>
      <c r="F866" s="84"/>
      <c r="G866" s="84"/>
    </row>
    <row r="867" spans="1:7" ht="15.75" customHeight="1">
      <c r="A867" s="20"/>
      <c r="B867" s="86"/>
      <c r="C867" s="22"/>
      <c r="E867" s="21"/>
      <c r="F867" s="84"/>
      <c r="G867" s="84"/>
    </row>
    <row r="868" spans="1:7" ht="15.75" customHeight="1">
      <c r="A868" s="20"/>
      <c r="B868" s="86"/>
      <c r="C868" s="22"/>
      <c r="E868" s="21"/>
      <c r="F868" s="84"/>
      <c r="G868" s="84"/>
    </row>
    <row r="869" spans="1:7" ht="15.75" customHeight="1">
      <c r="A869" s="20"/>
      <c r="B869" s="86"/>
      <c r="C869" s="22"/>
      <c r="E869" s="21"/>
      <c r="F869" s="84"/>
      <c r="G869" s="84"/>
    </row>
    <row r="870" spans="1:7" ht="15.75" customHeight="1">
      <c r="A870" s="20"/>
      <c r="B870" s="86"/>
      <c r="C870" s="22"/>
      <c r="E870" s="21"/>
      <c r="F870" s="84"/>
      <c r="G870" s="84"/>
    </row>
    <row r="871" spans="1:7" ht="15.75" customHeight="1">
      <c r="A871" s="20"/>
      <c r="B871" s="86"/>
      <c r="C871" s="22"/>
      <c r="E871" s="21"/>
      <c r="F871" s="84"/>
      <c r="G871" s="84"/>
    </row>
    <row r="872" spans="1:7" ht="15.75" customHeight="1">
      <c r="A872" s="20"/>
      <c r="B872" s="86"/>
      <c r="C872" s="22"/>
      <c r="E872" s="21"/>
      <c r="F872" s="84"/>
      <c r="G872" s="84"/>
    </row>
    <row r="873" spans="1:7" ht="15.75" customHeight="1">
      <c r="A873" s="20"/>
      <c r="B873" s="86"/>
      <c r="C873" s="22"/>
      <c r="E873" s="21"/>
      <c r="F873" s="84"/>
      <c r="G873" s="84"/>
    </row>
    <row r="874" spans="1:7" ht="15.75" customHeight="1">
      <c r="A874" s="20"/>
      <c r="B874" s="86"/>
      <c r="C874" s="22"/>
      <c r="E874" s="21"/>
      <c r="F874" s="84"/>
      <c r="G874" s="84"/>
    </row>
    <row r="875" spans="1:7" ht="15.75" customHeight="1">
      <c r="A875" s="20"/>
      <c r="B875" s="86"/>
      <c r="C875" s="22"/>
      <c r="E875" s="21"/>
      <c r="F875" s="84"/>
      <c r="G875" s="84"/>
    </row>
    <row r="876" spans="1:7" ht="15.75" customHeight="1">
      <c r="A876" s="20"/>
      <c r="B876" s="86"/>
      <c r="C876" s="22"/>
      <c r="E876" s="21"/>
      <c r="F876" s="84"/>
      <c r="G876" s="84"/>
    </row>
    <row r="877" spans="1:7" ht="15.75" customHeight="1">
      <c r="A877" s="20"/>
      <c r="B877" s="86"/>
      <c r="C877" s="22"/>
      <c r="E877" s="21"/>
      <c r="F877" s="84"/>
      <c r="G877" s="84"/>
    </row>
    <row r="878" spans="1:7" ht="15.75" customHeight="1">
      <c r="A878" s="20"/>
      <c r="B878" s="86"/>
      <c r="C878" s="22"/>
      <c r="E878" s="21"/>
      <c r="F878" s="84"/>
      <c r="G878" s="84"/>
    </row>
    <row r="879" spans="1:7" ht="15.75" customHeight="1">
      <c r="A879" s="20"/>
      <c r="B879" s="86"/>
      <c r="C879" s="22"/>
      <c r="E879" s="21"/>
      <c r="F879" s="84"/>
      <c r="G879" s="84"/>
    </row>
    <row r="880" spans="1:7" ht="15.75" customHeight="1">
      <c r="A880" s="20"/>
      <c r="B880" s="86"/>
      <c r="C880" s="22"/>
      <c r="E880" s="21"/>
      <c r="F880" s="84"/>
      <c r="G880" s="84"/>
    </row>
    <row r="881" spans="1:7" ht="15.75" customHeight="1">
      <c r="A881" s="20"/>
      <c r="B881" s="86"/>
      <c r="C881" s="22"/>
      <c r="E881" s="21"/>
      <c r="F881" s="84"/>
      <c r="G881" s="84"/>
    </row>
    <row r="882" spans="1:7" ht="15.75" customHeight="1">
      <c r="A882" s="20"/>
      <c r="B882" s="86"/>
      <c r="C882" s="22"/>
      <c r="E882" s="21"/>
      <c r="F882" s="84"/>
      <c r="G882" s="84"/>
    </row>
    <row r="883" spans="1:7" ht="15.75" customHeight="1">
      <c r="A883" s="20"/>
      <c r="B883" s="86"/>
      <c r="C883" s="22"/>
      <c r="E883" s="21"/>
      <c r="F883" s="84"/>
      <c r="G883" s="84"/>
    </row>
    <row r="884" spans="1:7" ht="15.75" customHeight="1">
      <c r="A884" s="20"/>
      <c r="B884" s="86"/>
      <c r="C884" s="22"/>
      <c r="E884" s="21"/>
      <c r="F884" s="84"/>
      <c r="G884" s="84"/>
    </row>
    <row r="885" spans="1:7" ht="15.75" customHeight="1">
      <c r="A885" s="20"/>
      <c r="B885" s="86"/>
      <c r="C885" s="22"/>
      <c r="E885" s="21"/>
      <c r="F885" s="84"/>
      <c r="G885" s="84"/>
    </row>
    <row r="886" spans="1:7" ht="15.75" customHeight="1">
      <c r="A886" s="20"/>
      <c r="B886" s="86"/>
      <c r="C886" s="22"/>
      <c r="E886" s="21"/>
      <c r="F886" s="84"/>
      <c r="G886" s="84"/>
    </row>
    <row r="887" spans="1:7" ht="15.75" customHeight="1">
      <c r="A887" s="20"/>
      <c r="B887" s="86"/>
      <c r="C887" s="22"/>
      <c r="E887" s="21"/>
      <c r="F887" s="84"/>
      <c r="G887" s="84"/>
    </row>
    <row r="888" spans="1:7" ht="15.75" customHeight="1">
      <c r="A888" s="20"/>
      <c r="B888" s="86"/>
      <c r="C888" s="22"/>
      <c r="E888" s="21"/>
      <c r="F888" s="84"/>
      <c r="G888" s="84"/>
    </row>
    <row r="889" spans="1:7" ht="15.75" customHeight="1">
      <c r="A889" s="20"/>
      <c r="B889" s="86"/>
      <c r="C889" s="22"/>
      <c r="E889" s="21"/>
      <c r="F889" s="84"/>
      <c r="G889" s="84"/>
    </row>
    <row r="890" spans="1:7" ht="15.75" customHeight="1">
      <c r="A890" s="20"/>
      <c r="B890" s="86"/>
      <c r="C890" s="22"/>
      <c r="E890" s="21"/>
      <c r="F890" s="84"/>
      <c r="G890" s="84"/>
    </row>
    <row r="891" spans="1:7" ht="15.75" customHeight="1">
      <c r="A891" s="20"/>
      <c r="B891" s="86"/>
      <c r="C891" s="22"/>
      <c r="E891" s="21"/>
      <c r="F891" s="84"/>
      <c r="G891" s="84"/>
    </row>
    <row r="892" spans="1:7" ht="15.75" customHeight="1">
      <c r="A892" s="20"/>
      <c r="B892" s="86"/>
      <c r="C892" s="22"/>
      <c r="E892" s="21"/>
      <c r="F892" s="84"/>
      <c r="G892" s="84"/>
    </row>
    <row r="893" spans="1:7" ht="15.75" customHeight="1">
      <c r="A893" s="20"/>
      <c r="B893" s="86"/>
      <c r="C893" s="22"/>
      <c r="E893" s="21"/>
      <c r="F893" s="84"/>
      <c r="G893" s="84"/>
    </row>
    <row r="894" spans="1:7" ht="15.75" customHeight="1">
      <c r="A894" s="20"/>
      <c r="B894" s="86"/>
      <c r="C894" s="22"/>
      <c r="E894" s="21"/>
      <c r="F894" s="84"/>
      <c r="G894" s="84"/>
    </row>
    <row r="895" spans="1:7" ht="15.75" customHeight="1">
      <c r="A895" s="20"/>
      <c r="B895" s="86"/>
      <c r="C895" s="22"/>
      <c r="E895" s="21"/>
      <c r="F895" s="84"/>
      <c r="G895" s="84"/>
    </row>
    <row r="896" spans="1:7" ht="15.75" customHeight="1">
      <c r="A896" s="20"/>
      <c r="B896" s="86"/>
      <c r="C896" s="22"/>
      <c r="E896" s="21"/>
      <c r="F896" s="84"/>
      <c r="G896" s="84"/>
    </row>
    <row r="897" spans="1:7" ht="15.75" customHeight="1">
      <c r="A897" s="20"/>
      <c r="B897" s="86"/>
      <c r="C897" s="22"/>
      <c r="E897" s="21"/>
      <c r="F897" s="84"/>
      <c r="G897" s="84"/>
    </row>
    <row r="898" spans="1:7" ht="15.75" customHeight="1">
      <c r="A898" s="20"/>
      <c r="B898" s="86"/>
      <c r="C898" s="22"/>
      <c r="E898" s="21"/>
      <c r="F898" s="84"/>
      <c r="G898" s="84"/>
    </row>
    <row r="899" spans="1:7" ht="15.75" customHeight="1">
      <c r="A899" s="20"/>
      <c r="B899" s="86"/>
      <c r="C899" s="22"/>
      <c r="E899" s="21"/>
      <c r="F899" s="84"/>
      <c r="G899" s="84"/>
    </row>
    <row r="900" spans="1:7" ht="15.75" customHeight="1">
      <c r="A900" s="20"/>
      <c r="B900" s="86"/>
      <c r="C900" s="22"/>
      <c r="E900" s="21"/>
      <c r="F900" s="84"/>
      <c r="G900" s="84"/>
    </row>
    <row r="901" spans="1:7" ht="15.75" customHeight="1">
      <c r="A901" s="20"/>
      <c r="B901" s="86"/>
      <c r="C901" s="22"/>
      <c r="E901" s="21"/>
      <c r="F901" s="84"/>
      <c r="G901" s="84"/>
    </row>
    <row r="902" spans="1:7" ht="15.75" customHeight="1">
      <c r="A902" s="20"/>
      <c r="B902" s="86"/>
      <c r="C902" s="22"/>
      <c r="E902" s="21"/>
      <c r="F902" s="84"/>
      <c r="G902" s="84"/>
    </row>
    <row r="903" spans="1:7" ht="15.75" customHeight="1">
      <c r="A903" s="20"/>
      <c r="B903" s="86"/>
      <c r="C903" s="22"/>
      <c r="E903" s="21"/>
      <c r="F903" s="84"/>
      <c r="G903" s="84"/>
    </row>
    <row r="904" spans="1:7" ht="15.75" customHeight="1">
      <c r="A904" s="20"/>
      <c r="B904" s="86"/>
      <c r="C904" s="22"/>
      <c r="E904" s="21"/>
      <c r="F904" s="84"/>
      <c r="G904" s="84"/>
    </row>
    <row r="905" spans="1:7" ht="15.75" customHeight="1">
      <c r="A905" s="20"/>
      <c r="B905" s="86"/>
      <c r="C905" s="22"/>
      <c r="E905" s="21"/>
      <c r="F905" s="84"/>
      <c r="G905" s="84"/>
    </row>
    <row r="906" spans="1:7" ht="15.75" customHeight="1">
      <c r="A906" s="20"/>
      <c r="B906" s="86"/>
      <c r="C906" s="22"/>
      <c r="E906" s="21"/>
      <c r="F906" s="84"/>
      <c r="G906" s="84"/>
    </row>
    <row r="907" spans="1:7" ht="15.75" customHeight="1">
      <c r="A907" s="20"/>
      <c r="B907" s="86"/>
      <c r="C907" s="22"/>
      <c r="E907" s="21"/>
      <c r="F907" s="84"/>
      <c r="G907" s="84"/>
    </row>
    <row r="908" spans="1:7" ht="15.75" customHeight="1">
      <c r="A908" s="20"/>
      <c r="B908" s="86"/>
      <c r="C908" s="22"/>
      <c r="E908" s="21"/>
      <c r="F908" s="84"/>
      <c r="G908" s="84"/>
    </row>
    <row r="909" spans="1:7" ht="15.75" customHeight="1">
      <c r="A909" s="20"/>
      <c r="B909" s="86"/>
      <c r="C909" s="22"/>
      <c r="E909" s="21"/>
      <c r="F909" s="84"/>
      <c r="G909" s="84"/>
    </row>
    <row r="910" spans="1:7" ht="15.75" customHeight="1">
      <c r="A910" s="20"/>
      <c r="B910" s="86"/>
      <c r="C910" s="22"/>
      <c r="E910" s="21"/>
      <c r="F910" s="84"/>
      <c r="G910" s="84"/>
    </row>
    <row r="911" spans="1:7" ht="15.75" customHeight="1">
      <c r="A911" s="20"/>
      <c r="B911" s="86"/>
      <c r="C911" s="22"/>
      <c r="E911" s="21"/>
      <c r="F911" s="84"/>
      <c r="G911" s="84"/>
    </row>
    <row r="912" spans="1:7" ht="15.75" customHeight="1">
      <c r="A912" s="20"/>
      <c r="B912" s="86"/>
      <c r="C912" s="22"/>
      <c r="E912" s="21"/>
      <c r="F912" s="84"/>
      <c r="G912" s="84"/>
    </row>
    <row r="913" spans="1:7" ht="15.75" customHeight="1">
      <c r="A913" s="20"/>
      <c r="B913" s="86"/>
      <c r="C913" s="22"/>
      <c r="E913" s="21"/>
      <c r="F913" s="84"/>
      <c r="G913" s="84"/>
    </row>
    <row r="914" spans="1:7" ht="15.75" customHeight="1">
      <c r="A914" s="20"/>
      <c r="B914" s="86"/>
      <c r="C914" s="22"/>
      <c r="E914" s="21"/>
      <c r="F914" s="84"/>
      <c r="G914" s="84"/>
    </row>
    <row r="915" spans="1:7" ht="15.75" customHeight="1">
      <c r="A915" s="20"/>
      <c r="B915" s="86"/>
      <c r="C915" s="22"/>
      <c r="E915" s="21"/>
      <c r="F915" s="84"/>
      <c r="G915" s="84"/>
    </row>
    <row r="916" spans="1:7" ht="15.75" customHeight="1">
      <c r="A916" s="20"/>
      <c r="B916" s="86"/>
      <c r="C916" s="22"/>
      <c r="E916" s="21"/>
      <c r="F916" s="84"/>
      <c r="G916" s="84"/>
    </row>
    <row r="917" spans="1:7" ht="15.75" customHeight="1">
      <c r="A917" s="20"/>
      <c r="B917" s="86"/>
      <c r="C917" s="22"/>
      <c r="E917" s="21"/>
      <c r="F917" s="84"/>
      <c r="G917" s="84"/>
    </row>
    <row r="918" spans="1:7" ht="15.75" customHeight="1">
      <c r="A918" s="20"/>
      <c r="B918" s="86"/>
      <c r="C918" s="22"/>
      <c r="E918" s="21"/>
      <c r="F918" s="84"/>
      <c r="G918" s="84"/>
    </row>
    <row r="919" spans="1:7" ht="15.75" customHeight="1">
      <c r="A919" s="20"/>
      <c r="B919" s="86"/>
      <c r="C919" s="22"/>
      <c r="E919" s="21"/>
      <c r="F919" s="84"/>
      <c r="G919" s="84"/>
    </row>
    <row r="920" spans="1:7" ht="15.75" customHeight="1">
      <c r="A920" s="20"/>
      <c r="B920" s="86"/>
      <c r="C920" s="22"/>
      <c r="E920" s="21"/>
      <c r="F920" s="84"/>
      <c r="G920" s="84"/>
    </row>
    <row r="921" spans="1:7" ht="15.75" customHeight="1">
      <c r="A921" s="20"/>
      <c r="B921" s="86"/>
      <c r="C921" s="22"/>
      <c r="E921" s="21"/>
      <c r="F921" s="84"/>
      <c r="G921" s="84"/>
    </row>
    <row r="922" spans="1:7" ht="15.75" customHeight="1">
      <c r="A922" s="20"/>
      <c r="B922" s="86"/>
      <c r="C922" s="22"/>
      <c r="E922" s="21"/>
      <c r="F922" s="84"/>
      <c r="G922" s="84"/>
    </row>
    <row r="923" spans="1:7" ht="15.75" customHeight="1">
      <c r="A923" s="20"/>
      <c r="B923" s="86"/>
      <c r="C923" s="22"/>
      <c r="E923" s="21"/>
      <c r="F923" s="84"/>
      <c r="G923" s="84"/>
    </row>
    <row r="924" spans="1:7" ht="15.75" customHeight="1">
      <c r="A924" s="20"/>
      <c r="B924" s="86"/>
      <c r="C924" s="22"/>
      <c r="E924" s="21"/>
      <c r="F924" s="84"/>
      <c r="G924" s="84"/>
    </row>
    <row r="925" spans="1:7" ht="15.75" customHeight="1">
      <c r="A925" s="20"/>
      <c r="B925" s="86"/>
      <c r="C925" s="22"/>
      <c r="E925" s="21"/>
      <c r="F925" s="84"/>
      <c r="G925" s="84"/>
    </row>
    <row r="926" spans="1:7" ht="15.75" customHeight="1">
      <c r="A926" s="20"/>
      <c r="B926" s="86"/>
      <c r="C926" s="22"/>
      <c r="E926" s="21"/>
      <c r="F926" s="84"/>
      <c r="G926" s="84"/>
    </row>
    <row r="927" spans="1:7" ht="15.75" customHeight="1">
      <c r="A927" s="20"/>
      <c r="B927" s="86"/>
      <c r="C927" s="22"/>
      <c r="E927" s="21"/>
      <c r="F927" s="84"/>
      <c r="G927" s="84"/>
    </row>
    <row r="928" spans="1:7" ht="15.75" customHeight="1">
      <c r="A928" s="20"/>
      <c r="B928" s="86"/>
      <c r="C928" s="22"/>
      <c r="E928" s="21"/>
      <c r="F928" s="84"/>
      <c r="G928" s="84"/>
    </row>
    <row r="929" spans="1:7" ht="15.75" customHeight="1">
      <c r="A929" s="20"/>
      <c r="B929" s="86"/>
      <c r="C929" s="22"/>
      <c r="E929" s="21"/>
      <c r="F929" s="84"/>
      <c r="G929" s="84"/>
    </row>
    <row r="930" spans="1:7" ht="15.75" customHeight="1">
      <c r="A930" s="20"/>
      <c r="B930" s="86"/>
      <c r="C930" s="22"/>
      <c r="E930" s="21"/>
      <c r="F930" s="84"/>
      <c r="G930" s="84"/>
    </row>
    <row r="931" spans="1:7" ht="15.75" customHeight="1">
      <c r="A931" s="20"/>
      <c r="B931" s="86"/>
      <c r="C931" s="22"/>
      <c r="E931" s="21"/>
      <c r="F931" s="84"/>
      <c r="G931" s="84"/>
    </row>
    <row r="932" spans="1:7" ht="15.75" customHeight="1">
      <c r="A932" s="20"/>
      <c r="B932" s="86"/>
      <c r="C932" s="22"/>
      <c r="E932" s="21"/>
      <c r="F932" s="84"/>
      <c r="G932" s="84"/>
    </row>
    <row r="933" spans="1:7" ht="15.75" customHeight="1">
      <c r="A933" s="20"/>
      <c r="B933" s="86"/>
      <c r="C933" s="22"/>
      <c r="E933" s="21"/>
      <c r="F933" s="84"/>
      <c r="G933" s="84"/>
    </row>
    <row r="934" spans="1:7" ht="15.75" customHeight="1">
      <c r="A934" s="20"/>
      <c r="B934" s="86"/>
      <c r="C934" s="22"/>
      <c r="E934" s="21"/>
      <c r="F934" s="84"/>
      <c r="G934" s="84"/>
    </row>
    <row r="935" spans="1:7" ht="15.75" customHeight="1">
      <c r="A935" s="20"/>
      <c r="B935" s="86"/>
      <c r="C935" s="22"/>
      <c r="E935" s="21"/>
      <c r="F935" s="84"/>
      <c r="G935" s="84"/>
    </row>
    <row r="936" spans="1:7" ht="15.75" customHeight="1">
      <c r="A936" s="20"/>
      <c r="B936" s="86"/>
      <c r="C936" s="22"/>
      <c r="E936" s="21"/>
      <c r="F936" s="84"/>
      <c r="G936" s="84"/>
    </row>
    <row r="937" spans="1:7" ht="15.75" customHeight="1">
      <c r="A937" s="20"/>
      <c r="B937" s="86"/>
      <c r="C937" s="22"/>
      <c r="E937" s="21"/>
      <c r="F937" s="84"/>
      <c r="G937" s="84"/>
    </row>
    <row r="938" spans="1:7" ht="15.75" customHeight="1">
      <c r="A938" s="20"/>
      <c r="B938" s="86"/>
      <c r="C938" s="22"/>
      <c r="E938" s="21"/>
      <c r="F938" s="84"/>
      <c r="G938" s="84"/>
    </row>
    <row r="939" spans="1:7" ht="15.75" customHeight="1">
      <c r="A939" s="20"/>
      <c r="B939" s="86"/>
      <c r="C939" s="22"/>
      <c r="E939" s="21"/>
      <c r="F939" s="84"/>
      <c r="G939" s="84"/>
    </row>
    <row r="940" spans="1:7" ht="15.75" customHeight="1">
      <c r="A940" s="20"/>
      <c r="B940" s="86"/>
      <c r="C940" s="22"/>
      <c r="E940" s="21"/>
      <c r="F940" s="84"/>
      <c r="G940" s="84"/>
    </row>
    <row r="941" spans="1:7" ht="15.75" customHeight="1">
      <c r="A941" s="20"/>
      <c r="B941" s="86"/>
      <c r="C941" s="22"/>
      <c r="E941" s="21"/>
      <c r="F941" s="84"/>
      <c r="G941" s="84"/>
    </row>
    <row r="942" spans="1:7" ht="15.75" customHeight="1">
      <c r="A942" s="20"/>
      <c r="B942" s="86"/>
      <c r="C942" s="22"/>
      <c r="E942" s="21"/>
      <c r="F942" s="84"/>
      <c r="G942" s="84"/>
    </row>
    <row r="943" spans="1:7" ht="15.75" customHeight="1">
      <c r="A943" s="20"/>
      <c r="B943" s="86"/>
      <c r="C943" s="22"/>
      <c r="E943" s="21"/>
      <c r="F943" s="84"/>
      <c r="G943" s="84"/>
    </row>
    <row r="944" spans="1:7" ht="15.75" customHeight="1">
      <c r="A944" s="20"/>
      <c r="B944" s="86"/>
      <c r="C944" s="22"/>
      <c r="E944" s="21"/>
      <c r="F944" s="84"/>
      <c r="G944" s="84"/>
    </row>
    <row r="945" spans="1:7" ht="15.75" customHeight="1">
      <c r="A945" s="20"/>
      <c r="B945" s="86"/>
      <c r="C945" s="22"/>
      <c r="E945" s="21"/>
      <c r="F945" s="84"/>
      <c r="G945" s="84"/>
    </row>
    <row r="946" spans="1:7" ht="15.75" customHeight="1">
      <c r="A946" s="20"/>
      <c r="B946" s="86"/>
      <c r="C946" s="22"/>
      <c r="E946" s="21"/>
      <c r="F946" s="84"/>
      <c r="G946" s="84"/>
    </row>
    <row r="947" spans="1:7" ht="15.75" customHeight="1">
      <c r="A947" s="20"/>
      <c r="B947" s="86"/>
      <c r="C947" s="22"/>
      <c r="E947" s="21"/>
      <c r="F947" s="84"/>
      <c r="G947" s="84"/>
    </row>
    <row r="948" spans="1:7" ht="15.75" customHeight="1">
      <c r="A948" s="20"/>
      <c r="B948" s="86"/>
      <c r="C948" s="22"/>
      <c r="E948" s="21"/>
      <c r="F948" s="84"/>
      <c r="G948" s="84"/>
    </row>
    <row r="949" spans="1:7" ht="15.75" customHeight="1">
      <c r="A949" s="20"/>
      <c r="B949" s="86"/>
      <c r="C949" s="22"/>
      <c r="E949" s="21"/>
      <c r="F949" s="84"/>
      <c r="G949" s="84"/>
    </row>
    <row r="950" spans="1:7" ht="15.75" customHeight="1">
      <c r="A950" s="20"/>
      <c r="B950" s="86"/>
      <c r="C950" s="22"/>
      <c r="E950" s="21"/>
      <c r="F950" s="84"/>
      <c r="G950" s="84"/>
    </row>
    <row r="951" spans="1:7" ht="15.75" customHeight="1">
      <c r="A951" s="20"/>
      <c r="B951" s="86"/>
      <c r="C951" s="22"/>
      <c r="E951" s="21"/>
      <c r="F951" s="84"/>
      <c r="G951" s="84"/>
    </row>
    <row r="952" spans="1:7" ht="15.75" customHeight="1">
      <c r="A952" s="20"/>
      <c r="B952" s="86"/>
      <c r="C952" s="22"/>
      <c r="E952" s="21"/>
      <c r="F952" s="84"/>
      <c r="G952" s="84"/>
    </row>
    <row r="953" spans="1:7" ht="15.75" customHeight="1">
      <c r="A953" s="20"/>
      <c r="B953" s="86"/>
      <c r="C953" s="22"/>
      <c r="E953" s="21"/>
      <c r="F953" s="84"/>
      <c r="G953" s="84"/>
    </row>
    <row r="954" spans="1:7" ht="15.75" customHeight="1">
      <c r="A954" s="20"/>
      <c r="B954" s="86"/>
      <c r="C954" s="22"/>
      <c r="E954" s="21"/>
      <c r="F954" s="84"/>
      <c r="G954" s="84"/>
    </row>
    <row r="955" spans="1:7" ht="15.75" customHeight="1">
      <c r="A955" s="20"/>
      <c r="B955" s="86"/>
      <c r="C955" s="22"/>
      <c r="E955" s="21"/>
      <c r="F955" s="84"/>
      <c r="G955" s="84"/>
    </row>
    <row r="956" spans="1:7" ht="15.75" customHeight="1">
      <c r="A956" s="20"/>
      <c r="B956" s="86"/>
      <c r="C956" s="22"/>
      <c r="E956" s="21"/>
      <c r="F956" s="84"/>
      <c r="G956" s="84"/>
    </row>
    <row r="957" spans="1:7" ht="15.75" customHeight="1">
      <c r="A957" s="20"/>
      <c r="B957" s="86"/>
      <c r="C957" s="22"/>
      <c r="E957" s="21"/>
      <c r="F957" s="84"/>
      <c r="G957" s="84"/>
    </row>
    <row r="958" spans="1:7" ht="15.75" customHeight="1">
      <c r="A958" s="20"/>
      <c r="B958" s="86"/>
      <c r="C958" s="22"/>
      <c r="E958" s="21"/>
      <c r="F958" s="84"/>
      <c r="G958" s="84"/>
    </row>
    <row r="959" spans="1:7" ht="15.75" customHeight="1">
      <c r="A959" s="20"/>
      <c r="B959" s="86"/>
      <c r="C959" s="22"/>
      <c r="E959" s="21"/>
      <c r="F959" s="84"/>
      <c r="G959" s="84"/>
    </row>
    <row r="960" spans="1:7" ht="15.75" customHeight="1">
      <c r="A960" s="20"/>
      <c r="B960" s="86"/>
      <c r="C960" s="22"/>
      <c r="E960" s="21"/>
      <c r="F960" s="84"/>
      <c r="G960" s="84"/>
    </row>
    <row r="961" spans="1:7" ht="15.75" customHeight="1">
      <c r="A961" s="20"/>
      <c r="B961" s="86"/>
      <c r="C961" s="22"/>
      <c r="E961" s="21"/>
      <c r="F961" s="84"/>
      <c r="G961" s="84"/>
    </row>
    <row r="962" spans="1:7" ht="15.75" customHeight="1">
      <c r="A962" s="20"/>
      <c r="B962" s="86"/>
      <c r="C962" s="22"/>
      <c r="E962" s="21"/>
      <c r="F962" s="84"/>
      <c r="G962" s="84"/>
    </row>
    <row r="963" spans="1:7" ht="15.75" customHeight="1">
      <c r="A963" s="20"/>
      <c r="B963" s="86"/>
      <c r="C963" s="22"/>
      <c r="E963" s="21"/>
      <c r="F963" s="84"/>
      <c r="G963" s="84"/>
    </row>
    <row r="964" spans="1:7" ht="15.75" customHeight="1">
      <c r="A964" s="20"/>
      <c r="B964" s="86"/>
      <c r="C964" s="22"/>
      <c r="E964" s="21"/>
      <c r="F964" s="84"/>
      <c r="G964" s="84"/>
    </row>
    <row r="965" spans="1:7" ht="15.75" customHeight="1">
      <c r="A965" s="20"/>
      <c r="B965" s="86"/>
      <c r="C965" s="22"/>
      <c r="E965" s="21"/>
      <c r="F965" s="84"/>
      <c r="G965" s="84"/>
    </row>
    <row r="966" spans="1:7" ht="15.75" customHeight="1">
      <c r="A966" s="20"/>
      <c r="B966" s="86"/>
      <c r="C966" s="22"/>
      <c r="E966" s="21"/>
      <c r="F966" s="84"/>
      <c r="G966" s="84"/>
    </row>
    <row r="967" spans="1:7" ht="15.75" customHeight="1">
      <c r="A967" s="20"/>
      <c r="B967" s="86"/>
      <c r="C967" s="22"/>
      <c r="E967" s="21"/>
      <c r="F967" s="84"/>
      <c r="G967" s="84"/>
    </row>
    <row r="968" spans="1:7" ht="15.75" customHeight="1">
      <c r="A968" s="20"/>
      <c r="B968" s="86"/>
      <c r="C968" s="22"/>
      <c r="E968" s="21"/>
      <c r="F968" s="84"/>
      <c r="G968" s="84"/>
    </row>
    <row r="969" spans="1:7" ht="15.75" customHeight="1">
      <c r="A969" s="20"/>
      <c r="B969" s="86"/>
      <c r="C969" s="22"/>
      <c r="E969" s="21"/>
      <c r="F969" s="84"/>
      <c r="G969" s="84"/>
    </row>
    <row r="970" spans="1:7" ht="15.75" customHeight="1">
      <c r="A970" s="20"/>
      <c r="B970" s="86"/>
      <c r="C970" s="22"/>
      <c r="E970" s="21"/>
      <c r="F970" s="84"/>
      <c r="G970" s="84"/>
    </row>
    <row r="971" spans="1:7" ht="15.75" customHeight="1">
      <c r="A971" s="20"/>
      <c r="B971" s="86"/>
      <c r="C971" s="22"/>
      <c r="E971" s="21"/>
      <c r="F971" s="84"/>
      <c r="G971" s="84"/>
    </row>
    <row r="972" spans="1:7" ht="15.75" customHeight="1">
      <c r="A972" s="20"/>
      <c r="B972" s="86"/>
      <c r="C972" s="22"/>
      <c r="E972" s="21"/>
      <c r="F972" s="84"/>
      <c r="G972" s="84"/>
    </row>
    <row r="973" spans="1:7" ht="15.75" customHeight="1">
      <c r="A973" s="20"/>
      <c r="B973" s="86"/>
      <c r="C973" s="22"/>
      <c r="E973" s="21"/>
      <c r="F973" s="84"/>
      <c r="G973" s="84"/>
    </row>
    <row r="974" spans="1:7" ht="15.75" customHeight="1">
      <c r="A974" s="20"/>
      <c r="B974" s="86"/>
      <c r="C974" s="22"/>
      <c r="E974" s="21"/>
      <c r="F974" s="84"/>
      <c r="G974" s="84"/>
    </row>
    <row r="975" spans="1:7" ht="15.75" customHeight="1">
      <c r="A975" s="20"/>
      <c r="B975" s="86"/>
      <c r="C975" s="22"/>
      <c r="E975" s="21"/>
      <c r="F975" s="84"/>
      <c r="G975" s="84"/>
    </row>
    <row r="976" spans="1:7" ht="15.75" customHeight="1">
      <c r="A976" s="20"/>
      <c r="B976" s="86"/>
      <c r="C976" s="22"/>
      <c r="E976" s="21"/>
      <c r="F976" s="84"/>
      <c r="G976" s="84"/>
    </row>
    <row r="977" spans="1:7" ht="15.75" customHeight="1">
      <c r="A977" s="20"/>
      <c r="B977" s="86"/>
      <c r="C977" s="22"/>
      <c r="E977" s="21"/>
      <c r="F977" s="84"/>
      <c r="G977" s="84"/>
    </row>
    <row r="978" spans="1:7" ht="15.75" customHeight="1">
      <c r="A978" s="20"/>
      <c r="B978" s="86"/>
      <c r="C978" s="22"/>
      <c r="E978" s="21"/>
      <c r="F978" s="84"/>
      <c r="G978" s="84"/>
    </row>
    <row r="979" spans="1:7" ht="15.75" customHeight="1">
      <c r="A979" s="20"/>
      <c r="B979" s="86"/>
      <c r="C979" s="22"/>
      <c r="E979" s="21"/>
      <c r="F979" s="84"/>
      <c r="G979" s="84"/>
    </row>
    <row r="980" spans="1:7" ht="15.75" customHeight="1">
      <c r="A980" s="20"/>
      <c r="B980" s="86"/>
      <c r="C980" s="22"/>
      <c r="E980" s="21"/>
      <c r="F980" s="84"/>
      <c r="G980" s="84"/>
    </row>
    <row r="981" spans="1:7" ht="15.75" customHeight="1">
      <c r="A981" s="20"/>
      <c r="B981" s="86"/>
      <c r="C981" s="22"/>
      <c r="E981" s="21"/>
      <c r="F981" s="84"/>
      <c r="G981" s="84"/>
    </row>
    <row r="982" spans="1:7" ht="15.75" customHeight="1">
      <c r="A982" s="20"/>
      <c r="B982" s="86"/>
      <c r="C982" s="22"/>
      <c r="E982" s="21"/>
      <c r="F982" s="84"/>
      <c r="G982" s="84"/>
    </row>
    <row r="983" spans="1:7" ht="15.75" customHeight="1">
      <c r="A983" s="20"/>
      <c r="B983" s="86"/>
      <c r="C983" s="22"/>
      <c r="E983" s="21"/>
      <c r="F983" s="84"/>
      <c r="G983" s="84"/>
    </row>
    <row r="984" spans="1:7" ht="15.75" customHeight="1">
      <c r="A984" s="20"/>
      <c r="B984" s="86"/>
      <c r="C984" s="22"/>
      <c r="E984" s="21"/>
      <c r="F984" s="84"/>
      <c r="G984" s="84"/>
    </row>
    <row r="985" spans="1:7" ht="15.75" customHeight="1">
      <c r="A985" s="20"/>
      <c r="B985" s="86"/>
      <c r="C985" s="22"/>
      <c r="E985" s="21"/>
      <c r="F985" s="84"/>
      <c r="G985" s="84"/>
    </row>
    <row r="986" spans="1:7" ht="15.75" customHeight="1">
      <c r="A986" s="20"/>
      <c r="B986" s="86"/>
      <c r="C986" s="22"/>
      <c r="E986" s="21"/>
      <c r="F986" s="84"/>
      <c r="G986" s="84"/>
    </row>
    <row r="987" spans="1:7" ht="15.75" customHeight="1">
      <c r="A987" s="20"/>
      <c r="B987" s="86"/>
      <c r="C987" s="22"/>
      <c r="E987" s="21"/>
      <c r="F987" s="84"/>
      <c r="G987" s="84"/>
    </row>
    <row r="988" spans="1:7" ht="15.75" customHeight="1">
      <c r="A988" s="20"/>
      <c r="B988" s="86"/>
      <c r="C988" s="22"/>
      <c r="E988" s="21"/>
      <c r="F988" s="84"/>
      <c r="G988" s="84"/>
    </row>
    <row r="989" spans="1:7" ht="15.75" customHeight="1">
      <c r="A989" s="20"/>
      <c r="B989" s="86"/>
      <c r="C989" s="22"/>
      <c r="E989" s="21"/>
      <c r="F989" s="84"/>
      <c r="G989" s="84"/>
    </row>
    <row r="990" spans="1:7" ht="15.75" customHeight="1">
      <c r="A990" s="20"/>
      <c r="B990" s="86"/>
      <c r="C990" s="22"/>
      <c r="E990" s="21"/>
      <c r="F990" s="84"/>
      <c r="G990" s="84"/>
    </row>
    <row r="991" spans="1:7" ht="15.75" customHeight="1">
      <c r="A991" s="20"/>
      <c r="B991" s="86"/>
      <c r="C991" s="22"/>
      <c r="E991" s="21"/>
      <c r="F991" s="84"/>
      <c r="G991" s="84"/>
    </row>
    <row r="992" spans="1:7" ht="15.75" customHeight="1">
      <c r="A992" s="20"/>
      <c r="B992" s="86"/>
      <c r="C992" s="22"/>
      <c r="E992" s="21"/>
      <c r="F992" s="84"/>
      <c r="G992" s="84"/>
    </row>
    <row r="993" spans="1:7" ht="15.75" customHeight="1">
      <c r="A993" s="20"/>
      <c r="B993" s="86"/>
      <c r="C993" s="22"/>
      <c r="E993" s="21"/>
      <c r="F993" s="84"/>
      <c r="G993" s="84"/>
    </row>
    <row r="994" spans="1:7" ht="15.75" customHeight="1">
      <c r="A994" s="20"/>
      <c r="B994" s="86"/>
      <c r="C994" s="22"/>
      <c r="E994" s="21"/>
      <c r="F994" s="84"/>
      <c r="G994" s="84"/>
    </row>
    <row r="995" spans="1:7" ht="15.75" customHeight="1">
      <c r="A995" s="20"/>
      <c r="B995" s="86"/>
      <c r="C995" s="22"/>
      <c r="E995" s="21"/>
      <c r="F995" s="84"/>
      <c r="G995" s="84"/>
    </row>
    <row r="996" spans="1:7" ht="15.75" customHeight="1">
      <c r="A996" s="20"/>
      <c r="B996" s="86"/>
      <c r="C996" s="22"/>
      <c r="E996" s="21"/>
      <c r="F996" s="84"/>
      <c r="G996" s="84"/>
    </row>
    <row r="997" spans="1:7" ht="15.75" customHeight="1">
      <c r="A997" s="20"/>
      <c r="B997" s="86"/>
      <c r="C997" s="22"/>
      <c r="E997" s="21"/>
      <c r="F997" s="84"/>
      <c r="G997" s="84"/>
    </row>
    <row r="998" spans="1:7" ht="15.75" customHeight="1">
      <c r="A998" s="20"/>
      <c r="B998" s="86"/>
      <c r="C998" s="22"/>
      <c r="E998" s="21"/>
      <c r="F998" s="84"/>
      <c r="G998" s="84"/>
    </row>
    <row r="999" spans="1:7" ht="15.75" customHeight="1">
      <c r="A999" s="20"/>
      <c r="B999" s="86"/>
      <c r="C999" s="22"/>
      <c r="E999" s="21"/>
      <c r="F999" s="84"/>
      <c r="G999" s="84"/>
    </row>
    <row r="1000" spans="1:7" ht="15.75" customHeight="1">
      <c r="A1000" s="20"/>
      <c r="B1000" s="86"/>
      <c r="C1000" s="22"/>
      <c r="E1000" s="21"/>
      <c r="F1000" s="84"/>
      <c r="G1000" s="84"/>
    </row>
    <row r="1001" spans="1:7" ht="15.75" customHeight="1">
      <c r="A1001" s="20"/>
      <c r="B1001" s="86"/>
      <c r="C1001" s="22"/>
      <c r="E1001" s="21"/>
      <c r="F1001" s="84"/>
      <c r="G1001" s="84"/>
    </row>
    <row r="1002" spans="1:7" ht="15.75" customHeight="1">
      <c r="A1002" s="20"/>
      <c r="B1002" s="86"/>
      <c r="C1002" s="22"/>
      <c r="E1002" s="21"/>
      <c r="F1002" s="84"/>
      <c r="G1002" s="84"/>
    </row>
    <row r="1003" spans="1:7" ht="15.75" customHeight="1">
      <c r="A1003" s="20"/>
      <c r="B1003" s="86"/>
      <c r="C1003" s="22"/>
      <c r="E1003" s="21"/>
      <c r="F1003" s="84"/>
      <c r="G1003" s="84"/>
    </row>
    <row r="1004" spans="1:7" ht="15.75" customHeight="1">
      <c r="A1004" s="20"/>
      <c r="B1004" s="86"/>
      <c r="C1004" s="22"/>
      <c r="E1004" s="21"/>
      <c r="F1004" s="84"/>
      <c r="G1004" s="84"/>
    </row>
    <row r="1005" spans="1:7" ht="15.75" customHeight="1">
      <c r="A1005" s="20"/>
      <c r="B1005" s="86"/>
      <c r="C1005" s="22"/>
      <c r="E1005" s="21"/>
      <c r="F1005" s="84"/>
      <c r="G1005" s="84"/>
    </row>
    <row r="1006" spans="1:7" ht="15.75" customHeight="1">
      <c r="A1006" s="20"/>
      <c r="B1006" s="86"/>
      <c r="C1006" s="22"/>
      <c r="E1006" s="21"/>
      <c r="F1006" s="84"/>
      <c r="G1006" s="84"/>
    </row>
    <row r="1007" spans="1:7" ht="15.75" customHeight="1">
      <c r="A1007" s="20"/>
      <c r="B1007" s="86"/>
      <c r="C1007" s="22"/>
      <c r="E1007" s="21"/>
      <c r="F1007" s="84"/>
      <c r="G1007" s="84"/>
    </row>
    <row r="1008" spans="1:7" ht="15.75" customHeight="1">
      <c r="A1008" s="20"/>
      <c r="B1008" s="86"/>
      <c r="C1008" s="22"/>
      <c r="E1008" s="21"/>
      <c r="F1008" s="84"/>
      <c r="G1008" s="84"/>
    </row>
    <row r="1009" spans="1:7" ht="15.75" customHeight="1">
      <c r="A1009" s="20"/>
      <c r="B1009" s="86"/>
      <c r="C1009" s="22"/>
      <c r="E1009" s="21"/>
      <c r="F1009" s="84"/>
      <c r="G1009" s="84"/>
    </row>
    <row r="1010" spans="1:7" ht="15.75" customHeight="1">
      <c r="A1010" s="20"/>
      <c r="B1010" s="86"/>
      <c r="C1010" s="22"/>
      <c r="E1010" s="21"/>
      <c r="F1010" s="84"/>
      <c r="G1010" s="84"/>
    </row>
    <row r="1011" spans="1:7" ht="15.75" customHeight="1">
      <c r="A1011" s="20"/>
      <c r="B1011" s="86"/>
      <c r="C1011" s="22"/>
      <c r="E1011" s="21"/>
      <c r="F1011" s="84"/>
      <c r="G1011" s="84"/>
    </row>
    <row r="1012" spans="1:7" ht="15.75" customHeight="1">
      <c r="A1012" s="20"/>
      <c r="B1012" s="86"/>
      <c r="C1012" s="22"/>
      <c r="E1012" s="21"/>
      <c r="F1012" s="84"/>
      <c r="G1012" s="84"/>
    </row>
    <row r="1013" spans="1:7" ht="15.75" customHeight="1">
      <c r="A1013" s="20"/>
      <c r="B1013" s="21"/>
      <c r="C1013" s="22"/>
      <c r="E1013" s="21"/>
      <c r="F1013" s="84"/>
      <c r="G1013" s="84"/>
    </row>
    <row r="1014" spans="1:7" ht="15.75" customHeight="1">
      <c r="A1014" s="20"/>
      <c r="B1014" s="21"/>
      <c r="C1014" s="22"/>
      <c r="E1014" s="21"/>
      <c r="F1014" s="84"/>
      <c r="G1014" s="84"/>
    </row>
    <row r="1015" spans="1:7" ht="15.75" customHeight="1">
      <c r="A1015" s="20"/>
      <c r="B1015" s="21"/>
      <c r="C1015" s="22"/>
      <c r="E1015" s="21"/>
      <c r="F1015" s="84"/>
      <c r="G1015" s="84"/>
    </row>
    <row r="1016" spans="1:7" ht="15.75" customHeight="1">
      <c r="A1016" s="20"/>
      <c r="B1016" s="21"/>
      <c r="C1016" s="22"/>
      <c r="E1016" s="21"/>
      <c r="F1016" s="84"/>
      <c r="G1016" s="84"/>
    </row>
  </sheetData>
  <autoFilter ref="E1:E1016"/>
  <pageMargins left="0.78749999999999998" right="0.78749999999999998" top="1.0249999999999999" bottom="1.0249999999999999" header="0" footer="0"/>
  <pageSetup paperSize="9" scale="0" orientation="portrait"/>
  <headerFooter>
    <oddHeader>&amp;C&amp;A</oddHeader>
    <oddFooter>&amp;CPagina &amp;P</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24"/>
  <sheetViews>
    <sheetView workbookViewId="0"/>
  </sheetViews>
  <sheetFormatPr defaultColWidth="11.20703125" defaultRowHeight="15" customHeight="1"/>
  <cols>
    <col min="2" max="2" width="204.4140625" customWidth="1"/>
  </cols>
  <sheetData>
    <row r="1" spans="1:2" ht="15" customHeight="1">
      <c r="A1" s="87" t="s">
        <v>0</v>
      </c>
      <c r="B1" s="88" t="s">
        <v>627</v>
      </c>
    </row>
    <row r="2" spans="1:2">
      <c r="A2" s="8" t="s">
        <v>5</v>
      </c>
      <c r="B2" s="8" t="s">
        <v>758</v>
      </c>
    </row>
    <row r="3" spans="1:2">
      <c r="A3" s="8" t="s">
        <v>9</v>
      </c>
      <c r="B3" s="8" t="s">
        <v>759</v>
      </c>
    </row>
    <row r="4" spans="1:2">
      <c r="A4" s="8" t="s">
        <v>13</v>
      </c>
      <c r="B4" s="8" t="s">
        <v>760</v>
      </c>
    </row>
    <row r="5" spans="1:2">
      <c r="A5" s="8" t="s">
        <v>17</v>
      </c>
      <c r="B5" s="8" t="s">
        <v>761</v>
      </c>
    </row>
    <row r="6" spans="1:2">
      <c r="A6" s="8" t="s">
        <v>21</v>
      </c>
      <c r="B6" s="8" t="s">
        <v>762</v>
      </c>
    </row>
    <row r="7" spans="1:2">
      <c r="A7" s="8" t="s">
        <v>25</v>
      </c>
      <c r="B7" s="8" t="s">
        <v>763</v>
      </c>
    </row>
    <row r="8" spans="1:2">
      <c r="A8" s="8" t="s">
        <v>29</v>
      </c>
      <c r="B8" s="8" t="s">
        <v>764</v>
      </c>
    </row>
    <row r="9" spans="1:2">
      <c r="A9" s="8" t="s">
        <v>32</v>
      </c>
      <c r="B9" s="8" t="s">
        <v>765</v>
      </c>
    </row>
    <row r="10" spans="1:2">
      <c r="A10" s="8" t="s">
        <v>36</v>
      </c>
      <c r="B10" s="8" t="s">
        <v>766</v>
      </c>
    </row>
    <row r="11" spans="1:2">
      <c r="A11" s="8" t="s">
        <v>40</v>
      </c>
      <c r="B11" s="8" t="s">
        <v>767</v>
      </c>
    </row>
    <row r="12" spans="1:2">
      <c r="A12" s="8" t="s">
        <v>44</v>
      </c>
      <c r="B12" s="8" t="s">
        <v>768</v>
      </c>
    </row>
    <row r="13" spans="1:2">
      <c r="A13" s="8" t="s">
        <v>48</v>
      </c>
      <c r="B13" s="8" t="s">
        <v>769</v>
      </c>
    </row>
    <row r="14" spans="1:2">
      <c r="A14" s="8" t="s">
        <v>52</v>
      </c>
      <c r="B14" s="8" t="s">
        <v>770</v>
      </c>
    </row>
    <row r="15" spans="1:2">
      <c r="A15" s="8" t="s">
        <v>56</v>
      </c>
      <c r="B15" s="8" t="s">
        <v>771</v>
      </c>
    </row>
    <row r="16" spans="1:2">
      <c r="A16" s="8" t="s">
        <v>60</v>
      </c>
      <c r="B16" s="8" t="s">
        <v>772</v>
      </c>
    </row>
    <row r="17" spans="1:2">
      <c r="A17" s="8" t="s">
        <v>64</v>
      </c>
      <c r="B17" s="8" t="s">
        <v>773</v>
      </c>
    </row>
    <row r="18" spans="1:2">
      <c r="A18" s="8" t="s">
        <v>68</v>
      </c>
      <c r="B18" s="8" t="s">
        <v>774</v>
      </c>
    </row>
    <row r="19" spans="1:2">
      <c r="A19" s="8" t="s">
        <v>72</v>
      </c>
      <c r="B19" s="8" t="s">
        <v>775</v>
      </c>
    </row>
    <row r="20" spans="1:2" ht="15.5">
      <c r="A20" s="8" t="s">
        <v>76</v>
      </c>
      <c r="B20" s="8" t="s">
        <v>776</v>
      </c>
    </row>
    <row r="21" spans="1:2" ht="15.5">
      <c r="A21" s="8" t="s">
        <v>80</v>
      </c>
      <c r="B21" s="8" t="s">
        <v>777</v>
      </c>
    </row>
    <row r="22" spans="1:2" ht="15.5">
      <c r="A22" s="8" t="s">
        <v>84</v>
      </c>
      <c r="B22" s="8" t="s">
        <v>778</v>
      </c>
    </row>
    <row r="23" spans="1:2" ht="15.5">
      <c r="A23" s="8" t="s">
        <v>88</v>
      </c>
      <c r="B23" s="8" t="s">
        <v>779</v>
      </c>
    </row>
    <row r="24" spans="1:2" ht="15.5">
      <c r="A24" s="8" t="s">
        <v>92</v>
      </c>
      <c r="B24" s="8" t="s">
        <v>780</v>
      </c>
    </row>
    <row r="25" spans="1:2" ht="15.5">
      <c r="A25" s="8" t="s">
        <v>96</v>
      </c>
      <c r="B25" s="8" t="s">
        <v>781</v>
      </c>
    </row>
    <row r="26" spans="1:2" ht="15.5">
      <c r="A26" s="8" t="s">
        <v>100</v>
      </c>
      <c r="B26" s="8" t="s">
        <v>782</v>
      </c>
    </row>
    <row r="27" spans="1:2" ht="15.5">
      <c r="A27" s="8" t="s">
        <v>104</v>
      </c>
      <c r="B27" s="8" t="s">
        <v>783</v>
      </c>
    </row>
    <row r="28" spans="1:2" ht="15.5">
      <c r="A28" s="8" t="s">
        <v>108</v>
      </c>
      <c r="B28" s="8" t="s">
        <v>784</v>
      </c>
    </row>
    <row r="29" spans="1:2" ht="15.5">
      <c r="A29" s="8" t="s">
        <v>112</v>
      </c>
      <c r="B29" s="8" t="s">
        <v>785</v>
      </c>
    </row>
    <row r="30" spans="1:2" ht="15.5">
      <c r="A30" s="8" t="s">
        <v>116</v>
      </c>
      <c r="B30" s="8" t="s">
        <v>786</v>
      </c>
    </row>
    <row r="31" spans="1:2" ht="15.5">
      <c r="A31" s="8" t="s">
        <v>119</v>
      </c>
      <c r="B31" s="8" t="s">
        <v>787</v>
      </c>
    </row>
    <row r="32" spans="1:2" ht="15.5">
      <c r="A32" s="8" t="s">
        <v>123</v>
      </c>
      <c r="B32" s="8" t="s">
        <v>788</v>
      </c>
    </row>
    <row r="33" spans="1:2" ht="15.5">
      <c r="A33" s="8" t="s">
        <v>127</v>
      </c>
      <c r="B33" s="8" t="s">
        <v>789</v>
      </c>
    </row>
    <row r="34" spans="1:2" ht="15.5">
      <c r="A34" s="8" t="s">
        <v>131</v>
      </c>
      <c r="B34" s="8" t="s">
        <v>790</v>
      </c>
    </row>
    <row r="35" spans="1:2" ht="15.5">
      <c r="A35" s="8" t="s">
        <v>135</v>
      </c>
      <c r="B35" s="8" t="s">
        <v>791</v>
      </c>
    </row>
    <row r="36" spans="1:2" ht="15.5">
      <c r="A36" s="8" t="s">
        <v>139</v>
      </c>
      <c r="B36" s="8" t="s">
        <v>792</v>
      </c>
    </row>
    <row r="37" spans="1:2" ht="15.5">
      <c r="A37" s="8" t="s">
        <v>143</v>
      </c>
      <c r="B37" s="8" t="s">
        <v>793</v>
      </c>
    </row>
    <row r="38" spans="1:2" ht="15.5">
      <c r="A38" s="8" t="s">
        <v>147</v>
      </c>
      <c r="B38" s="8" t="s">
        <v>794</v>
      </c>
    </row>
    <row r="39" spans="1:2" ht="15.5">
      <c r="A39" s="8" t="s">
        <v>151</v>
      </c>
      <c r="B39" s="8" t="s">
        <v>795</v>
      </c>
    </row>
    <row r="40" spans="1:2" ht="15.5">
      <c r="A40" s="8" t="s">
        <v>155</v>
      </c>
      <c r="B40" s="8" t="s">
        <v>796</v>
      </c>
    </row>
    <row r="41" spans="1:2" ht="15.5">
      <c r="A41" s="8" t="s">
        <v>159</v>
      </c>
      <c r="B41" s="8" t="s">
        <v>797</v>
      </c>
    </row>
    <row r="42" spans="1:2" ht="15.5">
      <c r="A42" s="8" t="s">
        <v>163</v>
      </c>
      <c r="B42" s="8" t="s">
        <v>798</v>
      </c>
    </row>
    <row r="43" spans="1:2" ht="15.5">
      <c r="A43" s="8" t="s">
        <v>167</v>
      </c>
      <c r="B43" s="8" t="s">
        <v>799</v>
      </c>
    </row>
    <row r="44" spans="1:2" ht="15.5">
      <c r="A44" s="8" t="s">
        <v>171</v>
      </c>
      <c r="B44" s="8" t="s">
        <v>800</v>
      </c>
    </row>
    <row r="45" spans="1:2" ht="15.5">
      <c r="A45" s="8" t="s">
        <v>175</v>
      </c>
      <c r="B45" s="8" t="s">
        <v>801</v>
      </c>
    </row>
    <row r="46" spans="1:2" ht="15.5">
      <c r="A46" s="8" t="s">
        <v>179</v>
      </c>
      <c r="B46" s="8" t="s">
        <v>802</v>
      </c>
    </row>
    <row r="47" spans="1:2" ht="15.5">
      <c r="A47" s="8" t="s">
        <v>183</v>
      </c>
      <c r="B47" s="8" t="s">
        <v>803</v>
      </c>
    </row>
    <row r="48" spans="1:2" ht="15.5">
      <c r="A48" s="8" t="s">
        <v>187</v>
      </c>
      <c r="B48" s="8" t="s">
        <v>679</v>
      </c>
    </row>
    <row r="49" spans="1:2" ht="15.5">
      <c r="A49" s="8" t="s">
        <v>191</v>
      </c>
      <c r="B49" s="8" t="s">
        <v>804</v>
      </c>
    </row>
    <row r="50" spans="1:2" ht="15.5">
      <c r="A50" s="8" t="s">
        <v>195</v>
      </c>
      <c r="B50" s="8" t="s">
        <v>805</v>
      </c>
    </row>
    <row r="51" spans="1:2" ht="15.5">
      <c r="A51" s="8" t="s">
        <v>199</v>
      </c>
      <c r="B51" s="8" t="s">
        <v>806</v>
      </c>
    </row>
    <row r="52" spans="1:2" ht="15.5">
      <c r="A52" s="8" t="s">
        <v>203</v>
      </c>
      <c r="B52" s="8" t="s">
        <v>683</v>
      </c>
    </row>
    <row r="53" spans="1:2" ht="15.5">
      <c r="A53" s="8" t="s">
        <v>207</v>
      </c>
      <c r="B53" s="8" t="s">
        <v>684</v>
      </c>
    </row>
    <row r="54" spans="1:2" ht="15.5">
      <c r="A54" s="8" t="s">
        <v>211</v>
      </c>
      <c r="B54" s="8" t="s">
        <v>807</v>
      </c>
    </row>
    <row r="55" spans="1:2" ht="15.5">
      <c r="A55" s="8" t="s">
        <v>215</v>
      </c>
      <c r="B55" s="8" t="s">
        <v>808</v>
      </c>
    </row>
    <row r="56" spans="1:2" ht="15.5">
      <c r="A56" s="8" t="s">
        <v>219</v>
      </c>
      <c r="B56" s="8" t="s">
        <v>809</v>
      </c>
    </row>
    <row r="57" spans="1:2" ht="15.5">
      <c r="A57" s="8" t="s">
        <v>223</v>
      </c>
      <c r="B57" s="8" t="s">
        <v>810</v>
      </c>
    </row>
    <row r="58" spans="1:2" ht="15.5">
      <c r="A58" s="8" t="s">
        <v>227</v>
      </c>
      <c r="B58" s="8" t="s">
        <v>811</v>
      </c>
    </row>
    <row r="59" spans="1:2" ht="15.5">
      <c r="A59" s="8" t="s">
        <v>231</v>
      </c>
      <c r="B59" s="8" t="s">
        <v>812</v>
      </c>
    </row>
    <row r="60" spans="1:2" ht="15.5">
      <c r="A60" s="8" t="s">
        <v>235</v>
      </c>
      <c r="B60" s="8" t="s">
        <v>813</v>
      </c>
    </row>
    <row r="61" spans="1:2" ht="15.5">
      <c r="A61" s="8" t="s">
        <v>239</v>
      </c>
      <c r="B61" s="8" t="s">
        <v>814</v>
      </c>
    </row>
    <row r="62" spans="1:2" ht="15.5">
      <c r="A62" s="8" t="s">
        <v>243</v>
      </c>
      <c r="B62" s="8" t="s">
        <v>815</v>
      </c>
    </row>
    <row r="63" spans="1:2" ht="15.5">
      <c r="A63" s="8" t="s">
        <v>247</v>
      </c>
      <c r="B63" s="8" t="s">
        <v>816</v>
      </c>
    </row>
    <row r="64" spans="1:2" ht="15.5">
      <c r="A64" s="8" t="s">
        <v>251</v>
      </c>
      <c r="B64" s="8" t="s">
        <v>817</v>
      </c>
    </row>
    <row r="65" spans="1:2" ht="15.5">
      <c r="A65" s="8" t="s">
        <v>255</v>
      </c>
      <c r="B65" s="8" t="s">
        <v>818</v>
      </c>
    </row>
    <row r="66" spans="1:2" ht="15.5">
      <c r="A66" s="8" t="s">
        <v>259</v>
      </c>
      <c r="B66" s="8" t="s">
        <v>819</v>
      </c>
    </row>
    <row r="67" spans="1:2" ht="15.5">
      <c r="A67" s="8" t="s">
        <v>263</v>
      </c>
      <c r="B67" s="8" t="s">
        <v>820</v>
      </c>
    </row>
    <row r="68" spans="1:2" ht="15.5">
      <c r="A68" s="8" t="s">
        <v>267</v>
      </c>
      <c r="B68" s="8" t="s">
        <v>821</v>
      </c>
    </row>
    <row r="69" spans="1:2" ht="15.5">
      <c r="A69" s="8" t="s">
        <v>271</v>
      </c>
      <c r="B69" s="8" t="s">
        <v>822</v>
      </c>
    </row>
    <row r="70" spans="1:2" ht="15.5">
      <c r="A70" s="8" t="s">
        <v>275</v>
      </c>
      <c r="B70" s="8" t="s">
        <v>823</v>
      </c>
    </row>
    <row r="71" spans="1:2" ht="15.5">
      <c r="A71" s="8" t="s">
        <v>279</v>
      </c>
      <c r="B71" s="8" t="s">
        <v>824</v>
      </c>
    </row>
    <row r="72" spans="1:2" ht="15.5">
      <c r="A72" s="8" t="s">
        <v>283</v>
      </c>
      <c r="B72" s="8" t="s">
        <v>825</v>
      </c>
    </row>
    <row r="73" spans="1:2" ht="15.5">
      <c r="A73" s="8" t="s">
        <v>287</v>
      </c>
      <c r="B73" s="8" t="s">
        <v>826</v>
      </c>
    </row>
    <row r="74" spans="1:2" ht="15.5">
      <c r="A74" s="8" t="s">
        <v>291</v>
      </c>
      <c r="B74" s="8" t="s">
        <v>827</v>
      </c>
    </row>
    <row r="75" spans="1:2" ht="15.5">
      <c r="A75" s="8" t="s">
        <v>295</v>
      </c>
      <c r="B75" s="8" t="s">
        <v>828</v>
      </c>
    </row>
    <row r="76" spans="1:2" ht="15.5">
      <c r="A76" s="8" t="s">
        <v>299</v>
      </c>
      <c r="B76" s="8" t="s">
        <v>829</v>
      </c>
    </row>
    <row r="77" spans="1:2" ht="15.5">
      <c r="A77" s="8" t="s">
        <v>303</v>
      </c>
      <c r="B77" s="8" t="s">
        <v>830</v>
      </c>
    </row>
    <row r="78" spans="1:2" ht="15.5">
      <c r="A78" s="8" t="s">
        <v>307</v>
      </c>
      <c r="B78" s="8" t="s">
        <v>831</v>
      </c>
    </row>
    <row r="79" spans="1:2" ht="15.5">
      <c r="A79" s="8" t="s">
        <v>311</v>
      </c>
      <c r="B79" s="8" t="s">
        <v>832</v>
      </c>
    </row>
    <row r="80" spans="1:2" ht="15.5">
      <c r="A80" s="8" t="s">
        <v>315</v>
      </c>
      <c r="B80" s="8" t="s">
        <v>833</v>
      </c>
    </row>
    <row r="81" spans="1:2" ht="15.5">
      <c r="A81" s="8" t="s">
        <v>319</v>
      </c>
      <c r="B81" s="8" t="s">
        <v>834</v>
      </c>
    </row>
    <row r="82" spans="1:2" ht="15.5">
      <c r="A82" s="8" t="s">
        <v>323</v>
      </c>
      <c r="B82" s="8" t="s">
        <v>835</v>
      </c>
    </row>
    <row r="83" spans="1:2" ht="15.5">
      <c r="A83" s="8" t="s">
        <v>327</v>
      </c>
      <c r="B83" s="8" t="s">
        <v>836</v>
      </c>
    </row>
    <row r="84" spans="1:2" ht="15.5">
      <c r="A84" s="8" t="s">
        <v>331</v>
      </c>
      <c r="B84" s="8" t="s">
        <v>837</v>
      </c>
    </row>
    <row r="85" spans="1:2" ht="15.5">
      <c r="A85" s="8" t="s">
        <v>335</v>
      </c>
      <c r="B85" s="8" t="s">
        <v>838</v>
      </c>
    </row>
    <row r="86" spans="1:2" ht="15.5">
      <c r="A86" s="8" t="s">
        <v>338</v>
      </c>
      <c r="B86" s="8" t="s">
        <v>839</v>
      </c>
    </row>
    <row r="87" spans="1:2" ht="15.5">
      <c r="A87" s="8" t="s">
        <v>366</v>
      </c>
      <c r="B87" s="8" t="s">
        <v>719</v>
      </c>
    </row>
    <row r="88" spans="1:2" ht="15.5">
      <c r="A88" s="8" t="s">
        <v>370</v>
      </c>
      <c r="B88" s="8" t="s">
        <v>840</v>
      </c>
    </row>
    <row r="89" spans="1:2" ht="15.5">
      <c r="A89" s="8" t="s">
        <v>374</v>
      </c>
      <c r="B89" s="8" t="s">
        <v>841</v>
      </c>
    </row>
    <row r="90" spans="1:2" ht="15.5">
      <c r="A90" s="8" t="s">
        <v>378</v>
      </c>
      <c r="B90" s="8" t="s">
        <v>722</v>
      </c>
    </row>
    <row r="91" spans="1:2" ht="15.5">
      <c r="A91" s="8" t="s">
        <v>382</v>
      </c>
      <c r="B91" s="8" t="s">
        <v>842</v>
      </c>
    </row>
    <row r="92" spans="1:2" ht="15.5">
      <c r="A92" s="8" t="s">
        <v>386</v>
      </c>
      <c r="B92" s="8" t="s">
        <v>843</v>
      </c>
    </row>
    <row r="93" spans="1:2" ht="15.5">
      <c r="A93" s="8" t="s">
        <v>390</v>
      </c>
      <c r="B93" s="8" t="s">
        <v>844</v>
      </c>
    </row>
    <row r="94" spans="1:2" ht="15.5">
      <c r="A94" s="8" t="s">
        <v>394</v>
      </c>
      <c r="B94" s="8" t="s">
        <v>845</v>
      </c>
    </row>
    <row r="95" spans="1:2" ht="15.5">
      <c r="A95" s="8" t="s">
        <v>398</v>
      </c>
      <c r="B95" s="8" t="s">
        <v>846</v>
      </c>
    </row>
    <row r="96" spans="1:2" ht="15.5">
      <c r="A96" s="8" t="s">
        <v>402</v>
      </c>
      <c r="B96" s="8" t="s">
        <v>847</v>
      </c>
    </row>
    <row r="97" spans="1:2" ht="15.5">
      <c r="A97" s="8" t="s">
        <v>406</v>
      </c>
      <c r="B97" s="8" t="s">
        <v>848</v>
      </c>
    </row>
    <row r="98" spans="1:2" ht="15.5">
      <c r="A98" s="8" t="s">
        <v>410</v>
      </c>
      <c r="B98" s="8" t="s">
        <v>849</v>
      </c>
    </row>
    <row r="99" spans="1:2" ht="15.5">
      <c r="A99" s="8" t="s">
        <v>414</v>
      </c>
      <c r="B99" s="8" t="s">
        <v>850</v>
      </c>
    </row>
    <row r="100" spans="1:2" ht="15.5">
      <c r="A100" s="8" t="s">
        <v>418</v>
      </c>
      <c r="B100" s="8" t="s">
        <v>851</v>
      </c>
    </row>
    <row r="101" spans="1:2" ht="15.5">
      <c r="A101" s="8" t="s">
        <v>342</v>
      </c>
      <c r="B101" s="8" t="s">
        <v>852</v>
      </c>
    </row>
    <row r="102" spans="1:2" ht="15.5">
      <c r="A102" s="8" t="s">
        <v>346</v>
      </c>
      <c r="B102" s="8" t="s">
        <v>853</v>
      </c>
    </row>
    <row r="103" spans="1:2" ht="15.5">
      <c r="A103" s="8" t="s">
        <v>350</v>
      </c>
      <c r="B103" s="8" t="s">
        <v>854</v>
      </c>
    </row>
    <row r="104" spans="1:2" ht="15.5">
      <c r="A104" s="8" t="s">
        <v>354</v>
      </c>
      <c r="B104" s="8" t="s">
        <v>855</v>
      </c>
    </row>
    <row r="105" spans="1:2" ht="15.5">
      <c r="A105" s="8" t="s">
        <v>358</v>
      </c>
      <c r="B105" s="8" t="s">
        <v>856</v>
      </c>
    </row>
    <row r="106" spans="1:2" ht="15.5">
      <c r="A106" s="8" t="s">
        <v>362</v>
      </c>
      <c r="B106" s="8" t="s">
        <v>857</v>
      </c>
    </row>
    <row r="107" spans="1:2" ht="15.5">
      <c r="A107" s="8" t="s">
        <v>422</v>
      </c>
      <c r="B107" s="8" t="s">
        <v>858</v>
      </c>
    </row>
    <row r="108" spans="1:2" ht="15.5">
      <c r="A108" s="8" t="s">
        <v>426</v>
      </c>
      <c r="B108" s="8" t="s">
        <v>859</v>
      </c>
    </row>
    <row r="109" spans="1:2" ht="15.5">
      <c r="A109" s="8" t="s">
        <v>430</v>
      </c>
      <c r="B109" s="8" t="s">
        <v>742</v>
      </c>
    </row>
    <row r="110" spans="1:2" ht="15.5">
      <c r="A110" s="8" t="s">
        <v>434</v>
      </c>
      <c r="B110" s="8" t="s">
        <v>860</v>
      </c>
    </row>
    <row r="111" spans="1:2" ht="15.5">
      <c r="A111" s="8" t="s">
        <v>438</v>
      </c>
      <c r="B111" s="8" t="s">
        <v>861</v>
      </c>
    </row>
    <row r="112" spans="1:2" ht="15.5">
      <c r="A112" s="8" t="s">
        <v>442</v>
      </c>
      <c r="B112" s="8" t="s">
        <v>862</v>
      </c>
    </row>
    <row r="113" spans="1:2" ht="15.5">
      <c r="A113" s="8" t="s">
        <v>446</v>
      </c>
      <c r="B113" s="8" t="s">
        <v>746</v>
      </c>
    </row>
    <row r="114" spans="1:2" ht="15.5">
      <c r="A114" s="8" t="s">
        <v>450</v>
      </c>
      <c r="B114" s="8" t="s">
        <v>863</v>
      </c>
    </row>
    <row r="115" spans="1:2" ht="15.5">
      <c r="A115" s="8" t="s">
        <v>454</v>
      </c>
      <c r="B115" s="8" t="s">
        <v>864</v>
      </c>
    </row>
    <row r="116" spans="1:2" ht="15.5">
      <c r="A116" s="8" t="s">
        <v>458</v>
      </c>
      <c r="B116" s="8" t="s">
        <v>865</v>
      </c>
    </row>
    <row r="117" spans="1:2" ht="15.5">
      <c r="A117" s="8" t="s">
        <v>462</v>
      </c>
      <c r="B117" s="8" t="s">
        <v>750</v>
      </c>
    </row>
    <row r="118" spans="1:2" ht="15.5">
      <c r="A118" s="8" t="s">
        <v>466</v>
      </c>
      <c r="B118" s="8" t="s">
        <v>866</v>
      </c>
    </row>
    <row r="119" spans="1:2" ht="15.5">
      <c r="A119" s="8" t="s">
        <v>470</v>
      </c>
      <c r="B119" s="8" t="s">
        <v>867</v>
      </c>
    </row>
    <row r="120" spans="1:2" ht="15.5">
      <c r="A120" s="8" t="s">
        <v>474</v>
      </c>
      <c r="B120" s="8" t="s">
        <v>868</v>
      </c>
    </row>
    <row r="121" spans="1:2" ht="15.5">
      <c r="A121" s="8" t="s">
        <v>478</v>
      </c>
      <c r="B121" s="8" t="s">
        <v>869</v>
      </c>
    </row>
    <row r="122" spans="1:2" ht="15.5">
      <c r="A122" s="8" t="s">
        <v>482</v>
      </c>
      <c r="B122" s="8" t="s">
        <v>870</v>
      </c>
    </row>
    <row r="123" spans="1:2" ht="15.5">
      <c r="A123" s="8" t="s">
        <v>486</v>
      </c>
      <c r="B123" s="8" t="s">
        <v>871</v>
      </c>
    </row>
    <row r="124" spans="1:2" ht="15.5">
      <c r="A124" s="8" t="s">
        <v>490</v>
      </c>
      <c r="B124" s="8" t="s">
        <v>872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381"/>
  <sheetViews>
    <sheetView workbookViewId="0"/>
  </sheetViews>
  <sheetFormatPr defaultColWidth="11.20703125" defaultRowHeight="15" customHeight="1"/>
  <cols>
    <col min="2" max="2" width="121.125" customWidth="1"/>
    <col min="7" max="7" width="16.125" customWidth="1"/>
    <col min="8" max="8" width="11.125" customWidth="1"/>
    <col min="9" max="9" width="44.20703125" customWidth="1"/>
  </cols>
  <sheetData>
    <row r="1" spans="1:12">
      <c r="A1" s="87" t="s">
        <v>873</v>
      </c>
      <c r="B1" s="88" t="s">
        <v>874</v>
      </c>
      <c r="C1" s="88" t="s">
        <v>875</v>
      </c>
      <c r="D1" s="88" t="s">
        <v>876</v>
      </c>
      <c r="E1" s="88" t="s">
        <v>877</v>
      </c>
      <c r="F1" s="8"/>
      <c r="G1" s="8"/>
      <c r="H1" s="8"/>
      <c r="I1" s="8"/>
      <c r="J1" s="8"/>
      <c r="K1" s="8"/>
      <c r="L1" s="8"/>
    </row>
    <row r="2" spans="1:12">
      <c r="A2" s="89">
        <v>5</v>
      </c>
      <c r="B2" s="90" t="s">
        <v>878</v>
      </c>
      <c r="C2" s="90" t="s">
        <v>879</v>
      </c>
      <c r="D2" s="89">
        <v>26</v>
      </c>
      <c r="E2" s="89">
        <v>26</v>
      </c>
      <c r="F2" s="8"/>
      <c r="G2" s="91" t="s">
        <v>880</v>
      </c>
      <c r="H2" s="92" t="s">
        <v>881</v>
      </c>
      <c r="I2" s="92" t="s">
        <v>882</v>
      </c>
      <c r="J2" s="8"/>
      <c r="K2" s="8"/>
      <c r="L2" s="8"/>
    </row>
    <row r="3" spans="1:12">
      <c r="A3" s="89">
        <v>33</v>
      </c>
      <c r="B3" s="90" t="s">
        <v>883</v>
      </c>
      <c r="C3" s="90" t="s">
        <v>884</v>
      </c>
      <c r="D3" s="89">
        <v>13</v>
      </c>
      <c r="E3" s="89">
        <v>17</v>
      </c>
      <c r="F3" s="8"/>
      <c r="G3" s="93" t="s">
        <v>885</v>
      </c>
      <c r="H3" s="94">
        <v>17</v>
      </c>
      <c r="I3" s="95" t="s">
        <v>884</v>
      </c>
      <c r="J3" s="8"/>
      <c r="K3" s="8"/>
      <c r="L3" s="8"/>
    </row>
    <row r="4" spans="1:12">
      <c r="A4" s="89">
        <v>45</v>
      </c>
      <c r="B4" s="90" t="s">
        <v>886</v>
      </c>
      <c r="C4" s="90" t="s">
        <v>887</v>
      </c>
      <c r="D4" s="89">
        <v>11</v>
      </c>
      <c r="E4" s="89">
        <v>12</v>
      </c>
      <c r="F4" s="8"/>
      <c r="G4" s="93" t="s">
        <v>888</v>
      </c>
      <c r="H4" s="94">
        <v>12</v>
      </c>
      <c r="I4" s="95" t="s">
        <v>887</v>
      </c>
      <c r="J4" s="8"/>
      <c r="K4" s="8"/>
      <c r="L4" s="8"/>
    </row>
    <row r="5" spans="1:12">
      <c r="A5" s="89">
        <v>100</v>
      </c>
      <c r="B5" s="90" t="s">
        <v>889</v>
      </c>
      <c r="C5" s="90" t="s">
        <v>890</v>
      </c>
      <c r="D5" s="89">
        <v>8</v>
      </c>
      <c r="E5" s="89">
        <v>10</v>
      </c>
      <c r="F5" s="8"/>
      <c r="G5" s="93" t="s">
        <v>891</v>
      </c>
      <c r="H5" s="94">
        <v>10</v>
      </c>
      <c r="I5" s="95" t="s">
        <v>890</v>
      </c>
      <c r="J5" s="8"/>
      <c r="K5" s="8"/>
      <c r="L5" s="8"/>
    </row>
    <row r="6" spans="1:12">
      <c r="A6" s="89">
        <v>35</v>
      </c>
      <c r="B6" s="90" t="s">
        <v>892</v>
      </c>
      <c r="C6" s="90" t="s">
        <v>893</v>
      </c>
      <c r="D6" s="89">
        <v>10</v>
      </c>
      <c r="E6" s="89">
        <v>10</v>
      </c>
      <c r="F6" s="8"/>
      <c r="G6" s="93" t="s">
        <v>894</v>
      </c>
      <c r="H6" s="94">
        <v>10</v>
      </c>
      <c r="I6" s="95" t="s">
        <v>893</v>
      </c>
      <c r="J6" s="8"/>
      <c r="K6" s="8"/>
      <c r="L6" s="8"/>
    </row>
    <row r="7" spans="1:12">
      <c r="A7" s="89">
        <v>7</v>
      </c>
      <c r="B7" s="90" t="s">
        <v>895</v>
      </c>
      <c r="C7" s="90" t="s">
        <v>896</v>
      </c>
      <c r="D7" s="89">
        <v>6</v>
      </c>
      <c r="E7" s="89">
        <v>6</v>
      </c>
      <c r="F7" s="8"/>
      <c r="G7" s="93" t="s">
        <v>897</v>
      </c>
      <c r="H7" s="94">
        <v>6</v>
      </c>
      <c r="I7" s="95" t="s">
        <v>896</v>
      </c>
      <c r="J7" s="8"/>
      <c r="K7" s="8"/>
      <c r="L7" s="8"/>
    </row>
    <row r="8" spans="1:12">
      <c r="A8" s="89">
        <v>32</v>
      </c>
      <c r="B8" s="90" t="s">
        <v>898</v>
      </c>
      <c r="C8" s="90" t="s">
        <v>899</v>
      </c>
      <c r="D8" s="89">
        <v>6</v>
      </c>
      <c r="E8" s="89">
        <v>6</v>
      </c>
      <c r="F8" s="8"/>
      <c r="G8" s="93" t="s">
        <v>900</v>
      </c>
      <c r="H8" s="94">
        <v>6</v>
      </c>
      <c r="I8" s="95" t="s">
        <v>899</v>
      </c>
      <c r="J8" s="8"/>
      <c r="K8" s="8"/>
      <c r="L8" s="8"/>
    </row>
    <row r="9" spans="1:12">
      <c r="A9" s="89">
        <v>20</v>
      </c>
      <c r="B9" s="90" t="s">
        <v>901</v>
      </c>
      <c r="C9" s="90" t="s">
        <v>902</v>
      </c>
      <c r="D9" s="89">
        <v>6</v>
      </c>
      <c r="E9" s="89">
        <v>6</v>
      </c>
      <c r="F9" s="8"/>
      <c r="G9" s="93" t="s">
        <v>903</v>
      </c>
      <c r="H9" s="94">
        <v>6</v>
      </c>
      <c r="I9" s="95" t="s">
        <v>902</v>
      </c>
      <c r="J9" s="8"/>
      <c r="K9" s="8"/>
      <c r="L9" s="8"/>
    </row>
    <row r="10" spans="1:12">
      <c r="A10" s="89">
        <v>8</v>
      </c>
      <c r="B10" s="90" t="s">
        <v>904</v>
      </c>
      <c r="C10" s="90" t="s">
        <v>905</v>
      </c>
      <c r="D10" s="89">
        <v>5</v>
      </c>
      <c r="E10" s="89">
        <v>5</v>
      </c>
      <c r="F10" s="8"/>
      <c r="G10" s="8"/>
      <c r="H10" s="8"/>
      <c r="I10" s="8"/>
      <c r="J10" s="8"/>
      <c r="K10" s="8"/>
      <c r="L10" s="8"/>
    </row>
    <row r="11" spans="1:12">
      <c r="A11" s="89">
        <v>99</v>
      </c>
      <c r="B11" s="90" t="s">
        <v>906</v>
      </c>
      <c r="C11" s="90" t="s">
        <v>907</v>
      </c>
      <c r="D11" s="89">
        <v>5</v>
      </c>
      <c r="E11" s="89">
        <v>5</v>
      </c>
      <c r="F11" s="90"/>
      <c r="G11" s="8"/>
      <c r="H11" s="8"/>
      <c r="I11" s="8"/>
      <c r="J11" s="8"/>
      <c r="K11" s="8"/>
      <c r="L11" s="8"/>
    </row>
    <row r="12" spans="1:12">
      <c r="A12" s="89">
        <v>87</v>
      </c>
      <c r="B12" s="90" t="s">
        <v>908</v>
      </c>
      <c r="C12" s="90" t="s">
        <v>909</v>
      </c>
      <c r="D12" s="89">
        <v>4</v>
      </c>
      <c r="E12" s="89">
        <v>5</v>
      </c>
      <c r="F12" s="8"/>
      <c r="G12" s="8"/>
      <c r="H12" s="8"/>
      <c r="I12" s="8"/>
      <c r="J12" s="8"/>
      <c r="K12" s="8"/>
      <c r="L12" s="8"/>
    </row>
    <row r="13" spans="1:12">
      <c r="A13" s="89">
        <v>47</v>
      </c>
      <c r="B13" s="90" t="s">
        <v>910</v>
      </c>
      <c r="C13" s="90" t="s">
        <v>911</v>
      </c>
      <c r="D13" s="89">
        <v>4</v>
      </c>
      <c r="E13" s="89">
        <v>5</v>
      </c>
      <c r="F13" s="8"/>
      <c r="G13" s="8"/>
      <c r="H13" s="8"/>
      <c r="I13" s="8"/>
      <c r="J13" s="8"/>
      <c r="K13" s="8"/>
      <c r="L13" s="8"/>
    </row>
    <row r="14" spans="1:12">
      <c r="A14" s="89">
        <v>13</v>
      </c>
      <c r="B14" s="90" t="s">
        <v>912</v>
      </c>
      <c r="C14" s="90" t="s">
        <v>913</v>
      </c>
      <c r="D14" s="89">
        <v>5</v>
      </c>
      <c r="E14" s="89">
        <v>5</v>
      </c>
      <c r="F14" s="8"/>
      <c r="G14" s="8"/>
      <c r="H14" s="8"/>
      <c r="I14" s="8"/>
      <c r="J14" s="8"/>
      <c r="K14" s="8"/>
      <c r="L14" s="8"/>
    </row>
    <row r="15" spans="1:12">
      <c r="A15" s="89">
        <v>40</v>
      </c>
      <c r="B15" s="90" t="s">
        <v>914</v>
      </c>
      <c r="C15" s="90" t="s">
        <v>915</v>
      </c>
      <c r="D15" s="89">
        <v>5</v>
      </c>
      <c r="E15" s="89">
        <v>5</v>
      </c>
      <c r="F15" s="8"/>
      <c r="G15" s="8"/>
      <c r="H15" s="8"/>
      <c r="I15" s="8"/>
      <c r="J15" s="8"/>
      <c r="K15" s="8"/>
      <c r="L15" s="8"/>
    </row>
    <row r="16" spans="1:12">
      <c r="A16" s="89">
        <v>59</v>
      </c>
      <c r="B16" s="90" t="s">
        <v>916</v>
      </c>
      <c r="C16" s="90" t="s">
        <v>917</v>
      </c>
      <c r="D16" s="89">
        <v>5</v>
      </c>
      <c r="E16" s="89">
        <v>5</v>
      </c>
      <c r="F16" s="8"/>
      <c r="G16" s="8"/>
      <c r="H16" s="8"/>
      <c r="I16" s="8"/>
      <c r="J16" s="8"/>
      <c r="K16" s="8"/>
      <c r="L16" s="8"/>
    </row>
    <row r="17" spans="1:12">
      <c r="A17" s="89">
        <v>26</v>
      </c>
      <c r="B17" s="90" t="s">
        <v>918</v>
      </c>
      <c r="C17" s="90" t="s">
        <v>919</v>
      </c>
      <c r="D17" s="89">
        <v>5</v>
      </c>
      <c r="E17" s="89">
        <v>5</v>
      </c>
      <c r="F17" s="8"/>
      <c r="G17" s="8"/>
      <c r="H17" s="8"/>
      <c r="I17" s="8"/>
      <c r="J17" s="8"/>
      <c r="K17" s="8"/>
      <c r="L17" s="8"/>
    </row>
    <row r="18" spans="1:12">
      <c r="A18" s="89">
        <v>44</v>
      </c>
      <c r="B18" s="90" t="s">
        <v>920</v>
      </c>
      <c r="C18" s="90" t="s">
        <v>921</v>
      </c>
      <c r="D18" s="89">
        <v>4</v>
      </c>
      <c r="E18" s="89">
        <v>5</v>
      </c>
      <c r="F18" s="8"/>
      <c r="G18" s="8"/>
      <c r="H18" s="8"/>
      <c r="I18" s="8"/>
      <c r="J18" s="8"/>
      <c r="K18" s="8"/>
      <c r="L18" s="8"/>
    </row>
    <row r="19" spans="1:12">
      <c r="A19" s="89">
        <v>49</v>
      </c>
      <c r="B19" s="90" t="s">
        <v>922</v>
      </c>
      <c r="C19" s="90" t="s">
        <v>923</v>
      </c>
      <c r="D19" s="89">
        <v>4</v>
      </c>
      <c r="E19" s="89">
        <v>4</v>
      </c>
      <c r="F19" s="8"/>
      <c r="G19" s="8"/>
      <c r="H19" s="8"/>
      <c r="I19" s="8"/>
      <c r="J19" s="8"/>
      <c r="K19" s="8"/>
      <c r="L19" s="8"/>
    </row>
    <row r="20" spans="1:12">
      <c r="A20" s="89">
        <v>56</v>
      </c>
      <c r="B20" s="90" t="s">
        <v>924</v>
      </c>
      <c r="C20" s="90" t="s">
        <v>925</v>
      </c>
      <c r="D20" s="89">
        <v>2</v>
      </c>
      <c r="E20" s="89">
        <v>4</v>
      </c>
      <c r="F20" s="8"/>
      <c r="G20" s="8"/>
      <c r="H20" s="8"/>
      <c r="I20" s="8"/>
      <c r="J20" s="8"/>
      <c r="K20" s="8"/>
      <c r="L20" s="8"/>
    </row>
    <row r="21" spans="1:12">
      <c r="A21" s="89">
        <v>127</v>
      </c>
      <c r="B21" s="90" t="s">
        <v>926</v>
      </c>
      <c r="C21" s="90" t="s">
        <v>927</v>
      </c>
      <c r="D21" s="89">
        <v>4</v>
      </c>
      <c r="E21" s="89">
        <v>4</v>
      </c>
      <c r="F21" s="8"/>
      <c r="G21" s="8"/>
      <c r="H21" s="8"/>
      <c r="I21" s="8"/>
      <c r="J21" s="8"/>
      <c r="K21" s="8"/>
      <c r="L21" s="8"/>
    </row>
    <row r="22" spans="1:12">
      <c r="A22" s="89">
        <v>231</v>
      </c>
      <c r="B22" s="90" t="s">
        <v>928</v>
      </c>
      <c r="C22" s="90" t="s">
        <v>929</v>
      </c>
      <c r="D22" s="89">
        <v>3</v>
      </c>
      <c r="E22" s="89">
        <v>4</v>
      </c>
      <c r="F22" s="8"/>
      <c r="G22" s="8"/>
      <c r="H22" s="8"/>
      <c r="I22" s="8"/>
      <c r="J22" s="8"/>
      <c r="K22" s="8"/>
      <c r="L22" s="8"/>
    </row>
    <row r="23" spans="1:12">
      <c r="A23" s="89">
        <v>21</v>
      </c>
      <c r="B23" s="90" t="s">
        <v>930</v>
      </c>
      <c r="C23" s="90" t="s">
        <v>931</v>
      </c>
      <c r="D23" s="89">
        <v>3</v>
      </c>
      <c r="E23" s="89">
        <v>4</v>
      </c>
      <c r="F23" s="8"/>
      <c r="G23" s="8"/>
      <c r="H23" s="8"/>
      <c r="I23" s="8"/>
      <c r="J23" s="8"/>
      <c r="K23" s="8"/>
      <c r="L23" s="8"/>
    </row>
    <row r="24" spans="1:12">
      <c r="A24" s="89">
        <v>14</v>
      </c>
      <c r="B24" s="90" t="s">
        <v>932</v>
      </c>
      <c r="C24" s="90" t="s">
        <v>933</v>
      </c>
      <c r="D24" s="89">
        <v>3</v>
      </c>
      <c r="E24" s="89">
        <v>4</v>
      </c>
      <c r="F24" s="8"/>
      <c r="G24" s="8"/>
      <c r="H24" s="8"/>
      <c r="I24" s="8"/>
      <c r="J24" s="8"/>
      <c r="K24" s="8"/>
      <c r="L24" s="8"/>
    </row>
    <row r="25" spans="1:12">
      <c r="A25" s="89">
        <v>84</v>
      </c>
      <c r="B25" s="90" t="s">
        <v>934</v>
      </c>
      <c r="C25" s="90" t="s">
        <v>935</v>
      </c>
      <c r="D25" s="89">
        <v>3</v>
      </c>
      <c r="E25" s="89">
        <v>4</v>
      </c>
      <c r="F25" s="8"/>
      <c r="G25" s="8"/>
      <c r="H25" s="8"/>
      <c r="I25" s="8"/>
      <c r="J25" s="8"/>
      <c r="K25" s="8"/>
      <c r="L25" s="8"/>
    </row>
    <row r="26" spans="1:12">
      <c r="A26" s="89">
        <v>115</v>
      </c>
      <c r="B26" s="90" t="s">
        <v>936</v>
      </c>
      <c r="C26" s="90" t="s">
        <v>937</v>
      </c>
      <c r="D26" s="89">
        <v>4</v>
      </c>
      <c r="E26" s="89">
        <v>4</v>
      </c>
      <c r="F26" s="8"/>
      <c r="G26" s="8"/>
      <c r="H26" s="8"/>
      <c r="I26" s="8"/>
      <c r="J26" s="8"/>
      <c r="K26" s="8"/>
      <c r="L26" s="8"/>
    </row>
    <row r="27" spans="1:12">
      <c r="A27" s="89">
        <v>4</v>
      </c>
      <c r="B27" s="90" t="s">
        <v>938</v>
      </c>
      <c r="C27" s="90" t="s">
        <v>939</v>
      </c>
      <c r="D27" s="89">
        <v>4</v>
      </c>
      <c r="E27" s="89">
        <v>4</v>
      </c>
      <c r="F27" s="8"/>
      <c r="G27" s="8"/>
      <c r="H27" s="8"/>
      <c r="I27" s="8"/>
      <c r="J27" s="8"/>
      <c r="K27" s="8"/>
      <c r="L27" s="8"/>
    </row>
    <row r="28" spans="1:12">
      <c r="A28" s="89">
        <v>107</v>
      </c>
      <c r="B28" s="90" t="s">
        <v>940</v>
      </c>
      <c r="C28" s="90" t="s">
        <v>941</v>
      </c>
      <c r="D28" s="89">
        <v>3</v>
      </c>
      <c r="E28" s="89">
        <v>3</v>
      </c>
      <c r="F28" s="8"/>
      <c r="G28" s="8"/>
      <c r="H28" s="8"/>
      <c r="I28" s="8"/>
      <c r="J28" s="8"/>
      <c r="K28" s="8"/>
      <c r="L28" s="8"/>
    </row>
    <row r="29" spans="1:12">
      <c r="A29" s="89">
        <v>85</v>
      </c>
      <c r="B29" s="90" t="s">
        <v>942</v>
      </c>
      <c r="C29" s="90" t="s">
        <v>72</v>
      </c>
      <c r="D29" s="89">
        <v>1</v>
      </c>
      <c r="E29" s="89">
        <v>3</v>
      </c>
      <c r="F29" s="8"/>
      <c r="G29" s="8"/>
      <c r="H29" s="8"/>
      <c r="I29" s="8"/>
      <c r="J29" s="8"/>
      <c r="K29" s="8"/>
      <c r="L29" s="8"/>
    </row>
    <row r="30" spans="1:12">
      <c r="A30" s="89">
        <v>46</v>
      </c>
      <c r="B30" s="90" t="s">
        <v>943</v>
      </c>
      <c r="C30" s="90" t="s">
        <v>944</v>
      </c>
      <c r="D30" s="89">
        <v>3</v>
      </c>
      <c r="E30" s="89">
        <v>3</v>
      </c>
      <c r="F30" s="8"/>
      <c r="G30" s="8"/>
      <c r="H30" s="8"/>
      <c r="I30" s="8"/>
      <c r="J30" s="8"/>
      <c r="K30" s="8"/>
      <c r="L30" s="8"/>
    </row>
    <row r="31" spans="1:12">
      <c r="A31" s="89">
        <v>94</v>
      </c>
      <c r="B31" s="90" t="s">
        <v>945</v>
      </c>
      <c r="C31" s="90" t="s">
        <v>946</v>
      </c>
      <c r="D31" s="89">
        <v>3</v>
      </c>
      <c r="E31" s="89">
        <v>3</v>
      </c>
      <c r="F31" s="8"/>
      <c r="G31" s="8"/>
      <c r="H31" s="8"/>
      <c r="I31" s="8"/>
      <c r="J31" s="8"/>
      <c r="K31" s="8"/>
      <c r="L31" s="8"/>
    </row>
    <row r="32" spans="1:12">
      <c r="A32" s="89">
        <v>102</v>
      </c>
      <c r="B32" s="90" t="s">
        <v>947</v>
      </c>
      <c r="C32" s="90" t="s">
        <v>948</v>
      </c>
      <c r="D32" s="89">
        <v>3</v>
      </c>
      <c r="E32" s="89">
        <v>3</v>
      </c>
      <c r="F32" s="8"/>
      <c r="G32" s="8"/>
      <c r="H32" s="8"/>
      <c r="I32" s="8"/>
      <c r="J32" s="8"/>
      <c r="K32" s="8"/>
      <c r="L32" s="8"/>
    </row>
    <row r="33" spans="1:12">
      <c r="A33" s="89">
        <v>136</v>
      </c>
      <c r="B33" s="90" t="s">
        <v>949</v>
      </c>
      <c r="C33" s="90" t="s">
        <v>950</v>
      </c>
      <c r="D33" s="89">
        <v>3</v>
      </c>
      <c r="E33" s="89">
        <v>3</v>
      </c>
      <c r="F33" s="8"/>
      <c r="G33" s="8"/>
      <c r="H33" s="8"/>
      <c r="I33" s="8"/>
      <c r="J33" s="8"/>
      <c r="K33" s="8"/>
      <c r="L33" s="8"/>
    </row>
    <row r="34" spans="1:12">
      <c r="A34" s="89">
        <v>120</v>
      </c>
      <c r="B34" s="90" t="s">
        <v>951</v>
      </c>
      <c r="C34" s="90" t="s">
        <v>952</v>
      </c>
      <c r="D34" s="89">
        <v>3</v>
      </c>
      <c r="E34" s="89">
        <v>3</v>
      </c>
      <c r="F34" s="8"/>
      <c r="G34" s="8"/>
      <c r="H34" s="8"/>
      <c r="I34" s="8"/>
      <c r="J34" s="8"/>
      <c r="K34" s="8"/>
      <c r="L34" s="8"/>
    </row>
    <row r="35" spans="1:12">
      <c r="A35" s="89">
        <v>65</v>
      </c>
      <c r="B35" s="90" t="s">
        <v>953</v>
      </c>
      <c r="C35" s="90" t="s">
        <v>954</v>
      </c>
      <c r="D35" s="89">
        <v>3</v>
      </c>
      <c r="E35" s="89">
        <v>3</v>
      </c>
      <c r="F35" s="8"/>
      <c r="G35" s="8"/>
      <c r="H35" s="8"/>
      <c r="I35" s="8"/>
      <c r="J35" s="8"/>
      <c r="K35" s="8"/>
      <c r="L35" s="8"/>
    </row>
    <row r="36" spans="1:12">
      <c r="A36" s="89">
        <v>72</v>
      </c>
      <c r="B36" s="90" t="s">
        <v>955</v>
      </c>
      <c r="C36" s="90" t="s">
        <v>956</v>
      </c>
      <c r="D36" s="89">
        <v>3</v>
      </c>
      <c r="E36" s="89">
        <v>3</v>
      </c>
      <c r="F36" s="8"/>
      <c r="G36" s="8"/>
      <c r="H36" s="8"/>
      <c r="I36" s="8"/>
      <c r="J36" s="8"/>
      <c r="K36" s="8"/>
      <c r="L36" s="8"/>
    </row>
    <row r="37" spans="1:12">
      <c r="A37" s="89">
        <v>71</v>
      </c>
      <c r="B37" s="90" t="s">
        <v>957</v>
      </c>
      <c r="C37" s="90" t="s">
        <v>958</v>
      </c>
      <c r="D37" s="89">
        <v>3</v>
      </c>
      <c r="E37" s="89">
        <v>3</v>
      </c>
      <c r="F37" s="8"/>
      <c r="G37" s="8"/>
      <c r="H37" s="8"/>
      <c r="I37" s="8"/>
      <c r="J37" s="8"/>
      <c r="K37" s="8"/>
      <c r="L37" s="8"/>
    </row>
    <row r="38" spans="1:12">
      <c r="A38" s="89">
        <v>69</v>
      </c>
      <c r="B38" s="90" t="s">
        <v>959</v>
      </c>
      <c r="C38" s="90" t="s">
        <v>960</v>
      </c>
      <c r="D38" s="89">
        <v>3</v>
      </c>
      <c r="E38" s="89">
        <v>3</v>
      </c>
      <c r="F38" s="8"/>
      <c r="G38" s="8"/>
      <c r="H38" s="8"/>
      <c r="I38" s="8"/>
      <c r="J38" s="8"/>
      <c r="K38" s="8"/>
      <c r="L38" s="8"/>
    </row>
    <row r="39" spans="1:12">
      <c r="A39" s="89">
        <v>60</v>
      </c>
      <c r="B39" s="90" t="s">
        <v>961</v>
      </c>
      <c r="C39" s="90" t="s">
        <v>962</v>
      </c>
      <c r="D39" s="89">
        <v>3</v>
      </c>
      <c r="E39" s="89">
        <v>3</v>
      </c>
      <c r="F39" s="8"/>
      <c r="G39" s="8"/>
      <c r="H39" s="8"/>
      <c r="I39" s="8"/>
      <c r="J39" s="8"/>
      <c r="K39" s="8"/>
      <c r="L39" s="8"/>
    </row>
    <row r="40" spans="1:12">
      <c r="A40" s="89">
        <v>61</v>
      </c>
      <c r="B40" s="90" t="s">
        <v>963</v>
      </c>
      <c r="C40" s="90" t="s">
        <v>964</v>
      </c>
      <c r="D40" s="89">
        <v>3</v>
      </c>
      <c r="E40" s="89">
        <v>3</v>
      </c>
      <c r="F40" s="8"/>
      <c r="G40" s="8"/>
      <c r="H40" s="8"/>
      <c r="I40" s="8"/>
      <c r="J40" s="8"/>
      <c r="K40" s="8"/>
      <c r="L40" s="8"/>
    </row>
    <row r="41" spans="1:12">
      <c r="A41" s="89">
        <v>126</v>
      </c>
      <c r="B41" s="90" t="s">
        <v>965</v>
      </c>
      <c r="C41" s="90" t="s">
        <v>966</v>
      </c>
      <c r="D41" s="89">
        <v>3</v>
      </c>
      <c r="E41" s="89">
        <v>3</v>
      </c>
      <c r="F41" s="8"/>
      <c r="G41" s="8"/>
      <c r="H41" s="8"/>
      <c r="I41" s="8"/>
      <c r="J41" s="8"/>
      <c r="K41" s="8"/>
      <c r="L41" s="8"/>
    </row>
    <row r="42" spans="1:12">
      <c r="A42" s="89">
        <v>125</v>
      </c>
      <c r="B42" s="90" t="s">
        <v>967</v>
      </c>
      <c r="C42" s="90" t="s">
        <v>968</v>
      </c>
      <c r="D42" s="89">
        <v>3</v>
      </c>
      <c r="E42" s="89">
        <v>3</v>
      </c>
      <c r="F42" s="8"/>
      <c r="G42" s="8"/>
      <c r="H42" s="8"/>
      <c r="I42" s="8"/>
      <c r="J42" s="8"/>
      <c r="K42" s="8"/>
      <c r="L42" s="8"/>
    </row>
    <row r="43" spans="1:12">
      <c r="A43" s="89">
        <v>0</v>
      </c>
      <c r="B43" s="90" t="s">
        <v>969</v>
      </c>
      <c r="C43" s="90" t="s">
        <v>970</v>
      </c>
      <c r="D43" s="89">
        <v>3</v>
      </c>
      <c r="E43" s="89">
        <v>3</v>
      </c>
      <c r="F43" s="8"/>
      <c r="G43" s="8"/>
      <c r="H43" s="8"/>
      <c r="I43" s="8"/>
      <c r="J43" s="8"/>
      <c r="K43" s="8"/>
      <c r="L43" s="8"/>
    </row>
    <row r="44" spans="1:12">
      <c r="A44" s="89">
        <v>43</v>
      </c>
      <c r="B44" s="90" t="s">
        <v>971</v>
      </c>
      <c r="C44" s="90" t="s">
        <v>972</v>
      </c>
      <c r="D44" s="89">
        <v>3</v>
      </c>
      <c r="E44" s="89">
        <v>3</v>
      </c>
      <c r="F44" s="8"/>
      <c r="G44" s="8"/>
      <c r="H44" s="8"/>
      <c r="I44" s="8"/>
      <c r="J44" s="8"/>
      <c r="K44" s="8"/>
      <c r="L44" s="8"/>
    </row>
    <row r="45" spans="1:12">
      <c r="A45" s="89">
        <v>42</v>
      </c>
      <c r="B45" s="90" t="s">
        <v>973</v>
      </c>
      <c r="C45" s="90" t="s">
        <v>974</v>
      </c>
      <c r="D45" s="89">
        <v>3</v>
      </c>
      <c r="E45" s="89">
        <v>3</v>
      </c>
      <c r="F45" s="8"/>
      <c r="G45" s="8"/>
      <c r="H45" s="8"/>
      <c r="I45" s="8"/>
      <c r="J45" s="8"/>
      <c r="K45" s="8"/>
      <c r="L45" s="8"/>
    </row>
    <row r="46" spans="1:12">
      <c r="A46" s="89">
        <v>336</v>
      </c>
      <c r="B46" s="90" t="s">
        <v>975</v>
      </c>
      <c r="C46" s="90" t="s">
        <v>976</v>
      </c>
      <c r="D46" s="89">
        <v>2</v>
      </c>
      <c r="E46" s="89">
        <v>3</v>
      </c>
      <c r="F46" s="8"/>
      <c r="G46" s="8"/>
      <c r="H46" s="8"/>
      <c r="I46" s="8"/>
      <c r="J46" s="8"/>
      <c r="K46" s="8"/>
      <c r="L46" s="8"/>
    </row>
    <row r="47" spans="1:12">
      <c r="A47" s="89">
        <v>41</v>
      </c>
      <c r="B47" s="90" t="s">
        <v>977</v>
      </c>
      <c r="C47" s="90" t="s">
        <v>948</v>
      </c>
      <c r="D47" s="89">
        <v>3</v>
      </c>
      <c r="E47" s="89">
        <v>3</v>
      </c>
      <c r="F47" s="8"/>
      <c r="G47" s="8"/>
      <c r="H47" s="8"/>
      <c r="I47" s="8"/>
      <c r="J47" s="8"/>
      <c r="K47" s="8"/>
      <c r="L47" s="8"/>
    </row>
    <row r="48" spans="1:12">
      <c r="A48" s="89">
        <v>16</v>
      </c>
      <c r="B48" s="90" t="s">
        <v>978</v>
      </c>
      <c r="C48" s="90" t="s">
        <v>979</v>
      </c>
      <c r="D48" s="89">
        <v>3</v>
      </c>
      <c r="E48" s="89">
        <v>3</v>
      </c>
      <c r="F48" s="8"/>
      <c r="G48" s="8"/>
      <c r="H48" s="8"/>
      <c r="I48" s="8"/>
      <c r="J48" s="8"/>
      <c r="K48" s="8"/>
      <c r="L48" s="8"/>
    </row>
    <row r="49" spans="1:12">
      <c r="A49" s="89">
        <v>170</v>
      </c>
      <c r="B49" s="90" t="s">
        <v>980</v>
      </c>
      <c r="C49" s="90" t="s">
        <v>981</v>
      </c>
      <c r="D49" s="89">
        <v>3</v>
      </c>
      <c r="E49" s="89">
        <v>3</v>
      </c>
      <c r="F49" s="8"/>
      <c r="G49" s="8"/>
      <c r="H49" s="8"/>
      <c r="I49" s="8"/>
      <c r="J49" s="8"/>
      <c r="K49" s="8"/>
      <c r="L49" s="8"/>
    </row>
    <row r="50" spans="1:12">
      <c r="A50" s="89">
        <v>31</v>
      </c>
      <c r="B50" s="90" t="s">
        <v>982</v>
      </c>
      <c r="C50" s="90" t="s">
        <v>983</v>
      </c>
      <c r="D50" s="89">
        <v>3</v>
      </c>
      <c r="E50" s="89">
        <v>3</v>
      </c>
      <c r="F50" s="8"/>
      <c r="G50" s="8"/>
      <c r="H50" s="8"/>
      <c r="I50" s="8"/>
      <c r="J50" s="8"/>
      <c r="K50" s="8"/>
      <c r="L50" s="8"/>
    </row>
    <row r="51" spans="1:12">
      <c r="A51" s="89">
        <v>334</v>
      </c>
      <c r="B51" s="90" t="s">
        <v>984</v>
      </c>
      <c r="C51" s="90" t="s">
        <v>985</v>
      </c>
      <c r="D51" s="89">
        <v>3</v>
      </c>
      <c r="E51" s="89">
        <v>3</v>
      </c>
      <c r="F51" s="8"/>
      <c r="G51" s="8"/>
      <c r="H51" s="8"/>
      <c r="I51" s="8"/>
      <c r="J51" s="8"/>
      <c r="K51" s="8"/>
      <c r="L51" s="8"/>
    </row>
    <row r="52" spans="1:12">
      <c r="A52" s="89">
        <v>9</v>
      </c>
      <c r="B52" s="90" t="s">
        <v>986</v>
      </c>
      <c r="C52" s="90" t="s">
        <v>987</v>
      </c>
      <c r="D52" s="89">
        <v>3</v>
      </c>
      <c r="E52" s="89">
        <v>3</v>
      </c>
      <c r="F52" s="8"/>
      <c r="G52" s="8"/>
      <c r="H52" s="8"/>
      <c r="I52" s="8"/>
      <c r="J52" s="8"/>
      <c r="K52" s="8"/>
      <c r="L52" s="8"/>
    </row>
    <row r="53" spans="1:12">
      <c r="A53" s="89">
        <v>264</v>
      </c>
      <c r="B53" s="90" t="s">
        <v>988</v>
      </c>
      <c r="C53" s="90" t="s">
        <v>989</v>
      </c>
      <c r="D53" s="89">
        <v>3</v>
      </c>
      <c r="E53" s="89">
        <v>3</v>
      </c>
      <c r="F53" s="8"/>
      <c r="G53" s="8"/>
      <c r="H53" s="8"/>
      <c r="I53" s="8"/>
      <c r="J53" s="8"/>
      <c r="K53" s="8"/>
      <c r="L53" s="8"/>
    </row>
    <row r="54" spans="1:12">
      <c r="A54" s="89">
        <v>37</v>
      </c>
      <c r="B54" s="90" t="s">
        <v>990</v>
      </c>
      <c r="C54" s="90" t="s">
        <v>991</v>
      </c>
      <c r="D54" s="89">
        <v>3</v>
      </c>
      <c r="E54" s="89">
        <v>3</v>
      </c>
      <c r="F54" s="8"/>
      <c r="G54" s="8"/>
      <c r="H54" s="8"/>
      <c r="I54" s="8"/>
      <c r="J54" s="8"/>
      <c r="K54" s="8"/>
      <c r="L54" s="8"/>
    </row>
    <row r="55" spans="1:12">
      <c r="A55" s="89">
        <v>38</v>
      </c>
      <c r="B55" s="90" t="s">
        <v>992</v>
      </c>
      <c r="C55" s="90" t="s">
        <v>993</v>
      </c>
      <c r="D55" s="89">
        <v>3</v>
      </c>
      <c r="E55" s="89">
        <v>3</v>
      </c>
      <c r="F55" s="8"/>
      <c r="G55" s="8"/>
      <c r="H55" s="8"/>
      <c r="I55" s="8"/>
      <c r="J55" s="8"/>
      <c r="K55" s="8"/>
      <c r="L55" s="8"/>
    </row>
    <row r="56" spans="1:12">
      <c r="A56" s="89">
        <v>39</v>
      </c>
      <c r="B56" s="90" t="s">
        <v>994</v>
      </c>
      <c r="C56" s="90" t="s">
        <v>995</v>
      </c>
      <c r="D56" s="89">
        <v>3</v>
      </c>
      <c r="E56" s="89">
        <v>3</v>
      </c>
      <c r="F56" s="8"/>
      <c r="G56" s="8"/>
      <c r="H56" s="8"/>
      <c r="I56" s="8"/>
      <c r="J56" s="8"/>
      <c r="K56" s="8"/>
      <c r="L56" s="8"/>
    </row>
    <row r="57" spans="1:12">
      <c r="A57" s="89">
        <v>93</v>
      </c>
      <c r="B57" s="90" t="s">
        <v>996</v>
      </c>
      <c r="C57" s="90" t="s">
        <v>997</v>
      </c>
      <c r="D57" s="89">
        <v>2</v>
      </c>
      <c r="E57" s="89">
        <v>2</v>
      </c>
      <c r="F57" s="8"/>
      <c r="G57" s="8"/>
      <c r="H57" s="8"/>
      <c r="I57" s="8"/>
      <c r="J57" s="8"/>
      <c r="K57" s="8"/>
      <c r="L57" s="8"/>
    </row>
    <row r="58" spans="1:12">
      <c r="A58" s="89">
        <v>92</v>
      </c>
      <c r="B58" s="90" t="s">
        <v>998</v>
      </c>
      <c r="C58" s="90" t="s">
        <v>999</v>
      </c>
      <c r="D58" s="89">
        <v>2</v>
      </c>
      <c r="E58" s="89">
        <v>2</v>
      </c>
      <c r="F58" s="8"/>
      <c r="G58" s="8"/>
      <c r="H58" s="8"/>
      <c r="I58" s="8"/>
      <c r="J58" s="8"/>
      <c r="K58" s="8"/>
      <c r="L58" s="8"/>
    </row>
    <row r="59" spans="1:12">
      <c r="A59" s="89">
        <v>337</v>
      </c>
      <c r="B59" s="90" t="s">
        <v>1000</v>
      </c>
      <c r="C59" s="90" t="s">
        <v>1001</v>
      </c>
      <c r="D59" s="89">
        <v>2</v>
      </c>
      <c r="E59" s="89">
        <v>2</v>
      </c>
      <c r="F59" s="8"/>
      <c r="G59" s="8"/>
      <c r="H59" s="8"/>
      <c r="I59" s="8"/>
      <c r="J59" s="8"/>
      <c r="K59" s="8"/>
      <c r="L59" s="8"/>
    </row>
    <row r="60" spans="1:12">
      <c r="A60" s="89">
        <v>255</v>
      </c>
      <c r="B60" s="90" t="s">
        <v>1002</v>
      </c>
      <c r="C60" s="90" t="s">
        <v>1003</v>
      </c>
      <c r="D60" s="89">
        <v>2</v>
      </c>
      <c r="E60" s="89">
        <v>2</v>
      </c>
      <c r="F60" s="8"/>
      <c r="G60" s="8"/>
      <c r="H60" s="8"/>
      <c r="I60" s="8"/>
      <c r="J60" s="8"/>
      <c r="K60" s="8"/>
      <c r="L60" s="8"/>
    </row>
    <row r="61" spans="1:12">
      <c r="A61" s="89">
        <v>346</v>
      </c>
      <c r="B61" s="90" t="s">
        <v>1004</v>
      </c>
      <c r="C61" s="90" t="s">
        <v>370</v>
      </c>
      <c r="D61" s="89">
        <v>1</v>
      </c>
      <c r="E61" s="89">
        <v>2</v>
      </c>
      <c r="F61" s="8"/>
      <c r="G61" s="8"/>
      <c r="H61" s="8"/>
      <c r="I61" s="8"/>
      <c r="J61" s="8"/>
      <c r="K61" s="8"/>
      <c r="L61" s="8"/>
    </row>
    <row r="62" spans="1:12">
      <c r="A62" s="89">
        <v>104</v>
      </c>
      <c r="B62" s="90" t="s">
        <v>1005</v>
      </c>
      <c r="C62" s="90" t="s">
        <v>1006</v>
      </c>
      <c r="D62" s="89">
        <v>2</v>
      </c>
      <c r="E62" s="89">
        <v>2</v>
      </c>
      <c r="F62" s="8"/>
      <c r="G62" s="8"/>
      <c r="H62" s="8"/>
      <c r="I62" s="8"/>
      <c r="J62" s="8"/>
      <c r="K62" s="8"/>
      <c r="L62" s="8"/>
    </row>
    <row r="63" spans="1:12">
      <c r="A63" s="89">
        <v>290</v>
      </c>
      <c r="B63" s="90" t="s">
        <v>1007</v>
      </c>
      <c r="C63" s="90" t="s">
        <v>1008</v>
      </c>
      <c r="D63" s="89">
        <v>2</v>
      </c>
      <c r="E63" s="89">
        <v>2</v>
      </c>
      <c r="F63" s="8"/>
      <c r="G63" s="8"/>
      <c r="H63" s="8"/>
      <c r="I63" s="8"/>
      <c r="J63" s="8"/>
      <c r="K63" s="8"/>
      <c r="L63" s="8"/>
    </row>
    <row r="64" spans="1:12">
      <c r="A64" s="89">
        <v>110</v>
      </c>
      <c r="B64" s="90" t="s">
        <v>1009</v>
      </c>
      <c r="C64" s="90" t="s">
        <v>1010</v>
      </c>
      <c r="D64" s="89">
        <v>2</v>
      </c>
      <c r="E64" s="89">
        <v>2</v>
      </c>
      <c r="F64" s="8"/>
      <c r="G64" s="8"/>
      <c r="H64" s="8"/>
      <c r="I64" s="8"/>
      <c r="J64" s="8"/>
      <c r="K64" s="8"/>
      <c r="L64" s="8"/>
    </row>
    <row r="65" spans="1:12">
      <c r="A65" s="89">
        <v>112</v>
      </c>
      <c r="B65" s="90" t="s">
        <v>1011</v>
      </c>
      <c r="C65" s="90" t="s">
        <v>378</v>
      </c>
      <c r="D65" s="89">
        <v>1</v>
      </c>
      <c r="E65" s="89">
        <v>2</v>
      </c>
      <c r="F65" s="8"/>
      <c r="G65" s="8"/>
      <c r="H65" s="8"/>
      <c r="I65" s="8"/>
      <c r="J65" s="8"/>
      <c r="K65" s="8"/>
      <c r="L65" s="8"/>
    </row>
    <row r="66" spans="1:12">
      <c r="A66" s="89">
        <v>113</v>
      </c>
      <c r="B66" s="90" t="s">
        <v>1012</v>
      </c>
      <c r="C66" s="90" t="s">
        <v>1013</v>
      </c>
      <c r="D66" s="89">
        <v>2</v>
      </c>
      <c r="E66" s="89">
        <v>2</v>
      </c>
      <c r="F66" s="8"/>
      <c r="G66" s="8"/>
      <c r="H66" s="8"/>
      <c r="I66" s="8"/>
      <c r="J66" s="8"/>
      <c r="K66" s="8"/>
      <c r="L66" s="8"/>
    </row>
    <row r="67" spans="1:12">
      <c r="A67" s="89">
        <v>267</v>
      </c>
      <c r="B67" s="90" t="s">
        <v>1014</v>
      </c>
      <c r="C67" s="90" t="s">
        <v>1015</v>
      </c>
      <c r="D67" s="89">
        <v>2</v>
      </c>
      <c r="E67" s="89">
        <v>2</v>
      </c>
      <c r="F67" s="8"/>
      <c r="G67" s="8"/>
      <c r="H67" s="8"/>
      <c r="I67" s="8"/>
      <c r="J67" s="8"/>
      <c r="K67" s="8"/>
      <c r="L67" s="8"/>
    </row>
    <row r="68" spans="1:12">
      <c r="A68" s="89">
        <v>114</v>
      </c>
      <c r="B68" s="90" t="s">
        <v>1016</v>
      </c>
      <c r="C68" s="90" t="s">
        <v>1017</v>
      </c>
      <c r="D68" s="89">
        <v>2</v>
      </c>
      <c r="E68" s="89">
        <v>2</v>
      </c>
      <c r="F68" s="8"/>
      <c r="G68" s="8"/>
      <c r="H68" s="8"/>
      <c r="I68" s="8"/>
      <c r="J68" s="8"/>
      <c r="K68" s="8"/>
      <c r="L68" s="8"/>
    </row>
    <row r="69" spans="1:12">
      <c r="A69" s="89">
        <v>307</v>
      </c>
      <c r="B69" s="90" t="s">
        <v>1018</v>
      </c>
      <c r="C69" s="90" t="s">
        <v>1019</v>
      </c>
      <c r="D69" s="89">
        <v>2</v>
      </c>
      <c r="E69" s="89">
        <v>2</v>
      </c>
      <c r="F69" s="8"/>
      <c r="G69" s="8"/>
      <c r="H69" s="8"/>
      <c r="I69" s="8"/>
      <c r="J69" s="8"/>
      <c r="K69" s="8"/>
      <c r="L69" s="8"/>
    </row>
    <row r="70" spans="1:12">
      <c r="A70" s="89">
        <v>210</v>
      </c>
      <c r="B70" s="90" t="s">
        <v>1020</v>
      </c>
      <c r="C70" s="90" t="s">
        <v>1021</v>
      </c>
      <c r="D70" s="89">
        <v>2</v>
      </c>
      <c r="E70" s="89">
        <v>2</v>
      </c>
      <c r="F70" s="8"/>
      <c r="G70" s="8"/>
      <c r="H70" s="8"/>
      <c r="I70" s="8"/>
      <c r="J70" s="8"/>
      <c r="K70" s="8"/>
      <c r="L70" s="8"/>
    </row>
    <row r="71" spans="1:12">
      <c r="A71" s="89">
        <v>245</v>
      </c>
      <c r="B71" s="90" t="s">
        <v>1022</v>
      </c>
      <c r="C71" s="90" t="s">
        <v>1023</v>
      </c>
      <c r="D71" s="89">
        <v>2</v>
      </c>
      <c r="E71" s="89">
        <v>2</v>
      </c>
      <c r="F71" s="8"/>
      <c r="G71" s="8"/>
      <c r="H71" s="8"/>
      <c r="I71" s="8"/>
      <c r="J71" s="8"/>
      <c r="K71" s="8"/>
      <c r="L71" s="8"/>
    </row>
    <row r="72" spans="1:12">
      <c r="A72" s="89">
        <v>121</v>
      </c>
      <c r="B72" s="90" t="s">
        <v>1024</v>
      </c>
      <c r="C72" s="90" t="s">
        <v>183</v>
      </c>
      <c r="D72" s="89">
        <v>1</v>
      </c>
      <c r="E72" s="89">
        <v>2</v>
      </c>
      <c r="F72" s="8"/>
      <c r="G72" s="8"/>
      <c r="H72" s="8"/>
      <c r="I72" s="8"/>
      <c r="J72" s="8"/>
      <c r="K72" s="8"/>
      <c r="L72" s="8"/>
    </row>
    <row r="73" spans="1:12">
      <c r="A73" s="89">
        <v>152</v>
      </c>
      <c r="B73" s="90" t="s">
        <v>1025</v>
      </c>
      <c r="C73" s="90" t="s">
        <v>1026</v>
      </c>
      <c r="D73" s="89">
        <v>2</v>
      </c>
      <c r="E73" s="89">
        <v>2</v>
      </c>
      <c r="F73" s="8"/>
      <c r="G73" s="8"/>
      <c r="H73" s="8"/>
      <c r="I73" s="8"/>
      <c r="J73" s="8"/>
      <c r="K73" s="8"/>
      <c r="L73" s="8"/>
    </row>
    <row r="74" spans="1:12">
      <c r="A74" s="89">
        <v>154</v>
      </c>
      <c r="B74" s="90" t="s">
        <v>1027</v>
      </c>
      <c r="C74" s="90" t="s">
        <v>1028</v>
      </c>
      <c r="D74" s="89">
        <v>2</v>
      </c>
      <c r="E74" s="89">
        <v>2</v>
      </c>
      <c r="F74" s="8"/>
      <c r="G74" s="8"/>
      <c r="H74" s="8"/>
      <c r="I74" s="8"/>
      <c r="J74" s="8"/>
      <c r="K74" s="8"/>
      <c r="L74" s="8"/>
    </row>
    <row r="75" spans="1:12">
      <c r="A75" s="89">
        <v>150</v>
      </c>
      <c r="B75" s="90" t="s">
        <v>1029</v>
      </c>
      <c r="C75" s="90" t="s">
        <v>1030</v>
      </c>
      <c r="D75" s="89">
        <v>2</v>
      </c>
      <c r="E75" s="89">
        <v>2</v>
      </c>
      <c r="F75" s="8"/>
      <c r="G75" s="8"/>
      <c r="H75" s="8"/>
      <c r="I75" s="8"/>
      <c r="J75" s="8"/>
      <c r="K75" s="8"/>
      <c r="L75" s="8"/>
    </row>
    <row r="76" spans="1:12">
      <c r="A76" s="89">
        <v>147</v>
      </c>
      <c r="B76" s="90" t="s">
        <v>1031</v>
      </c>
      <c r="C76" s="90" t="s">
        <v>1032</v>
      </c>
      <c r="D76" s="89">
        <v>2</v>
      </c>
      <c r="E76" s="89">
        <v>2</v>
      </c>
      <c r="F76" s="8"/>
      <c r="G76" s="8"/>
      <c r="H76" s="8"/>
      <c r="I76" s="8"/>
      <c r="J76" s="8"/>
      <c r="K76" s="8"/>
      <c r="L76" s="8"/>
    </row>
    <row r="77" spans="1:12">
      <c r="A77" s="89">
        <v>144</v>
      </c>
      <c r="B77" s="90" t="s">
        <v>1033</v>
      </c>
      <c r="C77" s="90" t="s">
        <v>1034</v>
      </c>
      <c r="D77" s="89">
        <v>2</v>
      </c>
      <c r="E77" s="89">
        <v>2</v>
      </c>
      <c r="F77" s="8"/>
      <c r="G77" s="8"/>
      <c r="H77" s="8"/>
      <c r="I77" s="8"/>
      <c r="J77" s="8"/>
      <c r="K77" s="8"/>
      <c r="L77" s="8"/>
    </row>
    <row r="78" spans="1:12">
      <c r="A78" s="89">
        <v>165</v>
      </c>
      <c r="B78" s="90" t="s">
        <v>1035</v>
      </c>
      <c r="C78" s="90" t="s">
        <v>1008</v>
      </c>
      <c r="D78" s="89">
        <v>2</v>
      </c>
      <c r="E78" s="89">
        <v>2</v>
      </c>
      <c r="F78" s="8"/>
      <c r="G78" s="8"/>
      <c r="H78" s="8"/>
      <c r="I78" s="8"/>
      <c r="J78" s="8"/>
      <c r="K78" s="8"/>
      <c r="L78" s="8"/>
    </row>
    <row r="79" spans="1:12">
      <c r="A79" s="89">
        <v>134</v>
      </c>
      <c r="B79" s="90" t="s">
        <v>1036</v>
      </c>
      <c r="C79" s="90" t="s">
        <v>1037</v>
      </c>
      <c r="D79" s="89">
        <v>2</v>
      </c>
      <c r="E79" s="89">
        <v>2</v>
      </c>
      <c r="F79" s="8"/>
      <c r="G79" s="8"/>
      <c r="H79" s="8"/>
      <c r="I79" s="8"/>
      <c r="J79" s="8"/>
      <c r="K79" s="8"/>
      <c r="L79" s="8"/>
    </row>
    <row r="80" spans="1:12">
      <c r="A80" s="89">
        <v>132</v>
      </c>
      <c r="B80" s="90" t="s">
        <v>1038</v>
      </c>
      <c r="C80" s="90" t="s">
        <v>1039</v>
      </c>
      <c r="D80" s="89">
        <v>2</v>
      </c>
      <c r="E80" s="89">
        <v>2</v>
      </c>
      <c r="F80" s="8"/>
      <c r="G80" s="8"/>
      <c r="H80" s="8"/>
      <c r="I80" s="8"/>
      <c r="J80" s="8"/>
      <c r="K80" s="8"/>
      <c r="L80" s="8"/>
    </row>
    <row r="81" spans="1:12">
      <c r="A81" s="89">
        <v>131</v>
      </c>
      <c r="B81" s="90" t="s">
        <v>1040</v>
      </c>
      <c r="C81" s="90" t="s">
        <v>1041</v>
      </c>
      <c r="D81" s="89">
        <v>2</v>
      </c>
      <c r="E81" s="89">
        <v>2</v>
      </c>
      <c r="F81" s="8"/>
      <c r="G81" s="8"/>
      <c r="H81" s="8"/>
      <c r="I81" s="8"/>
      <c r="J81" s="8"/>
      <c r="K81" s="8"/>
      <c r="L81" s="8"/>
    </row>
    <row r="82" spans="1:12">
      <c r="A82" s="89">
        <v>167</v>
      </c>
      <c r="B82" s="90" t="s">
        <v>1042</v>
      </c>
      <c r="C82" s="90" t="s">
        <v>1043</v>
      </c>
      <c r="D82" s="89">
        <v>2</v>
      </c>
      <c r="E82" s="89">
        <v>2</v>
      </c>
      <c r="F82" s="8"/>
      <c r="G82" s="8"/>
      <c r="H82" s="8"/>
      <c r="I82" s="8"/>
      <c r="J82" s="8"/>
      <c r="K82" s="8"/>
      <c r="L82" s="8"/>
    </row>
    <row r="83" spans="1:12">
      <c r="A83" s="89">
        <v>184</v>
      </c>
      <c r="B83" s="90" t="s">
        <v>1044</v>
      </c>
      <c r="C83" s="90" t="s">
        <v>1045</v>
      </c>
      <c r="D83" s="89">
        <v>2</v>
      </c>
      <c r="E83" s="89">
        <v>2</v>
      </c>
      <c r="F83" s="8"/>
      <c r="G83" s="8"/>
      <c r="H83" s="8"/>
      <c r="I83" s="8"/>
      <c r="J83" s="8"/>
      <c r="K83" s="8"/>
      <c r="L83" s="8"/>
    </row>
    <row r="84" spans="1:12">
      <c r="A84" s="89">
        <v>189</v>
      </c>
      <c r="B84" s="90" t="s">
        <v>1046</v>
      </c>
      <c r="C84" s="90" t="s">
        <v>1047</v>
      </c>
      <c r="D84" s="89">
        <v>2</v>
      </c>
      <c r="E84" s="89">
        <v>2</v>
      </c>
      <c r="F84" s="8"/>
      <c r="G84" s="8"/>
      <c r="H84" s="8"/>
      <c r="I84" s="8"/>
      <c r="J84" s="8"/>
      <c r="K84" s="8"/>
      <c r="L84" s="8"/>
    </row>
    <row r="85" spans="1:12">
      <c r="A85" s="89">
        <v>1</v>
      </c>
      <c r="B85" s="90" t="s">
        <v>1048</v>
      </c>
      <c r="C85" s="90" t="s">
        <v>1049</v>
      </c>
      <c r="D85" s="89">
        <v>2</v>
      </c>
      <c r="E85" s="89">
        <v>2</v>
      </c>
      <c r="F85" s="8"/>
      <c r="G85" s="8"/>
      <c r="H85" s="8"/>
      <c r="I85" s="8"/>
      <c r="J85" s="8"/>
      <c r="K85" s="8"/>
      <c r="L85" s="8"/>
    </row>
    <row r="86" spans="1:12">
      <c r="A86" s="89">
        <v>195</v>
      </c>
      <c r="B86" s="90" t="s">
        <v>1050</v>
      </c>
      <c r="C86" s="90" t="s">
        <v>1051</v>
      </c>
      <c r="D86" s="89">
        <v>2</v>
      </c>
      <c r="E86" s="89">
        <v>2</v>
      </c>
      <c r="F86" s="8"/>
      <c r="G86" s="8"/>
      <c r="H86" s="8"/>
      <c r="I86" s="8"/>
      <c r="J86" s="8"/>
      <c r="K86" s="8"/>
      <c r="L86" s="8"/>
    </row>
    <row r="87" spans="1:12">
      <c r="A87" s="89">
        <v>123</v>
      </c>
      <c r="B87" s="90" t="s">
        <v>1052</v>
      </c>
      <c r="C87" s="90" t="s">
        <v>1053</v>
      </c>
      <c r="D87" s="89">
        <v>2</v>
      </c>
      <c r="E87" s="89">
        <v>2</v>
      </c>
      <c r="F87" s="8"/>
      <c r="G87" s="8"/>
      <c r="H87" s="8"/>
      <c r="I87" s="8"/>
      <c r="J87" s="8"/>
      <c r="K87" s="8"/>
      <c r="L87" s="8"/>
    </row>
    <row r="88" spans="1:12">
      <c r="A88" s="89">
        <v>91</v>
      </c>
      <c r="B88" s="90" t="s">
        <v>1054</v>
      </c>
      <c r="C88" s="90" t="s">
        <v>1023</v>
      </c>
      <c r="D88" s="89">
        <v>2</v>
      </c>
      <c r="E88" s="89">
        <v>2</v>
      </c>
      <c r="F88" s="8"/>
      <c r="G88" s="8"/>
      <c r="H88" s="8"/>
      <c r="I88" s="8"/>
      <c r="J88" s="8"/>
      <c r="K88" s="8"/>
      <c r="L88" s="8"/>
    </row>
    <row r="89" spans="1:12">
      <c r="A89" s="89">
        <v>190</v>
      </c>
      <c r="B89" s="90" t="s">
        <v>1055</v>
      </c>
      <c r="C89" s="90" t="s">
        <v>1056</v>
      </c>
      <c r="D89" s="89">
        <v>2</v>
      </c>
      <c r="E89" s="89">
        <v>2</v>
      </c>
      <c r="F89" s="8"/>
      <c r="G89" s="8"/>
      <c r="H89" s="8"/>
      <c r="I89" s="8"/>
      <c r="J89" s="8"/>
      <c r="K89" s="8"/>
      <c r="L89" s="8"/>
    </row>
    <row r="90" spans="1:12">
      <c r="A90" s="89">
        <v>30</v>
      </c>
      <c r="B90" s="90" t="s">
        <v>1057</v>
      </c>
      <c r="C90" s="90" t="s">
        <v>1058</v>
      </c>
      <c r="D90" s="89">
        <v>2</v>
      </c>
      <c r="E90" s="89">
        <v>2</v>
      </c>
      <c r="F90" s="8"/>
      <c r="G90" s="8"/>
      <c r="H90" s="8"/>
      <c r="I90" s="8"/>
      <c r="J90" s="8"/>
      <c r="K90" s="8"/>
      <c r="L90" s="8"/>
    </row>
    <row r="91" spans="1:12">
      <c r="A91" s="89">
        <v>53</v>
      </c>
      <c r="B91" s="90" t="s">
        <v>1059</v>
      </c>
      <c r="C91" s="90" t="s">
        <v>1060</v>
      </c>
      <c r="D91" s="89">
        <v>2</v>
      </c>
      <c r="E91" s="89">
        <v>2</v>
      </c>
      <c r="F91" s="8"/>
      <c r="G91" s="8"/>
      <c r="H91" s="8"/>
      <c r="I91" s="8"/>
      <c r="J91" s="8"/>
      <c r="K91" s="8"/>
      <c r="L91" s="8"/>
    </row>
    <row r="92" spans="1:12">
      <c r="A92" s="89">
        <v>74</v>
      </c>
      <c r="B92" s="90" t="s">
        <v>1061</v>
      </c>
      <c r="C92" s="90" t="s">
        <v>163</v>
      </c>
      <c r="D92" s="89">
        <v>1</v>
      </c>
      <c r="E92" s="89">
        <v>2</v>
      </c>
      <c r="F92" s="8"/>
      <c r="G92" s="8"/>
      <c r="H92" s="8"/>
      <c r="I92" s="8"/>
      <c r="J92" s="8"/>
      <c r="K92" s="8"/>
      <c r="L92" s="8"/>
    </row>
    <row r="93" spans="1:12">
      <c r="A93" s="89">
        <v>73</v>
      </c>
      <c r="B93" s="90" t="s">
        <v>1062</v>
      </c>
      <c r="C93" s="90" t="s">
        <v>1063</v>
      </c>
      <c r="D93" s="89">
        <v>2</v>
      </c>
      <c r="E93" s="89">
        <v>2</v>
      </c>
      <c r="F93" s="8"/>
      <c r="G93" s="8"/>
      <c r="H93" s="8"/>
      <c r="I93" s="8"/>
      <c r="J93" s="8"/>
      <c r="K93" s="8"/>
      <c r="L93" s="8"/>
    </row>
    <row r="94" spans="1:12">
      <c r="A94" s="89">
        <v>63</v>
      </c>
      <c r="B94" s="90" t="s">
        <v>1064</v>
      </c>
      <c r="C94" s="90" t="s">
        <v>490</v>
      </c>
      <c r="D94" s="89">
        <v>1</v>
      </c>
      <c r="E94" s="89">
        <v>2</v>
      </c>
      <c r="F94" s="8"/>
      <c r="G94" s="8"/>
      <c r="H94" s="8"/>
      <c r="I94" s="8"/>
      <c r="J94" s="8"/>
      <c r="K94" s="8"/>
      <c r="L94" s="8"/>
    </row>
    <row r="95" spans="1:12">
      <c r="A95" s="89">
        <v>62</v>
      </c>
      <c r="B95" s="90" t="s">
        <v>1065</v>
      </c>
      <c r="C95" s="90" t="s">
        <v>1066</v>
      </c>
      <c r="D95" s="89">
        <v>2</v>
      </c>
      <c r="E95" s="89">
        <v>2</v>
      </c>
      <c r="F95" s="8"/>
      <c r="G95" s="8"/>
      <c r="H95" s="8"/>
      <c r="I95" s="8"/>
      <c r="J95" s="8"/>
      <c r="K95" s="8"/>
      <c r="L95" s="8"/>
    </row>
    <row r="96" spans="1:12">
      <c r="A96" s="89">
        <v>57</v>
      </c>
      <c r="B96" s="90" t="s">
        <v>1067</v>
      </c>
      <c r="C96" s="90" t="s">
        <v>458</v>
      </c>
      <c r="D96" s="89">
        <v>1</v>
      </c>
      <c r="E96" s="89">
        <v>2</v>
      </c>
      <c r="F96" s="8"/>
      <c r="G96" s="8"/>
      <c r="H96" s="8"/>
      <c r="I96" s="8"/>
      <c r="J96" s="8"/>
      <c r="K96" s="8"/>
      <c r="L96" s="8"/>
    </row>
    <row r="97" spans="1:12">
      <c r="A97" s="89">
        <v>55</v>
      </c>
      <c r="B97" s="90" t="s">
        <v>1068</v>
      </c>
      <c r="C97" s="90" t="s">
        <v>1069</v>
      </c>
      <c r="D97" s="89">
        <v>2</v>
      </c>
      <c r="E97" s="89">
        <v>2</v>
      </c>
      <c r="F97" s="8"/>
      <c r="G97" s="8"/>
      <c r="H97" s="8"/>
      <c r="I97" s="8"/>
      <c r="J97" s="8"/>
      <c r="K97" s="8"/>
      <c r="L97" s="8"/>
    </row>
    <row r="98" spans="1:12">
      <c r="A98" s="89">
        <v>54</v>
      </c>
      <c r="B98" s="90" t="s">
        <v>1070</v>
      </c>
      <c r="C98" s="90" t="s">
        <v>346</v>
      </c>
      <c r="D98" s="89">
        <v>1</v>
      </c>
      <c r="E98" s="89">
        <v>2</v>
      </c>
      <c r="F98" s="8"/>
      <c r="G98" s="8"/>
      <c r="H98" s="8"/>
      <c r="I98" s="8"/>
      <c r="J98" s="8"/>
      <c r="K98" s="8"/>
      <c r="L98" s="8"/>
    </row>
    <row r="99" spans="1:12">
      <c r="A99" s="89">
        <v>50</v>
      </c>
      <c r="B99" s="90" t="s">
        <v>1071</v>
      </c>
      <c r="C99" s="90" t="s">
        <v>1072</v>
      </c>
      <c r="D99" s="89">
        <v>2</v>
      </c>
      <c r="E99" s="89">
        <v>2</v>
      </c>
      <c r="F99" s="8"/>
      <c r="G99" s="8"/>
      <c r="H99" s="8"/>
      <c r="I99" s="8"/>
      <c r="J99" s="8"/>
      <c r="K99" s="8"/>
      <c r="L99" s="8"/>
    </row>
    <row r="100" spans="1:12">
      <c r="A100" s="89">
        <v>76</v>
      </c>
      <c r="B100" s="90" t="s">
        <v>1073</v>
      </c>
      <c r="C100" s="90" t="s">
        <v>1074</v>
      </c>
      <c r="D100" s="89">
        <v>2</v>
      </c>
      <c r="E100" s="89">
        <v>2</v>
      </c>
      <c r="F100" s="8"/>
      <c r="G100" s="8"/>
      <c r="H100" s="8"/>
      <c r="I100" s="8"/>
      <c r="J100" s="8"/>
      <c r="K100" s="8"/>
      <c r="L100" s="8"/>
    </row>
    <row r="101" spans="1:12">
      <c r="A101" s="89">
        <v>48</v>
      </c>
      <c r="B101" s="90" t="s">
        <v>1075</v>
      </c>
      <c r="C101" s="90" t="s">
        <v>1076</v>
      </c>
      <c r="D101" s="89">
        <v>2</v>
      </c>
      <c r="E101" s="89">
        <v>2</v>
      </c>
      <c r="F101" s="8"/>
      <c r="G101" s="8"/>
      <c r="H101" s="8"/>
      <c r="I101" s="8"/>
      <c r="J101" s="8"/>
      <c r="K101" s="8"/>
      <c r="L101" s="8"/>
    </row>
    <row r="102" spans="1:12">
      <c r="A102" s="89">
        <v>36</v>
      </c>
      <c r="B102" s="90" t="s">
        <v>1077</v>
      </c>
      <c r="C102" s="90" t="s">
        <v>1078</v>
      </c>
      <c r="D102" s="89">
        <v>2</v>
      </c>
      <c r="E102" s="89">
        <v>2</v>
      </c>
      <c r="F102" s="8"/>
      <c r="G102" s="8"/>
      <c r="H102" s="8"/>
      <c r="I102" s="8"/>
      <c r="J102" s="8"/>
      <c r="K102" s="8"/>
      <c r="L102" s="8"/>
    </row>
    <row r="103" spans="1:12">
      <c r="A103" s="89">
        <v>34</v>
      </c>
      <c r="B103" s="90" t="s">
        <v>1079</v>
      </c>
      <c r="C103" s="90" t="s">
        <v>1080</v>
      </c>
      <c r="D103" s="89">
        <v>2</v>
      </c>
      <c r="E103" s="89">
        <v>2</v>
      </c>
      <c r="F103" s="8"/>
      <c r="G103" s="8"/>
      <c r="H103" s="8"/>
      <c r="I103" s="8"/>
      <c r="J103" s="8"/>
      <c r="K103" s="8"/>
      <c r="L103" s="8"/>
    </row>
    <row r="104" spans="1:12">
      <c r="A104" s="89">
        <v>29</v>
      </c>
      <c r="B104" s="90" t="s">
        <v>1081</v>
      </c>
      <c r="C104" s="90" t="s">
        <v>1082</v>
      </c>
      <c r="D104" s="89">
        <v>2</v>
      </c>
      <c r="E104" s="89">
        <v>2</v>
      </c>
      <c r="F104" s="8"/>
      <c r="G104" s="8"/>
      <c r="H104" s="8"/>
      <c r="I104" s="8"/>
      <c r="J104" s="8"/>
      <c r="K104" s="8"/>
      <c r="L104" s="8"/>
    </row>
    <row r="105" spans="1:12">
      <c r="A105" s="89">
        <v>27</v>
      </c>
      <c r="B105" s="90" t="s">
        <v>1083</v>
      </c>
      <c r="C105" s="90" t="s">
        <v>1084</v>
      </c>
      <c r="D105" s="89">
        <v>2</v>
      </c>
      <c r="E105" s="89">
        <v>2</v>
      </c>
      <c r="F105" s="8"/>
      <c r="G105" s="8"/>
      <c r="H105" s="8"/>
      <c r="I105" s="8"/>
      <c r="J105" s="8"/>
      <c r="K105" s="8"/>
      <c r="L105" s="8"/>
    </row>
    <row r="106" spans="1:12">
      <c r="A106" s="89">
        <v>25</v>
      </c>
      <c r="B106" s="90" t="s">
        <v>1085</v>
      </c>
      <c r="C106" s="90" t="s">
        <v>1086</v>
      </c>
      <c r="D106" s="89">
        <v>2</v>
      </c>
      <c r="E106" s="89">
        <v>2</v>
      </c>
      <c r="F106" s="8"/>
      <c r="G106" s="8"/>
      <c r="H106" s="8"/>
      <c r="I106" s="8"/>
      <c r="J106" s="8"/>
      <c r="K106" s="8"/>
      <c r="L106" s="8"/>
    </row>
    <row r="107" spans="1:12">
      <c r="A107" s="89">
        <v>15</v>
      </c>
      <c r="B107" s="90" t="s">
        <v>1087</v>
      </c>
      <c r="C107" s="90" t="s">
        <v>56</v>
      </c>
      <c r="D107" s="89">
        <v>1</v>
      </c>
      <c r="E107" s="89">
        <v>2</v>
      </c>
      <c r="F107" s="8"/>
      <c r="G107" s="8"/>
      <c r="H107" s="8"/>
      <c r="I107" s="8"/>
      <c r="J107" s="8"/>
      <c r="K107" s="8"/>
      <c r="L107" s="8"/>
    </row>
    <row r="108" spans="1:12">
      <c r="A108" s="89">
        <v>75</v>
      </c>
      <c r="B108" s="90" t="s">
        <v>1088</v>
      </c>
      <c r="C108" s="90" t="s">
        <v>1089</v>
      </c>
      <c r="D108" s="89">
        <v>2</v>
      </c>
      <c r="E108" s="89">
        <v>2</v>
      </c>
      <c r="F108" s="8"/>
      <c r="G108" s="8"/>
      <c r="H108" s="8"/>
      <c r="I108" s="8"/>
      <c r="J108" s="8"/>
      <c r="K108" s="8"/>
      <c r="L108" s="8"/>
    </row>
    <row r="109" spans="1:12">
      <c r="A109" s="89">
        <v>19</v>
      </c>
      <c r="B109" s="90" t="s">
        <v>1090</v>
      </c>
      <c r="C109" s="90" t="s">
        <v>1091</v>
      </c>
      <c r="D109" s="89">
        <v>2</v>
      </c>
      <c r="E109" s="89">
        <v>2</v>
      </c>
      <c r="F109" s="8"/>
      <c r="G109" s="8"/>
      <c r="H109" s="8"/>
      <c r="I109" s="8"/>
      <c r="J109" s="8"/>
      <c r="K109" s="8"/>
      <c r="L109" s="8"/>
    </row>
    <row r="110" spans="1:12">
      <c r="A110" s="89">
        <v>82</v>
      </c>
      <c r="B110" s="90" t="s">
        <v>1092</v>
      </c>
      <c r="C110" s="90" t="s">
        <v>1093</v>
      </c>
      <c r="D110" s="89">
        <v>2</v>
      </c>
      <c r="E110" s="89">
        <v>2</v>
      </c>
      <c r="F110" s="8"/>
      <c r="G110" s="8"/>
      <c r="H110" s="8"/>
      <c r="I110" s="8"/>
      <c r="J110" s="8"/>
      <c r="K110" s="8"/>
      <c r="L110" s="8"/>
    </row>
    <row r="111" spans="1:12">
      <c r="A111" s="89">
        <v>79</v>
      </c>
      <c r="B111" s="90" t="s">
        <v>1094</v>
      </c>
      <c r="C111" s="90" t="s">
        <v>1095</v>
      </c>
      <c r="D111" s="89">
        <v>2</v>
      </c>
      <c r="E111" s="89">
        <v>2</v>
      </c>
      <c r="F111" s="8"/>
      <c r="G111" s="8"/>
      <c r="H111" s="8"/>
      <c r="I111" s="8"/>
      <c r="J111" s="8"/>
      <c r="K111" s="8"/>
      <c r="L111" s="8"/>
    </row>
    <row r="112" spans="1:12">
      <c r="A112" s="89">
        <v>81</v>
      </c>
      <c r="B112" s="90" t="s">
        <v>1096</v>
      </c>
      <c r="C112" s="90" t="s">
        <v>1097</v>
      </c>
      <c r="D112" s="89">
        <v>2</v>
      </c>
      <c r="E112" s="89">
        <v>2</v>
      </c>
      <c r="F112" s="8"/>
      <c r="G112" s="8"/>
      <c r="H112" s="8"/>
      <c r="I112" s="8"/>
      <c r="J112" s="8"/>
      <c r="K112" s="8"/>
      <c r="L112" s="8"/>
    </row>
    <row r="113" spans="1:12">
      <c r="A113" s="89">
        <v>86</v>
      </c>
      <c r="B113" s="90" t="s">
        <v>1098</v>
      </c>
      <c r="C113" s="90" t="s">
        <v>1099</v>
      </c>
      <c r="D113" s="89">
        <v>2</v>
      </c>
      <c r="E113" s="89">
        <v>2</v>
      </c>
      <c r="F113" s="8"/>
      <c r="G113" s="8"/>
      <c r="H113" s="8"/>
      <c r="I113" s="8"/>
      <c r="J113" s="8"/>
      <c r="K113" s="8"/>
      <c r="L113" s="8"/>
    </row>
    <row r="114" spans="1:12">
      <c r="A114" s="89">
        <v>80</v>
      </c>
      <c r="B114" s="90" t="s">
        <v>1100</v>
      </c>
      <c r="C114" s="90" t="s">
        <v>1101</v>
      </c>
      <c r="D114" s="89">
        <v>2</v>
      </c>
      <c r="E114" s="89">
        <v>2</v>
      </c>
      <c r="F114" s="8"/>
      <c r="G114" s="8"/>
      <c r="H114" s="8"/>
      <c r="I114" s="8"/>
      <c r="J114" s="8"/>
      <c r="K114" s="8"/>
      <c r="L114" s="8"/>
    </row>
    <row r="115" spans="1:12">
      <c r="A115" s="89">
        <v>289</v>
      </c>
      <c r="B115" s="90" t="s">
        <v>1102</v>
      </c>
      <c r="C115" s="90" t="s">
        <v>438</v>
      </c>
      <c r="D115" s="89">
        <v>1</v>
      </c>
      <c r="E115" s="89">
        <v>1</v>
      </c>
      <c r="F115" s="8"/>
      <c r="G115" s="8"/>
      <c r="H115" s="8"/>
      <c r="I115" s="8"/>
      <c r="J115" s="8"/>
      <c r="K115" s="8"/>
      <c r="L115" s="8"/>
    </row>
    <row r="116" spans="1:12">
      <c r="A116" s="89">
        <v>292</v>
      </c>
      <c r="B116" s="90" t="s">
        <v>1103</v>
      </c>
      <c r="C116" s="90" t="s">
        <v>418</v>
      </c>
      <c r="D116" s="89">
        <v>1</v>
      </c>
      <c r="E116" s="89">
        <v>1</v>
      </c>
      <c r="F116" s="8"/>
      <c r="G116" s="8"/>
      <c r="H116" s="8"/>
      <c r="I116" s="8"/>
      <c r="J116" s="8"/>
      <c r="K116" s="8"/>
      <c r="L116" s="8"/>
    </row>
    <row r="117" spans="1:12">
      <c r="A117" s="89">
        <v>291</v>
      </c>
      <c r="B117" s="90" t="s">
        <v>1104</v>
      </c>
      <c r="C117" s="90" t="s">
        <v>255</v>
      </c>
      <c r="D117" s="89">
        <v>1</v>
      </c>
      <c r="E117" s="89">
        <v>1</v>
      </c>
      <c r="F117" s="8"/>
      <c r="G117" s="8"/>
      <c r="H117" s="8"/>
      <c r="I117" s="8"/>
      <c r="J117" s="8"/>
      <c r="K117" s="8"/>
      <c r="L117" s="8"/>
    </row>
    <row r="118" spans="1:12">
      <c r="A118" s="89">
        <v>12</v>
      </c>
      <c r="B118" s="90" t="s">
        <v>1105</v>
      </c>
      <c r="C118" s="90" t="s">
        <v>167</v>
      </c>
      <c r="D118" s="89">
        <v>1</v>
      </c>
      <c r="E118" s="89">
        <v>1</v>
      </c>
      <c r="F118" s="8"/>
      <c r="G118" s="8"/>
      <c r="H118" s="8"/>
      <c r="I118" s="8"/>
      <c r="J118" s="8"/>
      <c r="K118" s="8"/>
      <c r="L118" s="8"/>
    </row>
    <row r="119" spans="1:12">
      <c r="A119" s="89">
        <v>366</v>
      </c>
      <c r="B119" s="90" t="s">
        <v>1106</v>
      </c>
      <c r="C119" s="90" t="s">
        <v>17</v>
      </c>
      <c r="D119" s="89">
        <v>1</v>
      </c>
      <c r="E119" s="89">
        <v>1</v>
      </c>
      <c r="F119" s="8"/>
      <c r="G119" s="8"/>
      <c r="H119" s="8"/>
      <c r="I119" s="8"/>
      <c r="J119" s="8"/>
      <c r="K119" s="8"/>
      <c r="L119" s="8"/>
    </row>
    <row r="120" spans="1:12">
      <c r="A120" s="89">
        <v>294</v>
      </c>
      <c r="B120" s="90" t="s">
        <v>1107</v>
      </c>
      <c r="C120" s="90" t="s">
        <v>418</v>
      </c>
      <c r="D120" s="89">
        <v>1</v>
      </c>
      <c r="E120" s="89">
        <v>1</v>
      </c>
      <c r="F120" s="8"/>
      <c r="G120" s="8"/>
      <c r="H120" s="8"/>
      <c r="I120" s="8"/>
      <c r="J120" s="8"/>
      <c r="K120" s="8"/>
      <c r="L120" s="8"/>
    </row>
    <row r="121" spans="1:12">
      <c r="A121" s="89">
        <v>288</v>
      </c>
      <c r="B121" s="90" t="s">
        <v>1108</v>
      </c>
      <c r="C121" s="90" t="s">
        <v>215</v>
      </c>
      <c r="D121" s="89">
        <v>1</v>
      </c>
      <c r="E121" s="89">
        <v>1</v>
      </c>
      <c r="F121" s="8"/>
      <c r="G121" s="8"/>
      <c r="H121" s="8"/>
      <c r="I121" s="8"/>
      <c r="J121" s="8"/>
      <c r="K121" s="8"/>
      <c r="L121" s="8"/>
    </row>
    <row r="122" spans="1:12">
      <c r="A122" s="89">
        <v>287</v>
      </c>
      <c r="B122" s="90" t="s">
        <v>1109</v>
      </c>
      <c r="C122" s="90" t="s">
        <v>92</v>
      </c>
      <c r="D122" s="89">
        <v>1</v>
      </c>
      <c r="E122" s="89">
        <v>1</v>
      </c>
      <c r="F122" s="8"/>
      <c r="G122" s="8"/>
      <c r="H122" s="8"/>
      <c r="I122" s="8"/>
      <c r="J122" s="8"/>
      <c r="K122" s="8"/>
      <c r="L122" s="8"/>
    </row>
    <row r="123" spans="1:12">
      <c r="A123" s="89">
        <v>286</v>
      </c>
      <c r="B123" s="90" t="s">
        <v>1110</v>
      </c>
      <c r="C123" s="90" t="s">
        <v>454</v>
      </c>
      <c r="D123" s="89">
        <v>1</v>
      </c>
      <c r="E123" s="89">
        <v>1</v>
      </c>
      <c r="F123" s="8"/>
      <c r="G123" s="8"/>
      <c r="H123" s="8"/>
      <c r="I123" s="8"/>
      <c r="J123" s="8"/>
      <c r="K123" s="8"/>
      <c r="L123" s="8"/>
    </row>
    <row r="124" spans="1:12">
      <c r="A124" s="89">
        <v>285</v>
      </c>
      <c r="B124" s="90" t="s">
        <v>1111</v>
      </c>
      <c r="C124" s="90" t="s">
        <v>303</v>
      </c>
      <c r="D124" s="89">
        <v>1</v>
      </c>
      <c r="E124" s="89">
        <v>1</v>
      </c>
      <c r="F124" s="8"/>
      <c r="G124" s="8"/>
      <c r="H124" s="8"/>
      <c r="I124" s="8"/>
      <c r="J124" s="8"/>
      <c r="K124" s="8"/>
      <c r="L124" s="8"/>
    </row>
    <row r="125" spans="1:12">
      <c r="A125" s="89">
        <v>284</v>
      </c>
      <c r="B125" s="90" t="s">
        <v>1112</v>
      </c>
      <c r="C125" s="90" t="s">
        <v>44</v>
      </c>
      <c r="D125" s="89">
        <v>1</v>
      </c>
      <c r="E125" s="89">
        <v>1</v>
      </c>
      <c r="F125" s="8"/>
      <c r="G125" s="8"/>
      <c r="H125" s="8"/>
      <c r="I125" s="8"/>
      <c r="J125" s="8"/>
      <c r="K125" s="8"/>
      <c r="L125" s="8"/>
    </row>
    <row r="126" spans="1:12">
      <c r="A126" s="89">
        <v>283</v>
      </c>
      <c r="B126" s="90" t="s">
        <v>1113</v>
      </c>
      <c r="C126" s="90" t="s">
        <v>60</v>
      </c>
      <c r="D126" s="89">
        <v>1</v>
      </c>
      <c r="E126" s="89">
        <v>1</v>
      </c>
      <c r="F126" s="8"/>
      <c r="G126" s="8"/>
      <c r="H126" s="8"/>
      <c r="I126" s="8"/>
      <c r="J126" s="8"/>
      <c r="K126" s="8"/>
      <c r="L126" s="8"/>
    </row>
    <row r="127" spans="1:12">
      <c r="A127" s="89">
        <v>282</v>
      </c>
      <c r="B127" s="90" t="s">
        <v>1114</v>
      </c>
      <c r="C127" s="90" t="s">
        <v>80</v>
      </c>
      <c r="D127" s="89">
        <v>1</v>
      </c>
      <c r="E127" s="89">
        <v>1</v>
      </c>
      <c r="F127" s="8"/>
      <c r="G127" s="8"/>
      <c r="H127" s="8"/>
      <c r="I127" s="8"/>
      <c r="J127" s="8"/>
      <c r="K127" s="8"/>
      <c r="L127" s="8"/>
    </row>
    <row r="128" spans="1:12">
      <c r="A128" s="89">
        <v>293</v>
      </c>
      <c r="B128" s="90" t="s">
        <v>1115</v>
      </c>
      <c r="C128" s="90" t="s">
        <v>366</v>
      </c>
      <c r="D128" s="89">
        <v>1</v>
      </c>
      <c r="E128" s="89">
        <v>1</v>
      </c>
      <c r="F128" s="8"/>
      <c r="G128" s="8"/>
      <c r="H128" s="8"/>
      <c r="I128" s="8"/>
      <c r="J128" s="8"/>
      <c r="K128" s="8"/>
      <c r="L128" s="8"/>
    </row>
    <row r="129" spans="1:12">
      <c r="A129" s="89">
        <v>296</v>
      </c>
      <c r="B129" s="90" t="s">
        <v>1116</v>
      </c>
      <c r="C129" s="90" t="s">
        <v>104</v>
      </c>
      <c r="D129" s="89">
        <v>1</v>
      </c>
      <c r="E129" s="89">
        <v>1</v>
      </c>
      <c r="F129" s="8"/>
      <c r="G129" s="8"/>
      <c r="H129" s="8"/>
      <c r="I129" s="8"/>
      <c r="J129" s="8"/>
      <c r="K129" s="8"/>
      <c r="L129" s="8"/>
    </row>
    <row r="130" spans="1:12">
      <c r="A130" s="89">
        <v>295</v>
      </c>
      <c r="B130" s="90" t="s">
        <v>1117</v>
      </c>
      <c r="C130" s="90" t="s">
        <v>382</v>
      </c>
      <c r="D130" s="89">
        <v>1</v>
      </c>
      <c r="E130" s="89">
        <v>1</v>
      </c>
      <c r="F130" s="8"/>
      <c r="G130" s="8"/>
      <c r="H130" s="8"/>
      <c r="I130" s="8"/>
      <c r="J130" s="8"/>
      <c r="K130" s="8"/>
      <c r="L130" s="8"/>
    </row>
    <row r="131" spans="1:12">
      <c r="A131" s="89">
        <v>280</v>
      </c>
      <c r="B131" s="90" t="s">
        <v>1118</v>
      </c>
      <c r="C131" s="90" t="s">
        <v>442</v>
      </c>
      <c r="D131" s="89">
        <v>1</v>
      </c>
      <c r="E131" s="89">
        <v>1</v>
      </c>
      <c r="F131" s="8"/>
      <c r="G131" s="8"/>
      <c r="H131" s="8"/>
      <c r="I131" s="8"/>
      <c r="J131" s="8"/>
      <c r="K131" s="8"/>
      <c r="L131" s="8"/>
    </row>
    <row r="132" spans="1:12">
      <c r="A132" s="89">
        <v>297</v>
      </c>
      <c r="B132" s="90" t="s">
        <v>1119</v>
      </c>
      <c r="C132" s="90" t="s">
        <v>470</v>
      </c>
      <c r="D132" s="89">
        <v>1</v>
      </c>
      <c r="E132" s="89">
        <v>1</v>
      </c>
      <c r="F132" s="8"/>
      <c r="G132" s="8"/>
      <c r="H132" s="8"/>
      <c r="I132" s="8"/>
      <c r="J132" s="8"/>
      <c r="K132" s="8"/>
      <c r="L132" s="8"/>
    </row>
    <row r="133" spans="1:12">
      <c r="A133" s="89">
        <v>298</v>
      </c>
      <c r="B133" s="90" t="s">
        <v>1120</v>
      </c>
      <c r="C133" s="90" t="s">
        <v>191</v>
      </c>
      <c r="D133" s="89">
        <v>1</v>
      </c>
      <c r="E133" s="89">
        <v>1</v>
      </c>
      <c r="F133" s="8"/>
      <c r="G133" s="8"/>
      <c r="H133" s="8"/>
      <c r="I133" s="8"/>
      <c r="J133" s="8"/>
      <c r="K133" s="8"/>
      <c r="L133" s="8"/>
    </row>
    <row r="134" spans="1:12">
      <c r="A134" s="89">
        <v>299</v>
      </c>
      <c r="B134" s="90" t="s">
        <v>1121</v>
      </c>
      <c r="C134" s="90" t="s">
        <v>454</v>
      </c>
      <c r="D134" s="89">
        <v>1</v>
      </c>
      <c r="E134" s="89">
        <v>1</v>
      </c>
      <c r="F134" s="8"/>
      <c r="G134" s="8"/>
      <c r="H134" s="8"/>
      <c r="I134" s="8"/>
      <c r="J134" s="8"/>
      <c r="K134" s="8"/>
      <c r="L134" s="8"/>
    </row>
    <row r="135" spans="1:12">
      <c r="A135" s="89">
        <v>300</v>
      </c>
      <c r="B135" s="90" t="s">
        <v>1122</v>
      </c>
      <c r="C135" s="90" t="s">
        <v>231</v>
      </c>
      <c r="D135" s="89">
        <v>1</v>
      </c>
      <c r="E135" s="89">
        <v>1</v>
      </c>
      <c r="F135" s="8"/>
      <c r="G135" s="8"/>
      <c r="H135" s="8"/>
      <c r="I135" s="8"/>
      <c r="J135" s="8"/>
      <c r="K135" s="8"/>
      <c r="L135" s="8"/>
    </row>
    <row r="136" spans="1:12">
      <c r="A136" s="89">
        <v>377</v>
      </c>
      <c r="B136" s="90" t="s">
        <v>1123</v>
      </c>
      <c r="C136" s="90" t="s">
        <v>366</v>
      </c>
      <c r="D136" s="89">
        <v>1</v>
      </c>
      <c r="E136" s="89">
        <v>1</v>
      </c>
      <c r="F136" s="8"/>
      <c r="G136" s="8"/>
      <c r="H136" s="8"/>
      <c r="I136" s="8"/>
      <c r="J136" s="8"/>
      <c r="K136" s="8"/>
      <c r="L136" s="8"/>
    </row>
    <row r="137" spans="1:12">
      <c r="A137" s="89">
        <v>301</v>
      </c>
      <c r="B137" s="90" t="s">
        <v>1124</v>
      </c>
      <c r="C137" s="90" t="s">
        <v>187</v>
      </c>
      <c r="D137" s="89">
        <v>1</v>
      </c>
      <c r="E137" s="89">
        <v>1</v>
      </c>
      <c r="F137" s="8"/>
      <c r="G137" s="8"/>
      <c r="H137" s="8"/>
      <c r="I137" s="8"/>
      <c r="J137" s="8"/>
      <c r="K137" s="8"/>
      <c r="L137" s="8"/>
    </row>
    <row r="138" spans="1:12">
      <c r="A138" s="89">
        <v>302</v>
      </c>
      <c r="B138" s="90" t="s">
        <v>1125</v>
      </c>
      <c r="C138" s="90" t="s">
        <v>354</v>
      </c>
      <c r="D138" s="89">
        <v>1</v>
      </c>
      <c r="E138" s="89">
        <v>1</v>
      </c>
      <c r="F138" s="8"/>
      <c r="G138" s="8"/>
      <c r="H138" s="8"/>
      <c r="I138" s="8"/>
      <c r="J138" s="8"/>
      <c r="K138" s="8"/>
      <c r="L138" s="8"/>
    </row>
    <row r="139" spans="1:12">
      <c r="A139" s="89">
        <v>303</v>
      </c>
      <c r="B139" s="90" t="s">
        <v>1126</v>
      </c>
      <c r="C139" s="90" t="s">
        <v>29</v>
      </c>
      <c r="D139" s="89">
        <v>1</v>
      </c>
      <c r="E139" s="89">
        <v>1</v>
      </c>
      <c r="F139" s="8"/>
      <c r="G139" s="8"/>
      <c r="H139" s="8"/>
      <c r="I139" s="8"/>
      <c r="J139" s="8"/>
      <c r="K139" s="8"/>
      <c r="L139" s="8"/>
    </row>
    <row r="140" spans="1:12">
      <c r="A140" s="89">
        <v>304</v>
      </c>
      <c r="B140" s="90" t="s">
        <v>1127</v>
      </c>
      <c r="C140" s="90" t="s">
        <v>56</v>
      </c>
      <c r="D140" s="89">
        <v>1</v>
      </c>
      <c r="E140" s="89">
        <v>1</v>
      </c>
      <c r="F140" s="8"/>
      <c r="G140" s="8"/>
      <c r="H140" s="8"/>
      <c r="I140" s="8"/>
      <c r="J140" s="8"/>
      <c r="K140" s="8"/>
      <c r="L140" s="8"/>
    </row>
    <row r="141" spans="1:12">
      <c r="A141" s="89">
        <v>305</v>
      </c>
      <c r="B141" s="90" t="s">
        <v>1128</v>
      </c>
      <c r="C141" s="90" t="s">
        <v>219</v>
      </c>
      <c r="D141" s="89">
        <v>1</v>
      </c>
      <c r="E141" s="89">
        <v>1</v>
      </c>
      <c r="F141" s="8"/>
      <c r="G141" s="8"/>
      <c r="H141" s="8"/>
      <c r="I141" s="8"/>
      <c r="J141" s="8"/>
      <c r="K141" s="8"/>
      <c r="L141" s="8"/>
    </row>
    <row r="142" spans="1:12">
      <c r="A142" s="89">
        <v>306</v>
      </c>
      <c r="B142" s="90" t="s">
        <v>1129</v>
      </c>
      <c r="C142" s="90" t="s">
        <v>319</v>
      </c>
      <c r="D142" s="89">
        <v>1</v>
      </c>
      <c r="E142" s="89">
        <v>1</v>
      </c>
      <c r="F142" s="8"/>
      <c r="G142" s="8"/>
      <c r="H142" s="8"/>
      <c r="I142" s="8"/>
      <c r="J142" s="8"/>
      <c r="K142" s="8"/>
      <c r="L142" s="8"/>
    </row>
    <row r="143" spans="1:12">
      <c r="A143" s="89">
        <v>11</v>
      </c>
      <c r="B143" s="90" t="s">
        <v>1130</v>
      </c>
      <c r="C143" s="90" t="s">
        <v>366</v>
      </c>
      <c r="D143" s="89">
        <v>1</v>
      </c>
      <c r="E143" s="89">
        <v>1</v>
      </c>
      <c r="F143" s="8"/>
      <c r="G143" s="8"/>
      <c r="H143" s="8"/>
      <c r="I143" s="8"/>
      <c r="J143" s="8"/>
      <c r="K143" s="8"/>
      <c r="L143" s="8"/>
    </row>
    <row r="144" spans="1:12">
      <c r="A144" s="89">
        <v>308</v>
      </c>
      <c r="B144" s="90" t="s">
        <v>1131</v>
      </c>
      <c r="C144" s="90" t="s">
        <v>104</v>
      </c>
      <c r="D144" s="89">
        <v>1</v>
      </c>
      <c r="E144" s="89">
        <v>1</v>
      </c>
      <c r="F144" s="8"/>
      <c r="G144" s="8"/>
      <c r="H144" s="8"/>
      <c r="I144" s="8"/>
      <c r="J144" s="8"/>
      <c r="K144" s="8"/>
      <c r="L144" s="8"/>
    </row>
    <row r="145" spans="1:12">
      <c r="A145" s="89">
        <v>281</v>
      </c>
      <c r="B145" s="90" t="s">
        <v>1132</v>
      </c>
      <c r="C145" s="90" t="s">
        <v>243</v>
      </c>
      <c r="D145" s="89">
        <v>1</v>
      </c>
      <c r="E145" s="89">
        <v>1</v>
      </c>
      <c r="F145" s="8"/>
      <c r="G145" s="8"/>
      <c r="H145" s="8"/>
      <c r="I145" s="8"/>
      <c r="J145" s="8"/>
      <c r="K145" s="8"/>
      <c r="L145" s="8"/>
    </row>
    <row r="146" spans="1:12">
      <c r="A146" s="89">
        <v>278</v>
      </c>
      <c r="B146" s="90" t="s">
        <v>1133</v>
      </c>
      <c r="C146" s="90" t="s">
        <v>199</v>
      </c>
      <c r="D146" s="89">
        <v>1</v>
      </c>
      <c r="E146" s="89">
        <v>1</v>
      </c>
      <c r="F146" s="8"/>
      <c r="G146" s="8"/>
      <c r="H146" s="8"/>
      <c r="I146" s="8"/>
      <c r="J146" s="8"/>
      <c r="K146" s="8"/>
      <c r="L146" s="8"/>
    </row>
    <row r="147" spans="1:12">
      <c r="A147" s="89">
        <v>279</v>
      </c>
      <c r="B147" s="90" t="s">
        <v>1134</v>
      </c>
      <c r="C147" s="90" t="s">
        <v>151</v>
      </c>
      <c r="D147" s="89">
        <v>1</v>
      </c>
      <c r="E147" s="89">
        <v>1</v>
      </c>
      <c r="F147" s="8"/>
      <c r="G147" s="8"/>
      <c r="H147" s="8"/>
      <c r="I147" s="8"/>
      <c r="J147" s="8"/>
      <c r="K147" s="8"/>
      <c r="L147" s="8"/>
    </row>
    <row r="148" spans="1:12">
      <c r="A148" s="89">
        <v>254</v>
      </c>
      <c r="B148" s="90" t="s">
        <v>1135</v>
      </c>
      <c r="C148" s="90" t="s">
        <v>458</v>
      </c>
      <c r="D148" s="89">
        <v>1</v>
      </c>
      <c r="E148" s="89">
        <v>1</v>
      </c>
      <c r="F148" s="8"/>
      <c r="G148" s="8"/>
      <c r="H148" s="8"/>
      <c r="I148" s="8"/>
      <c r="J148" s="8"/>
      <c r="K148" s="8"/>
      <c r="L148" s="8"/>
    </row>
    <row r="149" spans="1:12">
      <c r="A149" s="89">
        <v>260</v>
      </c>
      <c r="B149" s="90" t="s">
        <v>1136</v>
      </c>
      <c r="C149" s="90" t="s">
        <v>466</v>
      </c>
      <c r="D149" s="89">
        <v>1</v>
      </c>
      <c r="E149" s="89">
        <v>1</v>
      </c>
      <c r="F149" s="8"/>
      <c r="G149" s="8"/>
      <c r="H149" s="8"/>
      <c r="I149" s="8"/>
      <c r="J149" s="8"/>
      <c r="K149" s="8"/>
      <c r="L149" s="8"/>
    </row>
    <row r="150" spans="1:12">
      <c r="A150" s="89">
        <v>259</v>
      </c>
      <c r="B150" s="90" t="s">
        <v>874</v>
      </c>
      <c r="C150" s="90" t="s">
        <v>60</v>
      </c>
      <c r="D150" s="89">
        <v>1</v>
      </c>
      <c r="E150" s="89">
        <v>1</v>
      </c>
      <c r="F150" s="8"/>
      <c r="G150" s="8"/>
      <c r="H150" s="8"/>
      <c r="I150" s="8"/>
      <c r="J150" s="8"/>
      <c r="K150" s="8"/>
      <c r="L150" s="8"/>
    </row>
    <row r="151" spans="1:12">
      <c r="A151" s="89">
        <v>258</v>
      </c>
      <c r="B151" s="90" t="s">
        <v>1137</v>
      </c>
      <c r="C151" s="90" t="s">
        <v>100</v>
      </c>
      <c r="D151" s="89">
        <v>1</v>
      </c>
      <c r="E151" s="89">
        <v>1</v>
      </c>
      <c r="F151" s="8"/>
      <c r="G151" s="8"/>
      <c r="H151" s="8"/>
      <c r="I151" s="8"/>
      <c r="J151" s="8"/>
      <c r="K151" s="8"/>
      <c r="L151" s="8"/>
    </row>
    <row r="152" spans="1:12">
      <c r="A152" s="89">
        <v>257</v>
      </c>
      <c r="B152" s="90" t="s">
        <v>1138</v>
      </c>
      <c r="C152" s="90" t="s">
        <v>311</v>
      </c>
      <c r="D152" s="89">
        <v>1</v>
      </c>
      <c r="E152" s="89">
        <v>1</v>
      </c>
      <c r="F152" s="8"/>
      <c r="G152" s="8"/>
      <c r="H152" s="8"/>
      <c r="I152" s="8"/>
      <c r="J152" s="8"/>
      <c r="K152" s="8"/>
      <c r="L152" s="8"/>
    </row>
    <row r="153" spans="1:12">
      <c r="A153" s="89">
        <v>256</v>
      </c>
      <c r="B153" s="90" t="s">
        <v>1139</v>
      </c>
      <c r="C153" s="90" t="s">
        <v>211</v>
      </c>
      <c r="D153" s="89">
        <v>1</v>
      </c>
      <c r="E153" s="89">
        <v>1</v>
      </c>
      <c r="F153" s="8"/>
      <c r="G153" s="8"/>
      <c r="H153" s="8"/>
      <c r="I153" s="8"/>
      <c r="J153" s="8"/>
      <c r="K153" s="8"/>
      <c r="L153" s="8"/>
    </row>
    <row r="154" spans="1:12">
      <c r="A154" s="89">
        <v>18</v>
      </c>
      <c r="B154" s="90" t="s">
        <v>1140</v>
      </c>
      <c r="C154" s="90" t="s">
        <v>147</v>
      </c>
      <c r="D154" s="89">
        <v>1</v>
      </c>
      <c r="E154" s="89">
        <v>1</v>
      </c>
      <c r="F154" s="8"/>
      <c r="G154" s="8"/>
      <c r="H154" s="8"/>
      <c r="I154" s="8"/>
      <c r="J154" s="8"/>
      <c r="K154" s="8"/>
      <c r="L154" s="8"/>
    </row>
    <row r="155" spans="1:12">
      <c r="A155" s="89">
        <v>253</v>
      </c>
      <c r="B155" s="90" t="s">
        <v>1141</v>
      </c>
      <c r="C155" s="90" t="s">
        <v>187</v>
      </c>
      <c r="D155" s="89">
        <v>1</v>
      </c>
      <c r="E155" s="89">
        <v>1</v>
      </c>
      <c r="F155" s="8"/>
      <c r="G155" s="8"/>
      <c r="H155" s="8"/>
      <c r="I155" s="8"/>
      <c r="J155" s="8"/>
      <c r="K155" s="8"/>
      <c r="L155" s="8"/>
    </row>
    <row r="156" spans="1:12">
      <c r="A156" s="89">
        <v>310</v>
      </c>
      <c r="B156" s="90" t="s">
        <v>1142</v>
      </c>
      <c r="C156" s="90" t="s">
        <v>303</v>
      </c>
      <c r="D156" s="89">
        <v>1</v>
      </c>
      <c r="E156" s="89">
        <v>1</v>
      </c>
      <c r="F156" s="8"/>
      <c r="G156" s="8"/>
      <c r="H156" s="8"/>
      <c r="I156" s="8"/>
      <c r="J156" s="8"/>
      <c r="K156" s="8"/>
      <c r="L156" s="8"/>
    </row>
    <row r="157" spans="1:12">
      <c r="A157" s="89">
        <v>252</v>
      </c>
      <c r="B157" s="90" t="s">
        <v>1143</v>
      </c>
      <c r="C157" s="90" t="s">
        <v>191</v>
      </c>
      <c r="D157" s="89">
        <v>1</v>
      </c>
      <c r="E157" s="89">
        <v>1</v>
      </c>
      <c r="F157" s="8"/>
      <c r="G157" s="8"/>
      <c r="H157" s="8"/>
      <c r="I157" s="8"/>
      <c r="J157" s="8"/>
      <c r="K157" s="8"/>
      <c r="L157" s="8"/>
    </row>
    <row r="158" spans="1:12">
      <c r="A158" s="89">
        <v>251</v>
      </c>
      <c r="B158" s="90" t="s">
        <v>1144</v>
      </c>
      <c r="C158" s="90" t="s">
        <v>470</v>
      </c>
      <c r="D158" s="89">
        <v>1</v>
      </c>
      <c r="E158" s="89">
        <v>1</v>
      </c>
      <c r="F158" s="8"/>
      <c r="G158" s="8"/>
      <c r="H158" s="8"/>
      <c r="I158" s="8"/>
      <c r="J158" s="8"/>
      <c r="K158" s="8"/>
      <c r="L158" s="8"/>
    </row>
    <row r="159" spans="1:12">
      <c r="A159" s="89">
        <v>250</v>
      </c>
      <c r="B159" s="90" t="s">
        <v>1145</v>
      </c>
      <c r="C159" s="90" t="s">
        <v>382</v>
      </c>
      <c r="D159" s="89">
        <v>1</v>
      </c>
      <c r="E159" s="89">
        <v>1</v>
      </c>
      <c r="F159" s="8"/>
      <c r="G159" s="8"/>
      <c r="H159" s="8"/>
      <c r="I159" s="8"/>
      <c r="J159" s="8"/>
      <c r="K159" s="8"/>
      <c r="L159" s="8"/>
    </row>
    <row r="160" spans="1:12">
      <c r="A160" s="89">
        <v>249</v>
      </c>
      <c r="B160" s="90" t="s">
        <v>1146</v>
      </c>
      <c r="C160" s="90" t="s">
        <v>390</v>
      </c>
      <c r="D160" s="89">
        <v>1</v>
      </c>
      <c r="E160" s="89">
        <v>1</v>
      </c>
      <c r="F160" s="8"/>
      <c r="G160" s="8"/>
      <c r="H160" s="8"/>
      <c r="I160" s="8"/>
      <c r="J160" s="8"/>
      <c r="K160" s="8"/>
      <c r="L160" s="8"/>
    </row>
    <row r="161" spans="1:12">
      <c r="A161" s="89">
        <v>248</v>
      </c>
      <c r="B161" s="90" t="s">
        <v>1147</v>
      </c>
      <c r="C161" s="90" t="s">
        <v>167</v>
      </c>
      <c r="D161" s="89">
        <v>1</v>
      </c>
      <c r="E161" s="89">
        <v>1</v>
      </c>
      <c r="F161" s="8"/>
      <c r="G161" s="8"/>
      <c r="H161" s="8"/>
      <c r="I161" s="8"/>
      <c r="J161" s="8"/>
      <c r="K161" s="8"/>
      <c r="L161" s="8"/>
    </row>
    <row r="162" spans="1:12">
      <c r="A162" s="89">
        <v>247</v>
      </c>
      <c r="B162" s="90" t="s">
        <v>1148</v>
      </c>
      <c r="C162" s="90" t="s">
        <v>21</v>
      </c>
      <c r="D162" s="89">
        <v>1</v>
      </c>
      <c r="E162" s="89">
        <v>1</v>
      </c>
      <c r="F162" s="8"/>
      <c r="G162" s="8"/>
      <c r="H162" s="8"/>
      <c r="I162" s="8"/>
      <c r="J162" s="8"/>
      <c r="K162" s="8"/>
      <c r="L162" s="8"/>
    </row>
    <row r="163" spans="1:12">
      <c r="A163" s="89">
        <v>261</v>
      </c>
      <c r="B163" s="90" t="s">
        <v>1149</v>
      </c>
      <c r="C163" s="90" t="s">
        <v>219</v>
      </c>
      <c r="D163" s="89">
        <v>1</v>
      </c>
      <c r="E163" s="89">
        <v>1</v>
      </c>
      <c r="F163" s="8"/>
      <c r="G163" s="8"/>
      <c r="H163" s="8"/>
      <c r="I163" s="8"/>
      <c r="J163" s="8"/>
      <c r="K163" s="8"/>
      <c r="L163" s="8"/>
    </row>
    <row r="164" spans="1:12">
      <c r="A164" s="89">
        <v>262</v>
      </c>
      <c r="B164" s="90" t="s">
        <v>1150</v>
      </c>
      <c r="C164" s="90" t="s">
        <v>414</v>
      </c>
      <c r="D164" s="89">
        <v>1</v>
      </c>
      <c r="E164" s="89">
        <v>1</v>
      </c>
      <c r="F164" s="8"/>
      <c r="G164" s="8"/>
      <c r="H164" s="8"/>
      <c r="I164" s="8"/>
      <c r="J164" s="8"/>
      <c r="K164" s="8"/>
      <c r="L164" s="8"/>
    </row>
    <row r="165" spans="1:12">
      <c r="A165" s="89">
        <v>263</v>
      </c>
      <c r="B165" s="90" t="s">
        <v>1151</v>
      </c>
      <c r="C165" s="90" t="s">
        <v>112</v>
      </c>
      <c r="D165" s="89">
        <v>1</v>
      </c>
      <c r="E165" s="89">
        <v>1</v>
      </c>
      <c r="F165" s="8"/>
      <c r="G165" s="8"/>
      <c r="H165" s="8"/>
      <c r="I165" s="8"/>
      <c r="J165" s="8"/>
      <c r="K165" s="8"/>
      <c r="L165" s="8"/>
    </row>
    <row r="166" spans="1:12">
      <c r="A166" s="89">
        <v>17</v>
      </c>
      <c r="B166" s="90" t="s">
        <v>1152</v>
      </c>
      <c r="C166" s="90" t="s">
        <v>434</v>
      </c>
      <c r="D166" s="89">
        <v>1</v>
      </c>
      <c r="E166" s="89">
        <v>1</v>
      </c>
      <c r="F166" s="8"/>
      <c r="G166" s="8"/>
      <c r="H166" s="8"/>
      <c r="I166" s="8"/>
      <c r="J166" s="8"/>
      <c r="K166" s="8"/>
      <c r="L166" s="8"/>
    </row>
    <row r="167" spans="1:12">
      <c r="A167" s="89">
        <v>265</v>
      </c>
      <c r="B167" s="90" t="s">
        <v>1153</v>
      </c>
      <c r="C167" s="90" t="s">
        <v>350</v>
      </c>
      <c r="D167" s="89">
        <v>1</v>
      </c>
      <c r="E167" s="89">
        <v>1</v>
      </c>
      <c r="F167" s="8"/>
      <c r="G167" s="8"/>
      <c r="H167" s="8"/>
      <c r="I167" s="8"/>
      <c r="J167" s="8"/>
      <c r="K167" s="8"/>
      <c r="L167" s="8"/>
    </row>
    <row r="168" spans="1:12">
      <c r="A168" s="89">
        <v>266</v>
      </c>
      <c r="B168" s="90" t="s">
        <v>1154</v>
      </c>
      <c r="C168" s="90" t="s">
        <v>295</v>
      </c>
      <c r="D168" s="89">
        <v>1</v>
      </c>
      <c r="E168" s="89">
        <v>1</v>
      </c>
      <c r="F168" s="8"/>
      <c r="G168" s="8"/>
      <c r="H168" s="8"/>
      <c r="I168" s="8"/>
      <c r="J168" s="8"/>
      <c r="K168" s="8"/>
      <c r="L168" s="8"/>
    </row>
    <row r="169" spans="1:12">
      <c r="A169" s="89">
        <v>378</v>
      </c>
      <c r="B169" s="90" t="s">
        <v>1155</v>
      </c>
      <c r="C169" s="90" t="s">
        <v>271</v>
      </c>
      <c r="D169" s="89">
        <v>1</v>
      </c>
      <c r="E169" s="89">
        <v>1</v>
      </c>
      <c r="F169" s="8"/>
      <c r="G169" s="8"/>
      <c r="H169" s="8"/>
      <c r="I169" s="8"/>
      <c r="J169" s="8"/>
      <c r="K169" s="8"/>
      <c r="L169" s="8"/>
    </row>
    <row r="170" spans="1:12">
      <c r="A170" s="89">
        <v>268</v>
      </c>
      <c r="B170" s="90" t="s">
        <v>1156</v>
      </c>
      <c r="C170" s="90" t="s">
        <v>227</v>
      </c>
      <c r="D170" s="89">
        <v>1</v>
      </c>
      <c r="E170" s="89">
        <v>1</v>
      </c>
      <c r="F170" s="8"/>
      <c r="G170" s="8"/>
      <c r="H170" s="8"/>
      <c r="I170" s="8"/>
      <c r="J170" s="8"/>
      <c r="K170" s="8"/>
      <c r="L170" s="8"/>
    </row>
    <row r="171" spans="1:12">
      <c r="A171" s="89">
        <v>269</v>
      </c>
      <c r="B171" s="90" t="s">
        <v>1157</v>
      </c>
      <c r="C171" s="90" t="s">
        <v>354</v>
      </c>
      <c r="D171" s="89">
        <v>1</v>
      </c>
      <c r="E171" s="89">
        <v>1</v>
      </c>
      <c r="F171" s="8"/>
      <c r="G171" s="8"/>
      <c r="H171" s="8"/>
      <c r="I171" s="8"/>
      <c r="J171" s="8"/>
      <c r="K171" s="8"/>
      <c r="L171" s="8"/>
    </row>
    <row r="172" spans="1:12">
      <c r="A172" s="89">
        <v>270</v>
      </c>
      <c r="B172" s="90" t="s">
        <v>1158</v>
      </c>
      <c r="C172" s="90" t="s">
        <v>486</v>
      </c>
      <c r="D172" s="89">
        <v>1</v>
      </c>
      <c r="E172" s="89">
        <v>1</v>
      </c>
      <c r="F172" s="8"/>
      <c r="G172" s="8"/>
      <c r="H172" s="8"/>
      <c r="I172" s="8"/>
      <c r="J172" s="8"/>
      <c r="K172" s="8"/>
      <c r="L172" s="8"/>
    </row>
    <row r="173" spans="1:12">
      <c r="A173" s="89">
        <v>271</v>
      </c>
      <c r="B173" s="90" t="s">
        <v>1159</v>
      </c>
      <c r="C173" s="90" t="s">
        <v>64</v>
      </c>
      <c r="D173" s="89">
        <v>1</v>
      </c>
      <c r="E173" s="89">
        <v>1</v>
      </c>
      <c r="F173" s="8"/>
      <c r="G173" s="8"/>
      <c r="H173" s="8"/>
      <c r="I173" s="8"/>
      <c r="J173" s="8"/>
      <c r="K173" s="8"/>
      <c r="L173" s="8"/>
    </row>
    <row r="174" spans="1:12">
      <c r="A174" s="89">
        <v>272</v>
      </c>
      <c r="B174" s="90" t="s">
        <v>1160</v>
      </c>
      <c r="C174" s="90" t="s">
        <v>5</v>
      </c>
      <c r="D174" s="89">
        <v>1</v>
      </c>
      <c r="E174" s="89">
        <v>1</v>
      </c>
      <c r="F174" s="8"/>
      <c r="G174" s="8"/>
      <c r="H174" s="8"/>
      <c r="I174" s="8"/>
      <c r="J174" s="8"/>
      <c r="K174" s="8"/>
      <c r="L174" s="8"/>
    </row>
    <row r="175" spans="1:12">
      <c r="A175" s="89">
        <v>273</v>
      </c>
      <c r="B175" s="90" t="s">
        <v>1161</v>
      </c>
      <c r="C175" s="90" t="s">
        <v>131</v>
      </c>
      <c r="D175" s="89">
        <v>1</v>
      </c>
      <c r="E175" s="89">
        <v>1</v>
      </c>
      <c r="F175" s="8"/>
      <c r="G175" s="8"/>
      <c r="H175" s="8"/>
      <c r="I175" s="8"/>
      <c r="J175" s="8"/>
      <c r="K175" s="8"/>
      <c r="L175" s="8"/>
    </row>
    <row r="176" spans="1:12">
      <c r="A176" s="89">
        <v>274</v>
      </c>
      <c r="B176" s="90" t="s">
        <v>1162</v>
      </c>
      <c r="C176" s="90" t="s">
        <v>362</v>
      </c>
      <c r="D176" s="89">
        <v>1</v>
      </c>
      <c r="E176" s="89">
        <v>1</v>
      </c>
      <c r="F176" s="8"/>
      <c r="G176" s="8"/>
      <c r="H176" s="8"/>
      <c r="I176" s="8"/>
      <c r="J176" s="8"/>
      <c r="K176" s="8"/>
      <c r="L176" s="8"/>
    </row>
    <row r="177" spans="1:12">
      <c r="A177" s="89">
        <v>275</v>
      </c>
      <c r="B177" s="90" t="s">
        <v>1163</v>
      </c>
      <c r="C177" s="90" t="s">
        <v>259</v>
      </c>
      <c r="D177" s="89">
        <v>1</v>
      </c>
      <c r="E177" s="89">
        <v>1</v>
      </c>
      <c r="F177" s="8"/>
      <c r="G177" s="8"/>
      <c r="H177" s="8"/>
      <c r="I177" s="8"/>
      <c r="J177" s="8"/>
      <c r="K177" s="8"/>
      <c r="L177" s="8"/>
    </row>
    <row r="178" spans="1:12">
      <c r="A178" s="89">
        <v>276</v>
      </c>
      <c r="B178" s="90" t="s">
        <v>1164</v>
      </c>
      <c r="C178" s="90" t="s">
        <v>21</v>
      </c>
      <c r="D178" s="89">
        <v>1</v>
      </c>
      <c r="E178" s="89">
        <v>1</v>
      </c>
      <c r="F178" s="8"/>
      <c r="G178" s="8"/>
      <c r="H178" s="8"/>
      <c r="I178" s="8"/>
      <c r="J178" s="8"/>
      <c r="K178" s="8"/>
      <c r="L178" s="8"/>
    </row>
    <row r="179" spans="1:12">
      <c r="A179" s="89">
        <v>277</v>
      </c>
      <c r="B179" s="90" t="s">
        <v>1165</v>
      </c>
      <c r="C179" s="90" t="s">
        <v>191</v>
      </c>
      <c r="D179" s="89">
        <v>1</v>
      </c>
      <c r="E179" s="89">
        <v>1</v>
      </c>
      <c r="F179" s="8"/>
      <c r="G179" s="8"/>
      <c r="H179" s="8"/>
      <c r="I179" s="8"/>
      <c r="J179" s="8"/>
      <c r="K179" s="8"/>
      <c r="L179" s="8"/>
    </row>
    <row r="180" spans="1:12">
      <c r="A180" s="89">
        <v>309</v>
      </c>
      <c r="B180" s="90" t="s">
        <v>1166</v>
      </c>
      <c r="C180" s="90" t="s">
        <v>151</v>
      </c>
      <c r="D180" s="89">
        <v>1</v>
      </c>
      <c r="E180" s="89">
        <v>1</v>
      </c>
      <c r="F180" s="8"/>
      <c r="G180" s="8"/>
      <c r="H180" s="8"/>
      <c r="I180" s="8"/>
      <c r="J180" s="8"/>
      <c r="K180" s="8"/>
      <c r="L180" s="8"/>
    </row>
    <row r="181" spans="1:12">
      <c r="A181" s="89">
        <v>312</v>
      </c>
      <c r="B181" s="90" t="s">
        <v>1167</v>
      </c>
      <c r="C181" s="90" t="s">
        <v>92</v>
      </c>
      <c r="D181" s="89">
        <v>1</v>
      </c>
      <c r="E181" s="89">
        <v>1</v>
      </c>
      <c r="F181" s="8"/>
      <c r="G181" s="8"/>
      <c r="H181" s="8"/>
      <c r="I181" s="8"/>
      <c r="J181" s="8"/>
      <c r="K181" s="8"/>
      <c r="L181" s="8"/>
    </row>
    <row r="182" spans="1:12">
      <c r="A182" s="89">
        <v>311</v>
      </c>
      <c r="B182" s="90" t="s">
        <v>1168</v>
      </c>
      <c r="C182" s="90" t="s">
        <v>72</v>
      </c>
      <c r="D182" s="89">
        <v>1</v>
      </c>
      <c r="E182" s="89">
        <v>1</v>
      </c>
      <c r="F182" s="8"/>
      <c r="G182" s="8"/>
      <c r="H182" s="8"/>
      <c r="I182" s="8"/>
      <c r="J182" s="8"/>
      <c r="K182" s="8"/>
      <c r="L182" s="8"/>
    </row>
    <row r="183" spans="1:12">
      <c r="A183" s="89">
        <v>370</v>
      </c>
      <c r="B183" s="90" t="s">
        <v>1169</v>
      </c>
      <c r="C183" s="90" t="s">
        <v>311</v>
      </c>
      <c r="D183" s="89">
        <v>1</v>
      </c>
      <c r="E183" s="89">
        <v>1</v>
      </c>
      <c r="F183" s="8"/>
      <c r="G183" s="8"/>
      <c r="H183" s="8"/>
      <c r="I183" s="8"/>
      <c r="J183" s="8"/>
      <c r="K183" s="8"/>
      <c r="L183" s="8"/>
    </row>
    <row r="184" spans="1:12">
      <c r="A184" s="89">
        <v>342</v>
      </c>
      <c r="B184" s="90" t="s">
        <v>1170</v>
      </c>
      <c r="C184" s="90" t="s">
        <v>319</v>
      </c>
      <c r="D184" s="89">
        <v>1</v>
      </c>
      <c r="E184" s="89">
        <v>1</v>
      </c>
      <c r="F184" s="8"/>
      <c r="G184" s="8"/>
      <c r="H184" s="8"/>
      <c r="I184" s="8"/>
      <c r="J184" s="8"/>
      <c r="K184" s="8"/>
      <c r="L184" s="8"/>
    </row>
    <row r="185" spans="1:12">
      <c r="A185" s="89">
        <v>343</v>
      </c>
      <c r="B185" s="90" t="s">
        <v>1171</v>
      </c>
      <c r="C185" s="90" t="s">
        <v>40</v>
      </c>
      <c r="D185" s="89">
        <v>1</v>
      </c>
      <c r="E185" s="89">
        <v>1</v>
      </c>
      <c r="F185" s="8"/>
      <c r="G185" s="8"/>
      <c r="H185" s="8"/>
      <c r="I185" s="8"/>
      <c r="J185" s="8"/>
      <c r="K185" s="8"/>
      <c r="L185" s="8"/>
    </row>
    <row r="186" spans="1:12">
      <c r="A186" s="89">
        <v>344</v>
      </c>
      <c r="B186" s="90" t="s">
        <v>1172</v>
      </c>
      <c r="C186" s="90" t="s">
        <v>112</v>
      </c>
      <c r="D186" s="89">
        <v>1</v>
      </c>
      <c r="E186" s="89">
        <v>1</v>
      </c>
      <c r="F186" s="8"/>
      <c r="G186" s="8"/>
      <c r="H186" s="8"/>
      <c r="I186" s="8"/>
      <c r="J186" s="8"/>
      <c r="K186" s="8"/>
      <c r="L186" s="8"/>
    </row>
    <row r="187" spans="1:12">
      <c r="A187" s="89">
        <v>345</v>
      </c>
      <c r="B187" s="90" t="s">
        <v>1173</v>
      </c>
      <c r="C187" s="90" t="s">
        <v>155</v>
      </c>
      <c r="D187" s="89">
        <v>1</v>
      </c>
      <c r="E187" s="89">
        <v>1</v>
      </c>
      <c r="F187" s="8"/>
      <c r="G187" s="8"/>
      <c r="H187" s="8"/>
      <c r="I187" s="8"/>
      <c r="J187" s="8"/>
      <c r="K187" s="8"/>
      <c r="L187" s="8"/>
    </row>
    <row r="188" spans="1:12">
      <c r="A188" s="89">
        <v>2</v>
      </c>
      <c r="B188" s="90" t="s">
        <v>1174</v>
      </c>
      <c r="C188" s="90" t="s">
        <v>96</v>
      </c>
      <c r="D188" s="89">
        <v>1</v>
      </c>
      <c r="E188" s="89">
        <v>1</v>
      </c>
      <c r="F188" s="8"/>
      <c r="G188" s="8"/>
      <c r="H188" s="8"/>
      <c r="I188" s="8"/>
      <c r="J188" s="8"/>
      <c r="K188" s="8"/>
      <c r="L188" s="8"/>
    </row>
    <row r="189" spans="1:12">
      <c r="A189" s="89">
        <v>373</v>
      </c>
      <c r="B189" s="90" t="s">
        <v>1175</v>
      </c>
      <c r="C189" s="90" t="s">
        <v>9</v>
      </c>
      <c r="D189" s="89">
        <v>1</v>
      </c>
      <c r="E189" s="89">
        <v>1</v>
      </c>
      <c r="F189" s="8"/>
      <c r="G189" s="8"/>
      <c r="H189" s="8"/>
      <c r="I189" s="8"/>
      <c r="J189" s="8"/>
      <c r="K189" s="8"/>
      <c r="L189" s="8"/>
    </row>
    <row r="190" spans="1:12">
      <c r="A190" s="89">
        <v>347</v>
      </c>
      <c r="B190" s="90" t="s">
        <v>1176</v>
      </c>
      <c r="C190" s="90" t="s">
        <v>32</v>
      </c>
      <c r="D190" s="89">
        <v>1</v>
      </c>
      <c r="E190" s="89">
        <v>1</v>
      </c>
      <c r="F190" s="8"/>
      <c r="G190" s="8"/>
      <c r="H190" s="8"/>
      <c r="I190" s="8"/>
      <c r="J190" s="8"/>
      <c r="K190" s="8"/>
      <c r="L190" s="8"/>
    </row>
    <row r="191" spans="1:12">
      <c r="A191" s="89">
        <v>348</v>
      </c>
      <c r="B191" s="90" t="s">
        <v>1177</v>
      </c>
      <c r="C191" s="90" t="s">
        <v>123</v>
      </c>
      <c r="D191" s="89">
        <v>1</v>
      </c>
      <c r="E191" s="89">
        <v>1</v>
      </c>
      <c r="F191" s="8"/>
      <c r="G191" s="8"/>
      <c r="H191" s="8"/>
      <c r="I191" s="8"/>
      <c r="J191" s="8"/>
      <c r="K191" s="8"/>
      <c r="L191" s="8"/>
    </row>
    <row r="192" spans="1:12">
      <c r="A192" s="89">
        <v>372</v>
      </c>
      <c r="B192" s="90" t="s">
        <v>1178</v>
      </c>
      <c r="C192" s="90" t="s">
        <v>5</v>
      </c>
      <c r="D192" s="89">
        <v>1</v>
      </c>
      <c r="E192" s="89">
        <v>1</v>
      </c>
      <c r="F192" s="8"/>
      <c r="G192" s="8"/>
      <c r="H192" s="8"/>
      <c r="I192" s="8"/>
      <c r="J192" s="8"/>
      <c r="K192" s="8"/>
      <c r="L192" s="8"/>
    </row>
    <row r="193" spans="1:12">
      <c r="A193" s="89">
        <v>349</v>
      </c>
      <c r="B193" s="90" t="s">
        <v>1179</v>
      </c>
      <c r="C193" s="90" t="s">
        <v>191</v>
      </c>
      <c r="D193" s="89">
        <v>1</v>
      </c>
      <c r="E193" s="89">
        <v>1</v>
      </c>
      <c r="F193" s="8"/>
      <c r="G193" s="8"/>
      <c r="H193" s="8"/>
      <c r="I193" s="8"/>
      <c r="J193" s="8"/>
      <c r="K193" s="8"/>
      <c r="L193" s="8"/>
    </row>
    <row r="194" spans="1:12">
      <c r="A194" s="89">
        <v>350</v>
      </c>
      <c r="B194" s="90" t="s">
        <v>1180</v>
      </c>
      <c r="C194" s="90" t="s">
        <v>68</v>
      </c>
      <c r="D194" s="89">
        <v>1</v>
      </c>
      <c r="E194" s="89">
        <v>1</v>
      </c>
      <c r="F194" s="8"/>
      <c r="G194" s="8"/>
      <c r="H194" s="8"/>
      <c r="I194" s="8"/>
      <c r="J194" s="8"/>
      <c r="K194" s="8"/>
      <c r="L194" s="8"/>
    </row>
    <row r="195" spans="1:12">
      <c r="A195" s="89">
        <v>351</v>
      </c>
      <c r="B195" s="90" t="s">
        <v>1181</v>
      </c>
      <c r="C195" s="90" t="s">
        <v>267</v>
      </c>
      <c r="D195" s="89">
        <v>1</v>
      </c>
      <c r="E195" s="89">
        <v>1</v>
      </c>
      <c r="F195" s="8"/>
      <c r="G195" s="8"/>
      <c r="H195" s="8"/>
      <c r="I195" s="8"/>
      <c r="J195" s="8"/>
      <c r="K195" s="8"/>
      <c r="L195" s="8"/>
    </row>
    <row r="196" spans="1:12">
      <c r="A196" s="89">
        <v>352</v>
      </c>
      <c r="B196" s="90" t="s">
        <v>1182</v>
      </c>
      <c r="C196" s="90" t="s">
        <v>346</v>
      </c>
      <c r="D196" s="89">
        <v>1</v>
      </c>
      <c r="E196" s="89">
        <v>1</v>
      </c>
      <c r="F196" s="8"/>
      <c r="G196" s="8"/>
      <c r="H196" s="8"/>
      <c r="I196" s="8"/>
      <c r="J196" s="8"/>
      <c r="K196" s="8"/>
      <c r="L196" s="8"/>
    </row>
    <row r="197" spans="1:12">
      <c r="A197" s="89">
        <v>371</v>
      </c>
      <c r="B197" s="90" t="s">
        <v>1183</v>
      </c>
      <c r="C197" s="90" t="s">
        <v>72</v>
      </c>
      <c r="D197" s="89">
        <v>1</v>
      </c>
      <c r="E197" s="89">
        <v>1</v>
      </c>
      <c r="F197" s="8"/>
      <c r="G197" s="8"/>
      <c r="H197" s="8"/>
      <c r="I197" s="8"/>
      <c r="J197" s="8"/>
      <c r="K197" s="8"/>
      <c r="L197" s="8"/>
    </row>
    <row r="198" spans="1:12">
      <c r="A198" s="89">
        <v>353</v>
      </c>
      <c r="B198" s="90" t="s">
        <v>1184</v>
      </c>
      <c r="C198" s="90" t="s">
        <v>462</v>
      </c>
      <c r="D198" s="89">
        <v>1</v>
      </c>
      <c r="E198" s="89">
        <v>1</v>
      </c>
      <c r="F198" s="8"/>
      <c r="G198" s="8"/>
      <c r="H198" s="8"/>
      <c r="I198" s="8"/>
      <c r="J198" s="8"/>
      <c r="K198" s="8"/>
      <c r="L198" s="8"/>
    </row>
    <row r="199" spans="1:12">
      <c r="A199" s="89">
        <v>365</v>
      </c>
      <c r="B199" s="90" t="s">
        <v>1185</v>
      </c>
      <c r="C199" s="90" t="s">
        <v>17</v>
      </c>
      <c r="D199" s="89">
        <v>1</v>
      </c>
      <c r="E199" s="89">
        <v>1</v>
      </c>
      <c r="F199" s="8"/>
      <c r="G199" s="8"/>
      <c r="H199" s="8"/>
      <c r="I199" s="8"/>
      <c r="J199" s="8"/>
      <c r="K199" s="8"/>
      <c r="L199" s="8"/>
    </row>
    <row r="200" spans="1:12">
      <c r="A200" s="89">
        <v>354</v>
      </c>
      <c r="B200" s="90" t="s">
        <v>1186</v>
      </c>
      <c r="C200" s="90" t="s">
        <v>32</v>
      </c>
      <c r="D200" s="89">
        <v>1</v>
      </c>
      <c r="E200" s="89">
        <v>1</v>
      </c>
      <c r="F200" s="8"/>
      <c r="G200" s="8"/>
      <c r="H200" s="8"/>
      <c r="I200" s="8"/>
      <c r="J200" s="8"/>
      <c r="K200" s="8"/>
      <c r="L200" s="8"/>
    </row>
    <row r="201" spans="1:12">
      <c r="A201" s="89">
        <v>355</v>
      </c>
      <c r="B201" s="90" t="s">
        <v>1187</v>
      </c>
      <c r="C201" s="90" t="s">
        <v>378</v>
      </c>
      <c r="D201" s="89">
        <v>1</v>
      </c>
      <c r="E201" s="89">
        <v>1</v>
      </c>
      <c r="F201" s="8"/>
      <c r="G201" s="8"/>
      <c r="H201" s="8"/>
      <c r="I201" s="8"/>
      <c r="J201" s="8"/>
      <c r="K201" s="8"/>
      <c r="L201" s="8"/>
    </row>
    <row r="202" spans="1:12">
      <c r="A202" s="89">
        <v>356</v>
      </c>
      <c r="B202" s="90" t="s">
        <v>1188</v>
      </c>
      <c r="C202" s="90" t="s">
        <v>370</v>
      </c>
      <c r="D202" s="89">
        <v>1</v>
      </c>
      <c r="E202" s="89">
        <v>1</v>
      </c>
      <c r="F202" s="8"/>
      <c r="G202" s="8"/>
      <c r="H202" s="8"/>
      <c r="I202" s="8"/>
      <c r="J202" s="8"/>
      <c r="K202" s="8"/>
      <c r="L202" s="8"/>
    </row>
    <row r="203" spans="1:12">
      <c r="A203" s="89">
        <v>357</v>
      </c>
      <c r="B203" s="90" t="s">
        <v>1189</v>
      </c>
      <c r="C203" s="90" t="s">
        <v>203</v>
      </c>
      <c r="D203" s="89">
        <v>1</v>
      </c>
      <c r="E203" s="89">
        <v>1</v>
      </c>
      <c r="F203" s="8"/>
      <c r="G203" s="8"/>
      <c r="H203" s="8"/>
      <c r="I203" s="8"/>
      <c r="J203" s="8"/>
      <c r="K203" s="8"/>
      <c r="L203" s="8"/>
    </row>
    <row r="204" spans="1:12">
      <c r="A204" s="89">
        <v>358</v>
      </c>
      <c r="B204" s="90" t="s">
        <v>1190</v>
      </c>
      <c r="C204" s="90" t="s">
        <v>195</v>
      </c>
      <c r="D204" s="89">
        <v>1</v>
      </c>
      <c r="E204" s="89">
        <v>1</v>
      </c>
      <c r="F204" s="8"/>
      <c r="G204" s="8"/>
      <c r="H204" s="8"/>
      <c r="I204" s="8"/>
      <c r="J204" s="8"/>
      <c r="K204" s="8"/>
      <c r="L204" s="8"/>
    </row>
    <row r="205" spans="1:12">
      <c r="A205" s="89">
        <v>359</v>
      </c>
      <c r="B205" s="90" t="s">
        <v>1191</v>
      </c>
      <c r="C205" s="90" t="s">
        <v>143</v>
      </c>
      <c r="D205" s="89">
        <v>1</v>
      </c>
      <c r="E205" s="89">
        <v>1</v>
      </c>
      <c r="F205" s="8"/>
      <c r="G205" s="8"/>
      <c r="H205" s="8"/>
      <c r="I205" s="8"/>
      <c r="J205" s="8"/>
      <c r="K205" s="8"/>
      <c r="L205" s="8"/>
    </row>
    <row r="206" spans="1:12">
      <c r="A206" s="89">
        <v>360</v>
      </c>
      <c r="B206" s="90" t="s">
        <v>1192</v>
      </c>
      <c r="C206" s="90" t="s">
        <v>255</v>
      </c>
      <c r="D206" s="89">
        <v>1</v>
      </c>
      <c r="E206" s="89">
        <v>1</v>
      </c>
      <c r="F206" s="8"/>
      <c r="G206" s="8"/>
      <c r="H206" s="8"/>
      <c r="I206" s="8"/>
      <c r="J206" s="8"/>
      <c r="K206" s="8"/>
      <c r="L206" s="8"/>
    </row>
    <row r="207" spans="1:12">
      <c r="A207" s="89">
        <v>361</v>
      </c>
      <c r="B207" s="90" t="s">
        <v>1193</v>
      </c>
      <c r="C207" s="90" t="s">
        <v>64</v>
      </c>
      <c r="D207" s="89">
        <v>1</v>
      </c>
      <c r="E207" s="89">
        <v>1</v>
      </c>
      <c r="F207" s="8"/>
      <c r="G207" s="8"/>
      <c r="H207" s="8"/>
      <c r="I207" s="8"/>
      <c r="J207" s="8"/>
      <c r="K207" s="8"/>
      <c r="L207" s="8"/>
    </row>
    <row r="208" spans="1:12">
      <c r="A208" s="89">
        <v>362</v>
      </c>
      <c r="B208" s="90" t="s">
        <v>1194</v>
      </c>
      <c r="C208" s="90" t="s">
        <v>398</v>
      </c>
      <c r="D208" s="89">
        <v>1</v>
      </c>
      <c r="E208" s="89">
        <v>1</v>
      </c>
      <c r="F208" s="8"/>
      <c r="G208" s="8"/>
      <c r="H208" s="8"/>
      <c r="I208" s="8"/>
      <c r="J208" s="8"/>
      <c r="K208" s="8"/>
      <c r="L208" s="8"/>
    </row>
    <row r="209" spans="1:12">
      <c r="A209" s="89">
        <v>363</v>
      </c>
      <c r="B209" s="90" t="s">
        <v>1195</v>
      </c>
      <c r="C209" s="90" t="s">
        <v>271</v>
      </c>
      <c r="D209" s="89">
        <v>1</v>
      </c>
      <c r="E209" s="89">
        <v>1</v>
      </c>
      <c r="F209" s="8"/>
      <c r="G209" s="8"/>
      <c r="H209" s="8"/>
      <c r="I209" s="8"/>
      <c r="J209" s="8"/>
      <c r="K209" s="8"/>
      <c r="L209" s="8"/>
    </row>
    <row r="210" spans="1:12">
      <c r="A210" s="89">
        <v>369</v>
      </c>
      <c r="B210" s="90" t="s">
        <v>1196</v>
      </c>
      <c r="C210" s="90" t="s">
        <v>271</v>
      </c>
      <c r="D210" s="89">
        <v>1</v>
      </c>
      <c r="E210" s="89">
        <v>1</v>
      </c>
      <c r="F210" s="8"/>
      <c r="G210" s="8"/>
      <c r="H210" s="8"/>
      <c r="I210" s="8"/>
      <c r="J210" s="8"/>
      <c r="K210" s="8"/>
      <c r="L210" s="8"/>
    </row>
    <row r="211" spans="1:12">
      <c r="A211" s="89">
        <v>368</v>
      </c>
      <c r="B211" s="90" t="s">
        <v>1197</v>
      </c>
      <c r="C211" s="90" t="s">
        <v>56</v>
      </c>
      <c r="D211" s="89">
        <v>1</v>
      </c>
      <c r="E211" s="89">
        <v>1</v>
      </c>
      <c r="F211" s="8"/>
      <c r="G211" s="8"/>
      <c r="H211" s="8"/>
      <c r="I211" s="8"/>
      <c r="J211" s="8"/>
      <c r="K211" s="8"/>
      <c r="L211" s="8"/>
    </row>
    <row r="212" spans="1:12">
      <c r="A212" s="89">
        <v>364</v>
      </c>
      <c r="B212" s="90" t="s">
        <v>1198</v>
      </c>
      <c r="C212" s="90" t="s">
        <v>21</v>
      </c>
      <c r="D212" s="89">
        <v>1</v>
      </c>
      <c r="E212" s="89">
        <v>1</v>
      </c>
      <c r="F212" s="8"/>
      <c r="G212" s="8"/>
      <c r="H212" s="8"/>
      <c r="I212" s="8"/>
      <c r="J212" s="8"/>
      <c r="K212" s="8"/>
      <c r="L212" s="8"/>
    </row>
    <row r="213" spans="1:12">
      <c r="A213" s="89">
        <v>367</v>
      </c>
      <c r="B213" s="90" t="s">
        <v>1199</v>
      </c>
      <c r="C213" s="90" t="s">
        <v>430</v>
      </c>
      <c r="D213" s="89">
        <v>1</v>
      </c>
      <c r="E213" s="89">
        <v>1</v>
      </c>
      <c r="F213" s="8"/>
      <c r="G213" s="8"/>
      <c r="H213" s="8"/>
      <c r="I213" s="8"/>
      <c r="J213" s="8"/>
      <c r="K213" s="8"/>
      <c r="L213" s="8"/>
    </row>
    <row r="214" spans="1:12">
      <c r="A214" s="89">
        <v>341</v>
      </c>
      <c r="B214" s="90" t="s">
        <v>1200</v>
      </c>
      <c r="C214" s="90" t="s">
        <v>406</v>
      </c>
      <c r="D214" s="89">
        <v>1</v>
      </c>
      <c r="E214" s="89">
        <v>1</v>
      </c>
      <c r="F214" s="8"/>
      <c r="G214" s="8"/>
      <c r="H214" s="8"/>
      <c r="I214" s="8"/>
      <c r="J214" s="8"/>
      <c r="K214" s="8"/>
      <c r="L214" s="8"/>
    </row>
    <row r="215" spans="1:12">
      <c r="A215" s="89">
        <v>340</v>
      </c>
      <c r="B215" s="90" t="s">
        <v>1201</v>
      </c>
      <c r="C215" s="90" t="s">
        <v>68</v>
      </c>
      <c r="D215" s="89">
        <v>1</v>
      </c>
      <c r="E215" s="89">
        <v>1</v>
      </c>
      <c r="F215" s="8"/>
      <c r="G215" s="8"/>
      <c r="H215" s="8"/>
      <c r="I215" s="8"/>
      <c r="J215" s="8"/>
      <c r="K215" s="8"/>
      <c r="L215" s="8"/>
    </row>
    <row r="216" spans="1:12">
      <c r="A216" s="89">
        <v>339</v>
      </c>
      <c r="B216" s="90" t="s">
        <v>1202</v>
      </c>
      <c r="C216" s="90" t="s">
        <v>271</v>
      </c>
      <c r="D216" s="89">
        <v>1</v>
      </c>
      <c r="E216" s="89">
        <v>1</v>
      </c>
      <c r="F216" s="8"/>
      <c r="G216" s="8"/>
      <c r="H216" s="8"/>
      <c r="I216" s="8"/>
      <c r="J216" s="8"/>
      <c r="K216" s="8"/>
      <c r="L216" s="8"/>
    </row>
    <row r="217" spans="1:12">
      <c r="A217" s="89">
        <v>338</v>
      </c>
      <c r="B217" s="90" t="s">
        <v>1203</v>
      </c>
      <c r="C217" s="90" t="s">
        <v>9</v>
      </c>
      <c r="D217" s="89">
        <v>1</v>
      </c>
      <c r="E217" s="89">
        <v>1</v>
      </c>
      <c r="F217" s="8"/>
      <c r="G217" s="8"/>
      <c r="H217" s="8"/>
      <c r="I217" s="8"/>
      <c r="J217" s="8"/>
      <c r="K217" s="8"/>
      <c r="L217" s="8"/>
    </row>
    <row r="218" spans="1:12">
      <c r="A218" s="89">
        <v>313</v>
      </c>
      <c r="B218" s="90" t="s">
        <v>1204</v>
      </c>
      <c r="C218" s="90" t="s">
        <v>68</v>
      </c>
      <c r="D218" s="89">
        <v>1</v>
      </c>
      <c r="E218" s="89">
        <v>1</v>
      </c>
      <c r="F218" s="8"/>
      <c r="G218" s="8"/>
      <c r="H218" s="8"/>
      <c r="I218" s="8"/>
      <c r="J218" s="8"/>
      <c r="K218" s="8"/>
      <c r="L218" s="8"/>
    </row>
    <row r="219" spans="1:12">
      <c r="A219" s="89">
        <v>314</v>
      </c>
      <c r="B219" s="90" t="s">
        <v>1205</v>
      </c>
      <c r="C219" s="90" t="s">
        <v>311</v>
      </c>
      <c r="D219" s="89">
        <v>1</v>
      </c>
      <c r="E219" s="89">
        <v>1</v>
      </c>
      <c r="F219" s="8"/>
      <c r="G219" s="8"/>
      <c r="H219" s="8"/>
      <c r="I219" s="8"/>
      <c r="J219" s="8"/>
      <c r="K219" s="8"/>
      <c r="L219" s="8"/>
    </row>
    <row r="220" spans="1:12">
      <c r="A220" s="89">
        <v>315</v>
      </c>
      <c r="B220" s="90" t="s">
        <v>1206</v>
      </c>
      <c r="C220" s="90" t="s">
        <v>139</v>
      </c>
      <c r="D220" s="89">
        <v>1</v>
      </c>
      <c r="E220" s="89">
        <v>1</v>
      </c>
      <c r="F220" s="8"/>
      <c r="G220" s="8"/>
      <c r="H220" s="8"/>
      <c r="I220" s="8"/>
      <c r="J220" s="8"/>
      <c r="K220" s="8"/>
      <c r="L220" s="8"/>
    </row>
    <row r="221" spans="1:12">
      <c r="A221" s="89">
        <v>316</v>
      </c>
      <c r="B221" s="90" t="s">
        <v>1207</v>
      </c>
      <c r="C221" s="90" t="s">
        <v>426</v>
      </c>
      <c r="D221" s="89">
        <v>1</v>
      </c>
      <c r="E221" s="89">
        <v>1</v>
      </c>
      <c r="F221" s="8"/>
      <c r="G221" s="8"/>
      <c r="H221" s="8"/>
      <c r="I221" s="8"/>
      <c r="J221" s="8"/>
      <c r="K221" s="8"/>
      <c r="L221" s="8"/>
    </row>
    <row r="222" spans="1:12">
      <c r="A222" s="89">
        <v>317</v>
      </c>
      <c r="B222" s="90" t="s">
        <v>1208</v>
      </c>
      <c r="C222" s="90" t="s">
        <v>346</v>
      </c>
      <c r="D222" s="89">
        <v>1</v>
      </c>
      <c r="E222" s="89">
        <v>1</v>
      </c>
      <c r="F222" s="8"/>
      <c r="G222" s="8"/>
      <c r="H222" s="8"/>
      <c r="I222" s="8"/>
      <c r="J222" s="8"/>
      <c r="K222" s="8"/>
      <c r="L222" s="8"/>
    </row>
    <row r="223" spans="1:12">
      <c r="A223" s="89">
        <v>318</v>
      </c>
      <c r="B223" s="90" t="s">
        <v>1209</v>
      </c>
      <c r="C223" s="90" t="s">
        <v>68</v>
      </c>
      <c r="D223" s="89">
        <v>1</v>
      </c>
      <c r="E223" s="89">
        <v>1</v>
      </c>
      <c r="F223" s="8"/>
      <c r="G223" s="8"/>
      <c r="H223" s="8"/>
      <c r="I223" s="8"/>
      <c r="J223" s="8"/>
      <c r="K223" s="8"/>
      <c r="L223" s="8"/>
    </row>
    <row r="224" spans="1:12">
      <c r="A224" s="89">
        <v>319</v>
      </c>
      <c r="B224" s="90" t="s">
        <v>1210</v>
      </c>
      <c r="C224" s="90" t="s">
        <v>410</v>
      </c>
      <c r="D224" s="89">
        <v>1</v>
      </c>
      <c r="E224" s="89">
        <v>1</v>
      </c>
      <c r="F224" s="8"/>
      <c r="G224" s="8"/>
      <c r="H224" s="8"/>
      <c r="I224" s="8"/>
      <c r="J224" s="8"/>
      <c r="K224" s="8"/>
      <c r="L224" s="8"/>
    </row>
    <row r="225" spans="1:12">
      <c r="A225" s="89">
        <v>320</v>
      </c>
      <c r="B225" s="90" t="s">
        <v>1211</v>
      </c>
      <c r="C225" s="90" t="s">
        <v>350</v>
      </c>
      <c r="D225" s="89">
        <v>1</v>
      </c>
      <c r="E225" s="89">
        <v>1</v>
      </c>
      <c r="F225" s="8"/>
      <c r="G225" s="8"/>
      <c r="H225" s="8"/>
      <c r="I225" s="8"/>
      <c r="J225" s="8"/>
      <c r="K225" s="8"/>
      <c r="L225" s="8"/>
    </row>
    <row r="226" spans="1:12">
      <c r="A226" s="89">
        <v>246</v>
      </c>
      <c r="B226" s="90" t="s">
        <v>1212</v>
      </c>
      <c r="C226" s="90" t="s">
        <v>474</v>
      </c>
      <c r="D226" s="89">
        <v>1</v>
      </c>
      <c r="E226" s="89">
        <v>1</v>
      </c>
      <c r="F226" s="8"/>
      <c r="G226" s="8"/>
      <c r="H226" s="8"/>
      <c r="I226" s="8"/>
      <c r="J226" s="8"/>
      <c r="K226" s="8"/>
      <c r="L226" s="8"/>
    </row>
    <row r="227" spans="1:12">
      <c r="A227" s="89">
        <v>321</v>
      </c>
      <c r="B227" s="90" t="s">
        <v>1213</v>
      </c>
      <c r="C227" s="90" t="s">
        <v>490</v>
      </c>
      <c r="D227" s="89">
        <v>1</v>
      </c>
      <c r="E227" s="89">
        <v>1</v>
      </c>
      <c r="F227" s="8"/>
      <c r="G227" s="8"/>
      <c r="H227" s="8"/>
      <c r="I227" s="8"/>
      <c r="J227" s="8"/>
      <c r="K227" s="8"/>
      <c r="L227" s="8"/>
    </row>
    <row r="228" spans="1:12">
      <c r="A228" s="89">
        <v>322</v>
      </c>
      <c r="B228" s="90" t="s">
        <v>1214</v>
      </c>
      <c r="C228" s="90" t="s">
        <v>394</v>
      </c>
      <c r="D228" s="89">
        <v>1</v>
      </c>
      <c r="E228" s="89">
        <v>1</v>
      </c>
      <c r="F228" s="8"/>
      <c r="G228" s="8"/>
      <c r="H228" s="8"/>
      <c r="I228" s="8"/>
      <c r="J228" s="8"/>
      <c r="K228" s="8"/>
      <c r="L228" s="8"/>
    </row>
    <row r="229" spans="1:12">
      <c r="A229" s="89">
        <v>323</v>
      </c>
      <c r="B229" s="90" t="s">
        <v>1215</v>
      </c>
      <c r="C229" s="90" t="s">
        <v>227</v>
      </c>
      <c r="D229" s="89">
        <v>1</v>
      </c>
      <c r="E229" s="89">
        <v>1</v>
      </c>
      <c r="F229" s="8"/>
      <c r="G229" s="8"/>
      <c r="H229" s="8"/>
      <c r="I229" s="8"/>
      <c r="J229" s="8"/>
      <c r="K229" s="8"/>
      <c r="L229" s="8"/>
    </row>
    <row r="230" spans="1:12">
      <c r="A230" s="89">
        <v>324</v>
      </c>
      <c r="B230" s="90" t="s">
        <v>1216</v>
      </c>
      <c r="C230" s="90" t="s">
        <v>251</v>
      </c>
      <c r="D230" s="89">
        <v>1</v>
      </c>
      <c r="E230" s="89">
        <v>1</v>
      </c>
      <c r="F230" s="8"/>
      <c r="G230" s="8"/>
      <c r="H230" s="8"/>
      <c r="I230" s="8"/>
      <c r="J230" s="8"/>
      <c r="K230" s="8"/>
      <c r="L230" s="8"/>
    </row>
    <row r="231" spans="1:12">
      <c r="A231" s="89">
        <v>325</v>
      </c>
      <c r="B231" s="90" t="s">
        <v>1217</v>
      </c>
      <c r="C231" s="90" t="s">
        <v>247</v>
      </c>
      <c r="D231" s="89">
        <v>1</v>
      </c>
      <c r="E231" s="89">
        <v>1</v>
      </c>
      <c r="F231" s="8"/>
      <c r="G231" s="8"/>
      <c r="H231" s="8"/>
      <c r="I231" s="8"/>
      <c r="J231" s="8"/>
      <c r="K231" s="8"/>
      <c r="L231" s="8"/>
    </row>
    <row r="232" spans="1:12">
      <c r="A232" s="89">
        <v>326</v>
      </c>
      <c r="B232" s="90" t="s">
        <v>1218</v>
      </c>
      <c r="C232" s="90" t="s">
        <v>68</v>
      </c>
      <c r="D232" s="89">
        <v>1</v>
      </c>
      <c r="E232" s="89">
        <v>1</v>
      </c>
      <c r="F232" s="8"/>
      <c r="G232" s="8"/>
      <c r="H232" s="8"/>
      <c r="I232" s="8"/>
      <c r="J232" s="8"/>
      <c r="K232" s="8"/>
      <c r="L232" s="8"/>
    </row>
    <row r="233" spans="1:12">
      <c r="A233" s="89">
        <v>327</v>
      </c>
      <c r="B233" s="90" t="s">
        <v>1219</v>
      </c>
      <c r="C233" s="90" t="s">
        <v>96</v>
      </c>
      <c r="D233" s="89">
        <v>1</v>
      </c>
      <c r="E233" s="89">
        <v>1</v>
      </c>
      <c r="F233" s="8"/>
      <c r="G233" s="8"/>
      <c r="H233" s="8"/>
      <c r="I233" s="8"/>
      <c r="J233" s="8"/>
      <c r="K233" s="8"/>
      <c r="L233" s="8"/>
    </row>
    <row r="234" spans="1:12">
      <c r="A234" s="89">
        <v>328</v>
      </c>
      <c r="B234" s="90" t="s">
        <v>1220</v>
      </c>
      <c r="C234" s="90" t="s">
        <v>5</v>
      </c>
      <c r="D234" s="89">
        <v>1</v>
      </c>
      <c r="E234" s="89">
        <v>1</v>
      </c>
      <c r="F234" s="8"/>
      <c r="G234" s="8"/>
      <c r="H234" s="8"/>
      <c r="I234" s="8"/>
      <c r="J234" s="8"/>
      <c r="K234" s="8"/>
      <c r="L234" s="8"/>
    </row>
    <row r="235" spans="1:12">
      <c r="A235" s="89">
        <v>329</v>
      </c>
      <c r="B235" s="90" t="s">
        <v>1221</v>
      </c>
      <c r="C235" s="90" t="s">
        <v>112</v>
      </c>
      <c r="D235" s="89">
        <v>1</v>
      </c>
      <c r="E235" s="89">
        <v>1</v>
      </c>
      <c r="F235" s="8"/>
      <c r="G235" s="8"/>
      <c r="H235" s="8"/>
      <c r="I235" s="8"/>
      <c r="J235" s="8"/>
      <c r="K235" s="8"/>
      <c r="L235" s="8"/>
    </row>
    <row r="236" spans="1:12">
      <c r="A236" s="89">
        <v>330</v>
      </c>
      <c r="B236" s="90" t="s">
        <v>1222</v>
      </c>
      <c r="C236" s="90" t="s">
        <v>434</v>
      </c>
      <c r="D236" s="89">
        <v>1</v>
      </c>
      <c r="E236" s="89">
        <v>1</v>
      </c>
      <c r="F236" s="8"/>
      <c r="G236" s="8"/>
      <c r="H236" s="8"/>
      <c r="I236" s="8"/>
      <c r="J236" s="8"/>
      <c r="K236" s="8"/>
      <c r="L236" s="8"/>
    </row>
    <row r="237" spans="1:12">
      <c r="A237" s="89">
        <v>331</v>
      </c>
      <c r="B237" s="90" t="s">
        <v>1223</v>
      </c>
      <c r="C237" s="90" t="s">
        <v>131</v>
      </c>
      <c r="D237" s="89">
        <v>1</v>
      </c>
      <c r="E237" s="89">
        <v>1</v>
      </c>
      <c r="F237" s="8"/>
      <c r="G237" s="8"/>
      <c r="H237" s="8"/>
      <c r="I237" s="8"/>
      <c r="J237" s="8"/>
      <c r="K237" s="8"/>
      <c r="L237" s="8"/>
    </row>
    <row r="238" spans="1:12">
      <c r="A238" s="89">
        <v>376</v>
      </c>
      <c r="B238" s="90" t="s">
        <v>1224</v>
      </c>
      <c r="C238" s="90" t="s">
        <v>32</v>
      </c>
      <c r="D238" s="89">
        <v>1</v>
      </c>
      <c r="E238" s="89">
        <v>1</v>
      </c>
      <c r="F238" s="8"/>
      <c r="G238" s="8"/>
      <c r="H238" s="8"/>
      <c r="I238" s="8"/>
      <c r="J238" s="8"/>
      <c r="K238" s="8"/>
      <c r="L238" s="8"/>
    </row>
    <row r="239" spans="1:12">
      <c r="A239" s="89">
        <v>332</v>
      </c>
      <c r="B239" s="90" t="s">
        <v>1225</v>
      </c>
      <c r="C239" s="90" t="s">
        <v>135</v>
      </c>
      <c r="D239" s="89">
        <v>1</v>
      </c>
      <c r="E239" s="89">
        <v>1</v>
      </c>
      <c r="F239" s="8"/>
      <c r="G239" s="8"/>
      <c r="H239" s="8"/>
      <c r="I239" s="8"/>
      <c r="J239" s="8"/>
      <c r="K239" s="8"/>
      <c r="L239" s="8"/>
    </row>
    <row r="240" spans="1:12">
      <c r="A240" s="89">
        <v>375</v>
      </c>
      <c r="B240" s="90" t="s">
        <v>1226</v>
      </c>
      <c r="C240" s="90" t="s">
        <v>147</v>
      </c>
      <c r="D240" s="89">
        <v>1</v>
      </c>
      <c r="E240" s="89">
        <v>1</v>
      </c>
      <c r="F240" s="8"/>
      <c r="G240" s="8"/>
      <c r="H240" s="8"/>
      <c r="I240" s="8"/>
      <c r="J240" s="8"/>
      <c r="K240" s="8"/>
      <c r="L240" s="8"/>
    </row>
    <row r="241" spans="1:12">
      <c r="A241" s="89">
        <v>333</v>
      </c>
      <c r="B241" s="90" t="s">
        <v>1227</v>
      </c>
      <c r="C241" s="90" t="s">
        <v>454</v>
      </c>
      <c r="D241" s="89">
        <v>1</v>
      </c>
      <c r="E241" s="89">
        <v>1</v>
      </c>
      <c r="F241" s="8"/>
      <c r="G241" s="8"/>
      <c r="H241" s="8"/>
      <c r="I241" s="8"/>
      <c r="J241" s="8"/>
      <c r="K241" s="8"/>
      <c r="L241" s="8"/>
    </row>
    <row r="242" spans="1:12">
      <c r="A242" s="89">
        <v>374</v>
      </c>
      <c r="B242" s="90" t="s">
        <v>1228</v>
      </c>
      <c r="C242" s="90" t="s">
        <v>60</v>
      </c>
      <c r="D242" s="89">
        <v>1</v>
      </c>
      <c r="E242" s="89">
        <v>1</v>
      </c>
      <c r="F242" s="8"/>
      <c r="G242" s="8"/>
      <c r="H242" s="8"/>
      <c r="I242" s="8"/>
      <c r="J242" s="8"/>
      <c r="K242" s="8"/>
      <c r="L242" s="8"/>
    </row>
    <row r="243" spans="1:12">
      <c r="A243" s="89">
        <v>10</v>
      </c>
      <c r="B243" s="90" t="s">
        <v>1229</v>
      </c>
      <c r="C243" s="90" t="s">
        <v>131</v>
      </c>
      <c r="D243" s="89">
        <v>1</v>
      </c>
      <c r="E243" s="89">
        <v>1</v>
      </c>
      <c r="F243" s="8"/>
      <c r="G243" s="8"/>
      <c r="H243" s="8"/>
      <c r="I243" s="8"/>
      <c r="J243" s="8"/>
      <c r="K243" s="8"/>
      <c r="L243" s="8"/>
    </row>
    <row r="244" spans="1:12">
      <c r="A244" s="89">
        <v>335</v>
      </c>
      <c r="B244" s="90" t="s">
        <v>1230</v>
      </c>
      <c r="C244" s="90" t="s">
        <v>135</v>
      </c>
      <c r="D244" s="89">
        <v>1</v>
      </c>
      <c r="E244" s="89">
        <v>1</v>
      </c>
      <c r="F244" s="8"/>
      <c r="G244" s="8"/>
      <c r="H244" s="8"/>
      <c r="I244" s="8"/>
      <c r="J244" s="8"/>
      <c r="K244" s="8"/>
      <c r="L244" s="8"/>
    </row>
    <row r="245" spans="1:12">
      <c r="A245" s="89">
        <v>6</v>
      </c>
      <c r="B245" s="90" t="s">
        <v>1231</v>
      </c>
      <c r="C245" s="90" t="s">
        <v>56</v>
      </c>
      <c r="D245" s="89">
        <v>1</v>
      </c>
      <c r="E245" s="89">
        <v>1</v>
      </c>
      <c r="F245" s="8"/>
      <c r="G245" s="8"/>
      <c r="H245" s="8"/>
      <c r="I245" s="8"/>
      <c r="J245" s="8"/>
      <c r="K245" s="8"/>
      <c r="L245" s="8"/>
    </row>
    <row r="246" spans="1:12">
      <c r="A246" s="89">
        <v>3</v>
      </c>
      <c r="B246" s="90" t="s">
        <v>1232</v>
      </c>
      <c r="C246" s="90" t="s">
        <v>135</v>
      </c>
      <c r="D246" s="89">
        <v>1</v>
      </c>
      <c r="E246" s="89">
        <v>1</v>
      </c>
      <c r="F246" s="8"/>
      <c r="G246" s="8"/>
      <c r="H246" s="8"/>
      <c r="I246" s="8"/>
      <c r="J246" s="8"/>
      <c r="K246" s="8"/>
      <c r="L246" s="8"/>
    </row>
    <row r="247" spans="1:12">
      <c r="A247" s="89">
        <v>88</v>
      </c>
      <c r="B247" s="90" t="s">
        <v>1233</v>
      </c>
      <c r="C247" s="90" t="s">
        <v>25</v>
      </c>
      <c r="D247" s="89">
        <v>1</v>
      </c>
      <c r="E247" s="89">
        <v>1</v>
      </c>
      <c r="F247" s="8"/>
      <c r="G247" s="8"/>
      <c r="H247" s="8"/>
      <c r="I247" s="8"/>
      <c r="J247" s="8"/>
      <c r="K247" s="8"/>
      <c r="L247" s="8"/>
    </row>
    <row r="248" spans="1:12">
      <c r="A248" s="89">
        <v>234</v>
      </c>
      <c r="B248" s="90" t="s">
        <v>1234</v>
      </c>
      <c r="C248" s="90" t="s">
        <v>402</v>
      </c>
      <c r="D248" s="89">
        <v>1</v>
      </c>
      <c r="E248" s="89">
        <v>1</v>
      </c>
      <c r="F248" s="8"/>
      <c r="G248" s="8"/>
      <c r="H248" s="8"/>
      <c r="I248" s="8"/>
      <c r="J248" s="8"/>
      <c r="K248" s="8"/>
      <c r="L248" s="8"/>
    </row>
    <row r="249" spans="1:12">
      <c r="A249" s="89">
        <v>244</v>
      </c>
      <c r="B249" s="90" t="s">
        <v>1235</v>
      </c>
      <c r="C249" s="90" t="s">
        <v>68</v>
      </c>
      <c r="D249" s="89">
        <v>1</v>
      </c>
      <c r="E249" s="89">
        <v>1</v>
      </c>
      <c r="F249" s="8"/>
      <c r="G249" s="8"/>
      <c r="H249" s="8"/>
      <c r="I249" s="8"/>
      <c r="J249" s="8"/>
      <c r="K249" s="8"/>
      <c r="L249" s="8"/>
    </row>
    <row r="250" spans="1:12">
      <c r="A250" s="89">
        <v>155</v>
      </c>
      <c r="B250" s="90" t="s">
        <v>1236</v>
      </c>
      <c r="C250" s="90" t="s">
        <v>430</v>
      </c>
      <c r="D250" s="89">
        <v>1</v>
      </c>
      <c r="E250" s="89">
        <v>1</v>
      </c>
      <c r="F250" s="8"/>
      <c r="G250" s="8"/>
      <c r="H250" s="8"/>
      <c r="I250" s="8"/>
      <c r="J250" s="8"/>
      <c r="K250" s="8"/>
      <c r="L250" s="8"/>
    </row>
    <row r="251" spans="1:12">
      <c r="A251" s="89">
        <v>138</v>
      </c>
      <c r="B251" s="90" t="s">
        <v>1237</v>
      </c>
      <c r="C251" s="90" t="s">
        <v>291</v>
      </c>
      <c r="D251" s="89">
        <v>1</v>
      </c>
      <c r="E251" s="89">
        <v>1</v>
      </c>
      <c r="F251" s="8"/>
      <c r="G251" s="8"/>
      <c r="H251" s="8"/>
      <c r="I251" s="8"/>
      <c r="J251" s="8"/>
      <c r="K251" s="8"/>
      <c r="L251" s="8"/>
    </row>
    <row r="252" spans="1:12">
      <c r="A252" s="89">
        <v>139</v>
      </c>
      <c r="B252" s="90" t="s">
        <v>1238</v>
      </c>
      <c r="C252" s="90" t="s">
        <v>88</v>
      </c>
      <c r="D252" s="89">
        <v>1</v>
      </c>
      <c r="E252" s="89">
        <v>1</v>
      </c>
      <c r="F252" s="8"/>
      <c r="G252" s="8"/>
      <c r="H252" s="8"/>
      <c r="I252" s="8"/>
      <c r="J252" s="8"/>
      <c r="K252" s="8"/>
      <c r="L252" s="8"/>
    </row>
    <row r="253" spans="1:12">
      <c r="A253" s="89">
        <v>140</v>
      </c>
      <c r="B253" s="90" t="s">
        <v>1239</v>
      </c>
      <c r="C253" s="90" t="s">
        <v>279</v>
      </c>
      <c r="D253" s="89">
        <v>1</v>
      </c>
      <c r="E253" s="89">
        <v>1</v>
      </c>
      <c r="F253" s="8"/>
      <c r="G253" s="8"/>
      <c r="H253" s="8"/>
      <c r="I253" s="8"/>
      <c r="J253" s="8"/>
      <c r="K253" s="8"/>
      <c r="L253" s="8"/>
    </row>
    <row r="254" spans="1:12">
      <c r="A254" s="89">
        <v>141</v>
      </c>
      <c r="B254" s="90" t="s">
        <v>1240</v>
      </c>
      <c r="C254" s="90" t="s">
        <v>48</v>
      </c>
      <c r="D254" s="89">
        <v>1</v>
      </c>
      <c r="E254" s="89">
        <v>1</v>
      </c>
      <c r="F254" s="8"/>
      <c r="G254" s="8"/>
      <c r="H254" s="8"/>
      <c r="I254" s="8"/>
      <c r="J254" s="8"/>
      <c r="K254" s="8"/>
      <c r="L254" s="8"/>
    </row>
    <row r="255" spans="1:12">
      <c r="A255" s="89">
        <v>142</v>
      </c>
      <c r="B255" s="90" t="s">
        <v>1241</v>
      </c>
      <c r="C255" s="90" t="s">
        <v>151</v>
      </c>
      <c r="D255" s="89">
        <v>1</v>
      </c>
      <c r="E255" s="89">
        <v>1</v>
      </c>
      <c r="F255" s="8"/>
      <c r="G255" s="8"/>
      <c r="H255" s="8"/>
      <c r="I255" s="8"/>
      <c r="J255" s="8"/>
      <c r="K255" s="8"/>
      <c r="L255" s="8"/>
    </row>
    <row r="256" spans="1:12">
      <c r="A256" s="89">
        <v>143</v>
      </c>
      <c r="B256" s="90" t="s">
        <v>1242</v>
      </c>
      <c r="C256" s="90" t="s">
        <v>446</v>
      </c>
      <c r="D256" s="89">
        <v>1</v>
      </c>
      <c r="E256" s="89">
        <v>1</v>
      </c>
      <c r="F256" s="8"/>
      <c r="G256" s="8"/>
      <c r="H256" s="8"/>
      <c r="I256" s="8"/>
      <c r="J256" s="8"/>
      <c r="K256" s="8"/>
      <c r="L256" s="8"/>
    </row>
    <row r="257" spans="1:12">
      <c r="A257" s="89">
        <v>52</v>
      </c>
      <c r="B257" s="90" t="s">
        <v>1243</v>
      </c>
      <c r="C257" s="90" t="s">
        <v>307</v>
      </c>
      <c r="D257" s="89">
        <v>1</v>
      </c>
      <c r="E257" s="89">
        <v>1</v>
      </c>
      <c r="F257" s="8"/>
      <c r="G257" s="8"/>
      <c r="H257" s="8"/>
      <c r="I257" s="8"/>
      <c r="J257" s="8"/>
      <c r="K257" s="8"/>
      <c r="L257" s="8"/>
    </row>
    <row r="258" spans="1:12">
      <c r="A258" s="89">
        <v>145</v>
      </c>
      <c r="B258" s="90" t="s">
        <v>1244</v>
      </c>
      <c r="C258" s="90" t="s">
        <v>92</v>
      </c>
      <c r="D258" s="89">
        <v>1</v>
      </c>
      <c r="E258" s="89">
        <v>1</v>
      </c>
      <c r="F258" s="8"/>
      <c r="G258" s="8"/>
      <c r="H258" s="8"/>
      <c r="I258" s="8"/>
      <c r="J258" s="8"/>
      <c r="K258" s="8"/>
      <c r="L258" s="8"/>
    </row>
    <row r="259" spans="1:12">
      <c r="A259" s="89">
        <v>146</v>
      </c>
      <c r="B259" s="90" t="s">
        <v>1245</v>
      </c>
      <c r="C259" s="90" t="s">
        <v>259</v>
      </c>
      <c r="D259" s="89">
        <v>1</v>
      </c>
      <c r="E259" s="89">
        <v>1</v>
      </c>
      <c r="F259" s="8"/>
      <c r="G259" s="8"/>
      <c r="H259" s="8"/>
      <c r="I259" s="8"/>
      <c r="J259" s="8"/>
      <c r="K259" s="8"/>
      <c r="L259" s="8"/>
    </row>
    <row r="260" spans="1:12">
      <c r="A260" s="89">
        <v>51</v>
      </c>
      <c r="B260" s="90" t="s">
        <v>1246</v>
      </c>
      <c r="C260" s="90" t="s">
        <v>307</v>
      </c>
      <c r="D260" s="89">
        <v>1</v>
      </c>
      <c r="E260" s="89">
        <v>1</v>
      </c>
      <c r="F260" s="8"/>
      <c r="G260" s="8"/>
      <c r="H260" s="8"/>
      <c r="I260" s="8"/>
      <c r="J260" s="8"/>
      <c r="K260" s="8"/>
      <c r="L260" s="8"/>
    </row>
    <row r="261" spans="1:12">
      <c r="A261" s="89">
        <v>148</v>
      </c>
      <c r="B261" s="90" t="s">
        <v>1247</v>
      </c>
      <c r="C261" s="90" t="s">
        <v>56</v>
      </c>
      <c r="D261" s="89">
        <v>1</v>
      </c>
      <c r="E261" s="89">
        <v>1</v>
      </c>
      <c r="F261" s="8"/>
      <c r="G261" s="8"/>
      <c r="H261" s="8"/>
      <c r="I261" s="8"/>
      <c r="J261" s="8"/>
      <c r="K261" s="8"/>
      <c r="L261" s="8"/>
    </row>
    <row r="262" spans="1:12">
      <c r="A262" s="89">
        <v>149</v>
      </c>
      <c r="B262" s="90" t="s">
        <v>1248</v>
      </c>
      <c r="C262" s="90" t="s">
        <v>127</v>
      </c>
      <c r="D262" s="89">
        <v>1</v>
      </c>
      <c r="E262" s="89">
        <v>1</v>
      </c>
      <c r="F262" s="8"/>
      <c r="G262" s="8"/>
      <c r="H262" s="8"/>
      <c r="I262" s="8"/>
      <c r="J262" s="8"/>
      <c r="K262" s="8"/>
      <c r="L262" s="8"/>
    </row>
    <row r="263" spans="1:12">
      <c r="A263" s="89">
        <v>151</v>
      </c>
      <c r="B263" s="90" t="s">
        <v>1249</v>
      </c>
      <c r="C263" s="90" t="s">
        <v>175</v>
      </c>
      <c r="D263" s="89">
        <v>1</v>
      </c>
      <c r="E263" s="89">
        <v>1</v>
      </c>
      <c r="F263" s="8"/>
      <c r="G263" s="8"/>
      <c r="H263" s="8"/>
      <c r="I263" s="8"/>
      <c r="J263" s="8"/>
      <c r="K263" s="8"/>
      <c r="L263" s="8"/>
    </row>
    <row r="264" spans="1:12">
      <c r="A264" s="89">
        <v>153</v>
      </c>
      <c r="B264" s="90" t="s">
        <v>1250</v>
      </c>
      <c r="C264" s="90" t="s">
        <v>96</v>
      </c>
      <c r="D264" s="89">
        <v>1</v>
      </c>
      <c r="E264" s="89">
        <v>1</v>
      </c>
      <c r="F264" s="8"/>
      <c r="G264" s="8"/>
      <c r="H264" s="8"/>
      <c r="I264" s="8"/>
      <c r="J264" s="8"/>
      <c r="K264" s="8"/>
      <c r="L264" s="8"/>
    </row>
    <row r="265" spans="1:12">
      <c r="A265" s="89">
        <v>156</v>
      </c>
      <c r="B265" s="90" t="s">
        <v>1251</v>
      </c>
      <c r="C265" s="90" t="s">
        <v>92</v>
      </c>
      <c r="D265" s="89">
        <v>1</v>
      </c>
      <c r="E265" s="89">
        <v>1</v>
      </c>
      <c r="F265" s="8"/>
      <c r="G265" s="8"/>
      <c r="H265" s="8"/>
      <c r="I265" s="8"/>
      <c r="J265" s="8"/>
      <c r="K265" s="8"/>
      <c r="L265" s="8"/>
    </row>
    <row r="266" spans="1:12">
      <c r="A266" s="89">
        <v>175</v>
      </c>
      <c r="B266" s="90" t="s">
        <v>1252</v>
      </c>
      <c r="C266" s="90" t="s">
        <v>187</v>
      </c>
      <c r="D266" s="89">
        <v>1</v>
      </c>
      <c r="E266" s="89">
        <v>1</v>
      </c>
      <c r="F266" s="8"/>
      <c r="G266" s="8"/>
      <c r="H266" s="8"/>
      <c r="I266" s="8"/>
      <c r="J266" s="8"/>
      <c r="K266" s="8"/>
      <c r="L266" s="8"/>
    </row>
    <row r="267" spans="1:12">
      <c r="A267" s="89">
        <v>157</v>
      </c>
      <c r="B267" s="90" t="s">
        <v>1253</v>
      </c>
      <c r="C267" s="90" t="s">
        <v>92</v>
      </c>
      <c r="D267" s="89">
        <v>1</v>
      </c>
      <c r="E267" s="89">
        <v>1</v>
      </c>
      <c r="F267" s="8"/>
      <c r="G267" s="8"/>
      <c r="H267" s="8"/>
      <c r="I267" s="8"/>
      <c r="J267" s="8"/>
      <c r="K267" s="8"/>
      <c r="L267" s="8"/>
    </row>
    <row r="268" spans="1:12">
      <c r="A268" s="89">
        <v>158</v>
      </c>
      <c r="B268" s="90" t="s">
        <v>1254</v>
      </c>
      <c r="C268" s="90" t="s">
        <v>490</v>
      </c>
      <c r="D268" s="89">
        <v>1</v>
      </c>
      <c r="E268" s="89">
        <v>1</v>
      </c>
      <c r="F268" s="8"/>
      <c r="G268" s="8"/>
      <c r="H268" s="8"/>
      <c r="I268" s="8"/>
      <c r="J268" s="8"/>
      <c r="K268" s="8"/>
      <c r="L268" s="8"/>
    </row>
    <row r="269" spans="1:12">
      <c r="A269" s="89">
        <v>159</v>
      </c>
      <c r="B269" s="90" t="s">
        <v>1255</v>
      </c>
      <c r="C269" s="90" t="s">
        <v>398</v>
      </c>
      <c r="D269" s="89">
        <v>1</v>
      </c>
      <c r="E269" s="89">
        <v>1</v>
      </c>
      <c r="F269" s="8"/>
      <c r="G269" s="8"/>
      <c r="H269" s="8"/>
      <c r="I269" s="8"/>
      <c r="J269" s="8"/>
      <c r="K269" s="8"/>
      <c r="L269" s="8"/>
    </row>
    <row r="270" spans="1:12">
      <c r="A270" s="89">
        <v>160</v>
      </c>
      <c r="B270" s="90" t="s">
        <v>1256</v>
      </c>
      <c r="C270" s="90" t="s">
        <v>112</v>
      </c>
      <c r="D270" s="89">
        <v>1</v>
      </c>
      <c r="E270" s="89">
        <v>1</v>
      </c>
      <c r="F270" s="8"/>
      <c r="G270" s="8"/>
      <c r="H270" s="8"/>
      <c r="I270" s="8"/>
      <c r="J270" s="8"/>
      <c r="K270" s="8"/>
      <c r="L270" s="8"/>
    </row>
    <row r="271" spans="1:12">
      <c r="A271" s="89">
        <v>161</v>
      </c>
      <c r="B271" s="90" t="s">
        <v>1257</v>
      </c>
      <c r="C271" s="90" t="s">
        <v>323</v>
      </c>
      <c r="D271" s="89">
        <v>1</v>
      </c>
      <c r="E271" s="89">
        <v>1</v>
      </c>
      <c r="F271" s="8"/>
      <c r="G271" s="8"/>
      <c r="H271" s="8"/>
      <c r="I271" s="8"/>
      <c r="J271" s="8"/>
      <c r="K271" s="8"/>
      <c r="L271" s="8"/>
    </row>
    <row r="272" spans="1:12">
      <c r="A272" s="89">
        <v>162</v>
      </c>
      <c r="B272" s="90" t="s">
        <v>1258</v>
      </c>
      <c r="C272" s="90" t="s">
        <v>163</v>
      </c>
      <c r="D272" s="89">
        <v>1</v>
      </c>
      <c r="E272" s="89">
        <v>1</v>
      </c>
      <c r="F272" s="8"/>
      <c r="G272" s="8"/>
      <c r="H272" s="8"/>
      <c r="I272" s="8"/>
      <c r="J272" s="8"/>
      <c r="K272" s="8"/>
      <c r="L272" s="8"/>
    </row>
    <row r="273" spans="1:12">
      <c r="A273" s="89">
        <v>163</v>
      </c>
      <c r="B273" s="90" t="s">
        <v>1259</v>
      </c>
      <c r="C273" s="90" t="s">
        <v>211</v>
      </c>
      <c r="D273" s="89">
        <v>1</v>
      </c>
      <c r="E273" s="89">
        <v>1</v>
      </c>
      <c r="F273" s="8"/>
      <c r="G273" s="8"/>
      <c r="H273" s="8"/>
      <c r="I273" s="8"/>
      <c r="J273" s="8"/>
      <c r="K273" s="8"/>
      <c r="L273" s="8"/>
    </row>
    <row r="274" spans="1:12">
      <c r="A274" s="89">
        <v>164</v>
      </c>
      <c r="B274" s="90" t="s">
        <v>1260</v>
      </c>
      <c r="C274" s="90" t="s">
        <v>430</v>
      </c>
      <c r="D274" s="89">
        <v>1</v>
      </c>
      <c r="E274" s="89">
        <v>1</v>
      </c>
      <c r="F274" s="8"/>
      <c r="G274" s="8"/>
      <c r="H274" s="8"/>
      <c r="I274" s="8"/>
      <c r="J274" s="8"/>
      <c r="K274" s="8"/>
      <c r="L274" s="8"/>
    </row>
    <row r="275" spans="1:12">
      <c r="A275" s="89">
        <v>166</v>
      </c>
      <c r="B275" s="90" t="s">
        <v>1261</v>
      </c>
      <c r="C275" s="90" t="s">
        <v>422</v>
      </c>
      <c r="D275" s="89">
        <v>1</v>
      </c>
      <c r="E275" s="89">
        <v>1</v>
      </c>
      <c r="F275" s="8"/>
      <c r="G275" s="8"/>
      <c r="H275" s="8"/>
      <c r="I275" s="8"/>
      <c r="J275" s="8"/>
      <c r="K275" s="8"/>
      <c r="L275" s="8"/>
    </row>
    <row r="276" spans="1:12">
      <c r="A276" s="89">
        <v>168</v>
      </c>
      <c r="B276" s="90" t="s">
        <v>1262</v>
      </c>
      <c r="C276" s="90" t="s">
        <v>474</v>
      </c>
      <c r="D276" s="89">
        <v>1</v>
      </c>
      <c r="E276" s="89">
        <v>1</v>
      </c>
      <c r="F276" s="8"/>
      <c r="G276" s="8"/>
      <c r="H276" s="8"/>
      <c r="I276" s="8"/>
      <c r="J276" s="8"/>
      <c r="K276" s="8"/>
      <c r="L276" s="8"/>
    </row>
    <row r="277" spans="1:12">
      <c r="A277" s="89">
        <v>169</v>
      </c>
      <c r="B277" s="90" t="s">
        <v>1263</v>
      </c>
      <c r="C277" s="90" t="s">
        <v>466</v>
      </c>
      <c r="D277" s="89">
        <v>1</v>
      </c>
      <c r="E277" s="89">
        <v>1</v>
      </c>
      <c r="F277" s="8"/>
      <c r="G277" s="8"/>
      <c r="H277" s="8"/>
      <c r="I277" s="8"/>
      <c r="J277" s="8"/>
      <c r="K277" s="8"/>
      <c r="L277" s="8"/>
    </row>
    <row r="278" spans="1:12">
      <c r="A278" s="89">
        <v>171</v>
      </c>
      <c r="B278" s="90" t="s">
        <v>1264</v>
      </c>
      <c r="C278" s="90" t="s">
        <v>143</v>
      </c>
      <c r="D278" s="89">
        <v>1</v>
      </c>
      <c r="E278" s="89">
        <v>1</v>
      </c>
      <c r="F278" s="8"/>
      <c r="G278" s="8"/>
      <c r="H278" s="8"/>
      <c r="I278" s="8"/>
      <c r="J278" s="8"/>
      <c r="K278" s="8"/>
      <c r="L278" s="8"/>
    </row>
    <row r="279" spans="1:12">
      <c r="A279" s="89">
        <v>172</v>
      </c>
      <c r="B279" s="90" t="s">
        <v>1265</v>
      </c>
      <c r="C279" s="90" t="s">
        <v>215</v>
      </c>
      <c r="D279" s="89">
        <v>1</v>
      </c>
      <c r="E279" s="89">
        <v>1</v>
      </c>
      <c r="F279" s="8"/>
      <c r="G279" s="8"/>
      <c r="H279" s="8"/>
      <c r="I279" s="8"/>
      <c r="J279" s="8"/>
      <c r="K279" s="8"/>
      <c r="L279" s="8"/>
    </row>
    <row r="280" spans="1:12">
      <c r="A280" s="89">
        <v>173</v>
      </c>
      <c r="B280" s="90" t="s">
        <v>1266</v>
      </c>
      <c r="C280" s="90" t="s">
        <v>398</v>
      </c>
      <c r="D280" s="89">
        <v>1</v>
      </c>
      <c r="E280" s="89">
        <v>1</v>
      </c>
      <c r="F280" s="8"/>
      <c r="G280" s="8"/>
      <c r="H280" s="8"/>
      <c r="I280" s="8"/>
      <c r="J280" s="8"/>
      <c r="K280" s="8"/>
      <c r="L280" s="8"/>
    </row>
    <row r="281" spans="1:12">
      <c r="A281" s="89">
        <v>137</v>
      </c>
      <c r="B281" s="90" t="s">
        <v>1267</v>
      </c>
      <c r="C281" s="90" t="s">
        <v>442</v>
      </c>
      <c r="D281" s="89">
        <v>1</v>
      </c>
      <c r="E281" s="89">
        <v>1</v>
      </c>
      <c r="F281" s="8"/>
      <c r="G281" s="8"/>
      <c r="H281" s="8"/>
      <c r="I281" s="8"/>
      <c r="J281" s="8"/>
      <c r="K281" s="8"/>
      <c r="L281" s="8"/>
    </row>
    <row r="282" spans="1:12">
      <c r="A282" s="89">
        <v>135</v>
      </c>
      <c r="B282" s="90" t="s">
        <v>1268</v>
      </c>
      <c r="C282" s="90" t="s">
        <v>88</v>
      </c>
      <c r="D282" s="89">
        <v>1</v>
      </c>
      <c r="E282" s="89">
        <v>1</v>
      </c>
      <c r="F282" s="8"/>
      <c r="G282" s="8"/>
      <c r="H282" s="8"/>
      <c r="I282" s="8"/>
      <c r="J282" s="8"/>
      <c r="K282" s="8"/>
      <c r="L282" s="8"/>
    </row>
    <row r="283" spans="1:12">
      <c r="A283" s="89">
        <v>133</v>
      </c>
      <c r="B283" s="90" t="s">
        <v>1269</v>
      </c>
      <c r="C283" s="90" t="s">
        <v>315</v>
      </c>
      <c r="D283" s="89">
        <v>1</v>
      </c>
      <c r="E283" s="89">
        <v>1</v>
      </c>
      <c r="F283" s="8"/>
      <c r="G283" s="8"/>
      <c r="H283" s="8"/>
      <c r="I283" s="8"/>
      <c r="J283" s="8"/>
      <c r="K283" s="8"/>
      <c r="L283" s="8"/>
    </row>
    <row r="284" spans="1:12">
      <c r="A284" s="89">
        <v>130</v>
      </c>
      <c r="B284" s="90" t="s">
        <v>1270</v>
      </c>
      <c r="C284" s="90" t="s">
        <v>275</v>
      </c>
      <c r="D284" s="89">
        <v>1</v>
      </c>
      <c r="E284" s="89">
        <v>1</v>
      </c>
      <c r="F284" s="8"/>
      <c r="G284" s="8"/>
      <c r="H284" s="8"/>
      <c r="I284" s="8"/>
      <c r="J284" s="8"/>
      <c r="K284" s="8"/>
      <c r="L284" s="8"/>
    </row>
    <row r="285" spans="1:12">
      <c r="A285" s="89">
        <v>90</v>
      </c>
      <c r="B285" s="90" t="s">
        <v>1271</v>
      </c>
      <c r="C285" s="90" t="s">
        <v>199</v>
      </c>
      <c r="D285" s="89">
        <v>1</v>
      </c>
      <c r="E285" s="89">
        <v>1</v>
      </c>
      <c r="F285" s="8"/>
      <c r="G285" s="8"/>
      <c r="H285" s="8"/>
      <c r="I285" s="8"/>
      <c r="J285" s="8"/>
      <c r="K285" s="8"/>
      <c r="L285" s="8"/>
    </row>
    <row r="286" spans="1:12">
      <c r="A286" s="89">
        <v>83</v>
      </c>
      <c r="B286" s="90" t="s">
        <v>1272</v>
      </c>
      <c r="C286" s="90" t="s">
        <v>211</v>
      </c>
      <c r="D286" s="89">
        <v>1</v>
      </c>
      <c r="E286" s="89">
        <v>1</v>
      </c>
      <c r="F286" s="8"/>
      <c r="G286" s="8"/>
      <c r="H286" s="8"/>
      <c r="I286" s="8"/>
      <c r="J286" s="8"/>
      <c r="K286" s="8"/>
      <c r="L286" s="8"/>
    </row>
    <row r="287" spans="1:12">
      <c r="A287" s="89">
        <v>95</v>
      </c>
      <c r="B287" s="90" t="s">
        <v>1273</v>
      </c>
      <c r="C287" s="90" t="s">
        <v>155</v>
      </c>
      <c r="D287" s="89">
        <v>1</v>
      </c>
      <c r="E287" s="89">
        <v>1</v>
      </c>
      <c r="F287" s="8"/>
      <c r="G287" s="8"/>
      <c r="H287" s="8"/>
      <c r="I287" s="8"/>
      <c r="J287" s="8"/>
      <c r="K287" s="8"/>
      <c r="L287" s="8"/>
    </row>
    <row r="288" spans="1:12">
      <c r="A288" s="89">
        <v>96</v>
      </c>
      <c r="B288" s="90" t="s">
        <v>1274</v>
      </c>
      <c r="C288" s="90" t="s">
        <v>112</v>
      </c>
      <c r="D288" s="89">
        <v>1</v>
      </c>
      <c r="E288" s="89">
        <v>1</v>
      </c>
      <c r="F288" s="8"/>
      <c r="G288" s="8"/>
      <c r="H288" s="8"/>
      <c r="I288" s="8"/>
      <c r="J288" s="8"/>
      <c r="K288" s="8"/>
      <c r="L288" s="8"/>
    </row>
    <row r="289" spans="1:12">
      <c r="A289" s="89">
        <v>97</v>
      </c>
      <c r="B289" s="90" t="s">
        <v>1275</v>
      </c>
      <c r="C289" s="90" t="s">
        <v>482</v>
      </c>
      <c r="D289" s="89">
        <v>1</v>
      </c>
      <c r="E289" s="89">
        <v>1</v>
      </c>
      <c r="F289" s="8"/>
      <c r="G289" s="8"/>
      <c r="H289" s="8"/>
      <c r="I289" s="8"/>
      <c r="J289" s="8"/>
      <c r="K289" s="8"/>
      <c r="L289" s="8"/>
    </row>
    <row r="290" spans="1:12">
      <c r="A290" s="89">
        <v>98</v>
      </c>
      <c r="B290" s="90" t="s">
        <v>1276</v>
      </c>
      <c r="C290" s="90" t="s">
        <v>255</v>
      </c>
      <c r="D290" s="89">
        <v>1</v>
      </c>
      <c r="E290" s="89">
        <v>1</v>
      </c>
      <c r="F290" s="8"/>
      <c r="G290" s="8"/>
      <c r="H290" s="8"/>
      <c r="I290" s="8"/>
      <c r="J290" s="8"/>
      <c r="K290" s="8"/>
      <c r="L290" s="8"/>
    </row>
    <row r="291" spans="1:12">
      <c r="A291" s="89">
        <v>101</v>
      </c>
      <c r="B291" s="90" t="s">
        <v>1277</v>
      </c>
      <c r="C291" s="90" t="s">
        <v>36</v>
      </c>
      <c r="D291" s="89">
        <v>1</v>
      </c>
      <c r="E291" s="89">
        <v>1</v>
      </c>
      <c r="F291" s="8"/>
      <c r="G291" s="8"/>
      <c r="H291" s="8"/>
      <c r="I291" s="8"/>
      <c r="J291" s="8"/>
      <c r="K291" s="8"/>
      <c r="L291" s="8"/>
    </row>
    <row r="292" spans="1:12">
      <c r="A292" s="89">
        <v>78</v>
      </c>
      <c r="B292" s="90" t="s">
        <v>1278</v>
      </c>
      <c r="C292" s="90" t="s">
        <v>319</v>
      </c>
      <c r="D292" s="89">
        <v>1</v>
      </c>
      <c r="E292" s="89">
        <v>1</v>
      </c>
      <c r="F292" s="8"/>
      <c r="G292" s="8"/>
      <c r="H292" s="8"/>
      <c r="I292" s="8"/>
      <c r="J292" s="8"/>
      <c r="K292" s="8"/>
      <c r="L292" s="8"/>
    </row>
    <row r="293" spans="1:12">
      <c r="A293" s="89">
        <v>103</v>
      </c>
      <c r="B293" s="90" t="s">
        <v>1279</v>
      </c>
      <c r="C293" s="90" t="s">
        <v>454</v>
      </c>
      <c r="D293" s="89">
        <v>1</v>
      </c>
      <c r="E293" s="89">
        <v>1</v>
      </c>
      <c r="F293" s="8"/>
      <c r="G293" s="8"/>
      <c r="H293" s="8"/>
      <c r="I293" s="8"/>
      <c r="J293" s="8"/>
      <c r="K293" s="8"/>
      <c r="L293" s="8"/>
    </row>
    <row r="294" spans="1:12">
      <c r="A294" s="89">
        <v>77</v>
      </c>
      <c r="B294" s="90" t="s">
        <v>1280</v>
      </c>
      <c r="C294" s="90" t="s">
        <v>100</v>
      </c>
      <c r="D294" s="89">
        <v>1</v>
      </c>
      <c r="E294" s="89">
        <v>1</v>
      </c>
      <c r="F294" s="8"/>
      <c r="G294" s="8"/>
      <c r="H294" s="8"/>
      <c r="I294" s="8"/>
      <c r="J294" s="8"/>
      <c r="K294" s="8"/>
      <c r="L294" s="8"/>
    </row>
    <row r="295" spans="1:12">
      <c r="A295" s="89">
        <v>105</v>
      </c>
      <c r="B295" s="90" t="s">
        <v>1281</v>
      </c>
      <c r="C295" s="90" t="s">
        <v>327</v>
      </c>
      <c r="D295" s="89">
        <v>1</v>
      </c>
      <c r="E295" s="89">
        <v>1</v>
      </c>
      <c r="F295" s="8"/>
      <c r="G295" s="8"/>
      <c r="H295" s="8"/>
      <c r="I295" s="8"/>
      <c r="J295" s="8"/>
      <c r="K295" s="8"/>
      <c r="L295" s="8"/>
    </row>
    <row r="296" spans="1:12">
      <c r="A296" s="89">
        <v>106</v>
      </c>
      <c r="B296" s="90" t="s">
        <v>1282</v>
      </c>
      <c r="C296" s="90" t="s">
        <v>167</v>
      </c>
      <c r="D296" s="89">
        <v>1</v>
      </c>
      <c r="E296" s="89">
        <v>1</v>
      </c>
      <c r="F296" s="8"/>
      <c r="G296" s="8"/>
      <c r="H296" s="8"/>
      <c r="I296" s="8"/>
      <c r="J296" s="8"/>
      <c r="K296" s="8"/>
      <c r="L296" s="8"/>
    </row>
    <row r="297" spans="1:12">
      <c r="A297" s="89">
        <v>108</v>
      </c>
      <c r="B297" s="90" t="s">
        <v>1283</v>
      </c>
      <c r="C297" s="90" t="s">
        <v>64</v>
      </c>
      <c r="D297" s="89">
        <v>1</v>
      </c>
      <c r="E297" s="89">
        <v>1</v>
      </c>
      <c r="F297" s="8"/>
      <c r="G297" s="8"/>
      <c r="H297" s="8"/>
      <c r="I297" s="8"/>
      <c r="J297" s="8"/>
      <c r="K297" s="8"/>
      <c r="L297" s="8"/>
    </row>
    <row r="298" spans="1:12">
      <c r="A298" s="89">
        <v>109</v>
      </c>
      <c r="B298" s="90" t="s">
        <v>1284</v>
      </c>
      <c r="C298" s="90" t="s">
        <v>386</v>
      </c>
      <c r="D298" s="89">
        <v>1</v>
      </c>
      <c r="E298" s="89">
        <v>1</v>
      </c>
      <c r="F298" s="8"/>
      <c r="G298" s="8"/>
      <c r="H298" s="8"/>
      <c r="I298" s="8"/>
      <c r="J298" s="8"/>
      <c r="K298" s="8"/>
      <c r="L298" s="8"/>
    </row>
    <row r="299" spans="1:12">
      <c r="A299" s="89">
        <v>111</v>
      </c>
      <c r="B299" s="90" t="s">
        <v>1285</v>
      </c>
      <c r="C299" s="90" t="s">
        <v>378</v>
      </c>
      <c r="D299" s="89">
        <v>1</v>
      </c>
      <c r="E299" s="89">
        <v>1</v>
      </c>
      <c r="F299" s="8"/>
      <c r="G299" s="8"/>
      <c r="H299" s="8"/>
      <c r="I299" s="8"/>
      <c r="J299" s="8"/>
      <c r="K299" s="8"/>
      <c r="L299" s="8"/>
    </row>
    <row r="300" spans="1:12">
      <c r="A300" s="89">
        <v>70</v>
      </c>
      <c r="B300" s="90" t="s">
        <v>1286</v>
      </c>
      <c r="C300" s="90" t="s">
        <v>466</v>
      </c>
      <c r="D300" s="89">
        <v>1</v>
      </c>
      <c r="E300" s="89">
        <v>1</v>
      </c>
      <c r="F300" s="8"/>
      <c r="G300" s="8"/>
      <c r="H300" s="8"/>
      <c r="I300" s="8"/>
      <c r="J300" s="8"/>
      <c r="K300" s="8"/>
      <c r="L300" s="8"/>
    </row>
    <row r="301" spans="1:12">
      <c r="A301" s="89">
        <v>68</v>
      </c>
      <c r="B301" s="90" t="s">
        <v>1287</v>
      </c>
      <c r="C301" s="90" t="s">
        <v>25</v>
      </c>
      <c r="D301" s="89">
        <v>1</v>
      </c>
      <c r="E301" s="89">
        <v>1</v>
      </c>
      <c r="F301" s="8"/>
      <c r="G301" s="8"/>
      <c r="H301" s="8"/>
      <c r="I301" s="8"/>
      <c r="J301" s="8"/>
      <c r="K301" s="8"/>
      <c r="L301" s="8"/>
    </row>
    <row r="302" spans="1:12">
      <c r="A302" s="89">
        <v>116</v>
      </c>
      <c r="B302" s="90" t="s">
        <v>1288</v>
      </c>
      <c r="C302" s="90" t="s">
        <v>482</v>
      </c>
      <c r="D302" s="89">
        <v>1</v>
      </c>
      <c r="E302" s="89">
        <v>1</v>
      </c>
      <c r="F302" s="8"/>
      <c r="G302" s="8"/>
      <c r="H302" s="8"/>
      <c r="I302" s="8"/>
      <c r="J302" s="8"/>
      <c r="K302" s="8"/>
      <c r="L302" s="8"/>
    </row>
    <row r="303" spans="1:12">
      <c r="A303" s="89">
        <v>117</v>
      </c>
      <c r="B303" s="90" t="s">
        <v>1289</v>
      </c>
      <c r="C303" s="90" t="s">
        <v>175</v>
      </c>
      <c r="D303" s="89">
        <v>1</v>
      </c>
      <c r="E303" s="89">
        <v>1</v>
      </c>
      <c r="F303" s="8"/>
      <c r="G303" s="8"/>
      <c r="H303" s="8"/>
      <c r="I303" s="8"/>
      <c r="J303" s="8"/>
      <c r="K303" s="8"/>
      <c r="L303" s="8"/>
    </row>
    <row r="304" spans="1:12">
      <c r="A304" s="89">
        <v>118</v>
      </c>
      <c r="B304" s="90" t="s">
        <v>1290</v>
      </c>
      <c r="C304" s="90" t="s">
        <v>139</v>
      </c>
      <c r="D304" s="89">
        <v>1</v>
      </c>
      <c r="E304" s="89">
        <v>1</v>
      </c>
      <c r="F304" s="8"/>
      <c r="G304" s="8"/>
      <c r="H304" s="8"/>
      <c r="I304" s="8"/>
      <c r="J304" s="8"/>
      <c r="K304" s="8"/>
      <c r="L304" s="8"/>
    </row>
    <row r="305" spans="1:12">
      <c r="A305" s="89">
        <v>119</v>
      </c>
      <c r="B305" s="90" t="s">
        <v>1291</v>
      </c>
      <c r="C305" s="90" t="s">
        <v>191</v>
      </c>
      <c r="D305" s="89">
        <v>1</v>
      </c>
      <c r="E305" s="89">
        <v>1</v>
      </c>
      <c r="F305" s="8"/>
      <c r="G305" s="8"/>
      <c r="H305" s="8"/>
      <c r="I305" s="8"/>
      <c r="J305" s="8"/>
      <c r="K305" s="8"/>
      <c r="L305" s="8"/>
    </row>
    <row r="306" spans="1:12">
      <c r="A306" s="89">
        <v>67</v>
      </c>
      <c r="B306" s="90" t="s">
        <v>1292</v>
      </c>
      <c r="C306" s="90" t="s">
        <v>112</v>
      </c>
      <c r="D306" s="89">
        <v>1</v>
      </c>
      <c r="E306" s="89">
        <v>1</v>
      </c>
      <c r="F306" s="8"/>
      <c r="G306" s="8"/>
      <c r="H306" s="8"/>
      <c r="I306" s="8"/>
      <c r="J306" s="8"/>
      <c r="K306" s="8"/>
      <c r="L306" s="8"/>
    </row>
    <row r="307" spans="1:12">
      <c r="A307" s="89">
        <v>66</v>
      </c>
      <c r="B307" s="90" t="s">
        <v>1293</v>
      </c>
      <c r="C307" s="90" t="s">
        <v>199</v>
      </c>
      <c r="D307" s="89">
        <v>1</v>
      </c>
      <c r="E307" s="89">
        <v>1</v>
      </c>
      <c r="F307" s="8"/>
      <c r="G307" s="8"/>
      <c r="H307" s="8"/>
      <c r="I307" s="8"/>
      <c r="J307" s="8"/>
      <c r="K307" s="8"/>
      <c r="L307" s="8"/>
    </row>
    <row r="308" spans="1:12">
      <c r="A308" s="89">
        <v>122</v>
      </c>
      <c r="B308" s="90" t="s">
        <v>1294</v>
      </c>
      <c r="C308" s="90" t="s">
        <v>275</v>
      </c>
      <c r="D308" s="89">
        <v>1</v>
      </c>
      <c r="E308" s="89">
        <v>1</v>
      </c>
      <c r="F308" s="8"/>
      <c r="G308" s="8"/>
      <c r="H308" s="8"/>
      <c r="I308" s="8"/>
      <c r="J308" s="8"/>
      <c r="K308" s="8"/>
      <c r="L308" s="8"/>
    </row>
    <row r="309" spans="1:12">
      <c r="A309" s="89">
        <v>64</v>
      </c>
      <c r="B309" s="90" t="s">
        <v>1295</v>
      </c>
      <c r="C309" s="90" t="s">
        <v>418</v>
      </c>
      <c r="D309" s="89">
        <v>1</v>
      </c>
      <c r="E309" s="89">
        <v>1</v>
      </c>
      <c r="F309" s="8"/>
      <c r="G309" s="8"/>
      <c r="H309" s="8"/>
      <c r="I309" s="8"/>
      <c r="J309" s="8"/>
      <c r="K309" s="8"/>
      <c r="L309" s="8"/>
    </row>
    <row r="310" spans="1:12">
      <c r="A310" s="89">
        <v>124</v>
      </c>
      <c r="B310" s="90" t="s">
        <v>1296</v>
      </c>
      <c r="C310" s="90" t="s">
        <v>64</v>
      </c>
      <c r="D310" s="89">
        <v>1</v>
      </c>
      <c r="E310" s="89">
        <v>1</v>
      </c>
      <c r="F310" s="8"/>
      <c r="G310" s="8"/>
      <c r="H310" s="8"/>
      <c r="I310" s="8"/>
      <c r="J310" s="8"/>
      <c r="K310" s="8"/>
      <c r="L310" s="8"/>
    </row>
    <row r="311" spans="1:12">
      <c r="A311" s="89">
        <v>58</v>
      </c>
      <c r="B311" s="90" t="s">
        <v>1297</v>
      </c>
      <c r="C311" s="90" t="s">
        <v>346</v>
      </c>
      <c r="D311" s="89">
        <v>1</v>
      </c>
      <c r="E311" s="89">
        <v>1</v>
      </c>
      <c r="F311" s="8"/>
      <c r="G311" s="8"/>
      <c r="H311" s="8"/>
      <c r="I311" s="8"/>
      <c r="J311" s="8"/>
      <c r="K311" s="8"/>
      <c r="L311" s="8"/>
    </row>
    <row r="312" spans="1:12">
      <c r="A312" s="89">
        <v>128</v>
      </c>
      <c r="B312" s="90" t="s">
        <v>1298</v>
      </c>
      <c r="C312" s="90" t="s">
        <v>350</v>
      </c>
      <c r="D312" s="89">
        <v>1</v>
      </c>
      <c r="E312" s="89">
        <v>1</v>
      </c>
      <c r="F312" s="8"/>
      <c r="G312" s="8"/>
      <c r="H312" s="8"/>
      <c r="I312" s="8"/>
      <c r="J312" s="8"/>
      <c r="K312" s="8"/>
      <c r="L312" s="8"/>
    </row>
    <row r="313" spans="1:12">
      <c r="A313" s="89">
        <v>129</v>
      </c>
      <c r="B313" s="90" t="s">
        <v>1299</v>
      </c>
      <c r="C313" s="90" t="s">
        <v>72</v>
      </c>
      <c r="D313" s="89">
        <v>1</v>
      </c>
      <c r="E313" s="89">
        <v>1</v>
      </c>
      <c r="F313" s="8"/>
      <c r="G313" s="8"/>
      <c r="H313" s="8"/>
      <c r="I313" s="8"/>
      <c r="J313" s="8"/>
      <c r="K313" s="8"/>
      <c r="L313" s="8"/>
    </row>
    <row r="314" spans="1:12">
      <c r="A314" s="89">
        <v>174</v>
      </c>
      <c r="B314" s="90" t="s">
        <v>1300</v>
      </c>
      <c r="C314" s="90" t="s">
        <v>40</v>
      </c>
      <c r="D314" s="89">
        <v>1</v>
      </c>
      <c r="E314" s="89">
        <v>1</v>
      </c>
      <c r="F314" s="8"/>
      <c r="G314" s="8"/>
      <c r="H314" s="8"/>
      <c r="I314" s="8"/>
      <c r="J314" s="8"/>
      <c r="K314" s="8"/>
      <c r="L314" s="8"/>
    </row>
    <row r="315" spans="1:12">
      <c r="A315" s="89">
        <v>176</v>
      </c>
      <c r="B315" s="90" t="s">
        <v>1301</v>
      </c>
      <c r="C315" s="90" t="s">
        <v>88</v>
      </c>
      <c r="D315" s="89">
        <v>1</v>
      </c>
      <c r="E315" s="89">
        <v>1</v>
      </c>
      <c r="F315" s="8"/>
      <c r="G315" s="8"/>
      <c r="H315" s="8"/>
      <c r="I315" s="8"/>
      <c r="J315" s="8"/>
      <c r="K315" s="8"/>
      <c r="L315" s="8"/>
    </row>
    <row r="316" spans="1:12">
      <c r="A316" s="89">
        <v>243</v>
      </c>
      <c r="B316" s="90" t="s">
        <v>1302</v>
      </c>
      <c r="C316" s="90" t="s">
        <v>231</v>
      </c>
      <c r="D316" s="89">
        <v>1</v>
      </c>
      <c r="E316" s="89">
        <v>1</v>
      </c>
      <c r="F316" s="8"/>
      <c r="G316" s="8"/>
      <c r="H316" s="8"/>
      <c r="I316" s="8"/>
      <c r="J316" s="8"/>
      <c r="K316" s="8"/>
      <c r="L316" s="8"/>
    </row>
    <row r="317" spans="1:12">
      <c r="A317" s="89">
        <v>227</v>
      </c>
      <c r="B317" s="90" t="s">
        <v>1303</v>
      </c>
      <c r="C317" s="90" t="s">
        <v>203</v>
      </c>
      <c r="D317" s="89">
        <v>1</v>
      </c>
      <c r="E317" s="89">
        <v>1</v>
      </c>
      <c r="F317" s="8"/>
      <c r="G317" s="8"/>
      <c r="H317" s="8"/>
      <c r="I317" s="8"/>
      <c r="J317" s="8"/>
      <c r="K317" s="8"/>
      <c r="L317" s="8"/>
    </row>
    <row r="318" spans="1:12">
      <c r="A318" s="89">
        <v>213</v>
      </c>
      <c r="B318" s="90" t="s">
        <v>1304</v>
      </c>
      <c r="C318" s="90" t="s">
        <v>84</v>
      </c>
      <c r="D318" s="89">
        <v>1</v>
      </c>
      <c r="E318" s="89">
        <v>1</v>
      </c>
      <c r="F318" s="8"/>
      <c r="G318" s="8"/>
      <c r="H318" s="8"/>
      <c r="I318" s="8"/>
      <c r="J318" s="8"/>
      <c r="K318" s="8"/>
      <c r="L318" s="8"/>
    </row>
    <row r="319" spans="1:12">
      <c r="A319" s="89">
        <v>214</v>
      </c>
      <c r="B319" s="90" t="s">
        <v>1305</v>
      </c>
      <c r="C319" s="90" t="s">
        <v>287</v>
      </c>
      <c r="D319" s="89">
        <v>1</v>
      </c>
      <c r="E319" s="89">
        <v>1</v>
      </c>
      <c r="F319" s="8"/>
      <c r="G319" s="8"/>
      <c r="H319" s="8"/>
      <c r="I319" s="8"/>
      <c r="J319" s="8"/>
      <c r="K319" s="8"/>
      <c r="L319" s="8"/>
    </row>
    <row r="320" spans="1:12">
      <c r="A320" s="89">
        <v>215</v>
      </c>
      <c r="B320" s="90" t="s">
        <v>1306</v>
      </c>
      <c r="C320" s="90" t="s">
        <v>354</v>
      </c>
      <c r="D320" s="89">
        <v>1</v>
      </c>
      <c r="E320" s="89">
        <v>1</v>
      </c>
      <c r="F320" s="8"/>
      <c r="G320" s="8"/>
      <c r="H320" s="8"/>
      <c r="I320" s="8"/>
      <c r="J320" s="8"/>
      <c r="K320" s="8"/>
      <c r="L320" s="8"/>
    </row>
    <row r="321" spans="1:12">
      <c r="A321" s="89">
        <v>216</v>
      </c>
      <c r="B321" s="90" t="s">
        <v>1307</v>
      </c>
      <c r="C321" s="90" t="s">
        <v>374</v>
      </c>
      <c r="D321" s="89">
        <v>1</v>
      </c>
      <c r="E321" s="89">
        <v>1</v>
      </c>
      <c r="F321" s="8"/>
      <c r="G321" s="8"/>
      <c r="H321" s="8"/>
      <c r="I321" s="8"/>
      <c r="J321" s="8"/>
      <c r="K321" s="8"/>
      <c r="L321" s="8"/>
    </row>
    <row r="322" spans="1:12">
      <c r="A322" s="89">
        <v>217</v>
      </c>
      <c r="B322" s="90" t="s">
        <v>1308</v>
      </c>
      <c r="C322" s="90" t="s">
        <v>88</v>
      </c>
      <c r="D322" s="89">
        <v>1</v>
      </c>
      <c r="E322" s="89">
        <v>1</v>
      </c>
      <c r="F322" s="8"/>
      <c r="G322" s="8"/>
      <c r="H322" s="8"/>
      <c r="I322" s="8"/>
      <c r="J322" s="8"/>
      <c r="K322" s="8"/>
      <c r="L322" s="8"/>
    </row>
    <row r="323" spans="1:12">
      <c r="A323" s="89">
        <v>218</v>
      </c>
      <c r="B323" s="90" t="s">
        <v>1309</v>
      </c>
      <c r="C323" s="90" t="s">
        <v>195</v>
      </c>
      <c r="D323" s="89">
        <v>1</v>
      </c>
      <c r="E323" s="89">
        <v>1</v>
      </c>
      <c r="F323" s="8"/>
      <c r="G323" s="8"/>
      <c r="H323" s="8"/>
      <c r="I323" s="8"/>
      <c r="J323" s="8"/>
      <c r="K323" s="8"/>
      <c r="L323" s="8"/>
    </row>
    <row r="324" spans="1:12">
      <c r="A324" s="89">
        <v>219</v>
      </c>
      <c r="B324" s="90" t="s">
        <v>1310</v>
      </c>
      <c r="C324" s="90" t="s">
        <v>406</v>
      </c>
      <c r="D324" s="89">
        <v>1</v>
      </c>
      <c r="E324" s="89">
        <v>1</v>
      </c>
      <c r="F324" s="8"/>
      <c r="G324" s="8"/>
      <c r="H324" s="8"/>
      <c r="I324" s="8"/>
      <c r="J324" s="8"/>
      <c r="K324" s="8"/>
      <c r="L324" s="8"/>
    </row>
    <row r="325" spans="1:12">
      <c r="A325" s="89">
        <v>220</v>
      </c>
      <c r="B325" s="90" t="s">
        <v>1311</v>
      </c>
      <c r="C325" s="90" t="s">
        <v>48</v>
      </c>
      <c r="D325" s="89">
        <v>1</v>
      </c>
      <c r="E325" s="89">
        <v>1</v>
      </c>
      <c r="F325" s="8"/>
      <c r="G325" s="8"/>
      <c r="H325" s="8"/>
      <c r="I325" s="8"/>
      <c r="J325" s="8"/>
      <c r="K325" s="8"/>
      <c r="L325" s="8"/>
    </row>
    <row r="326" spans="1:12">
      <c r="A326" s="89">
        <v>221</v>
      </c>
      <c r="B326" s="90" t="s">
        <v>1312</v>
      </c>
      <c r="C326" s="90" t="s">
        <v>191</v>
      </c>
      <c r="D326" s="89">
        <v>1</v>
      </c>
      <c r="E326" s="89">
        <v>1</v>
      </c>
      <c r="F326" s="8"/>
      <c r="G326" s="8"/>
      <c r="H326" s="8"/>
      <c r="I326" s="8"/>
      <c r="J326" s="8"/>
      <c r="K326" s="8"/>
      <c r="L326" s="8"/>
    </row>
    <row r="327" spans="1:12">
      <c r="A327" s="89">
        <v>222</v>
      </c>
      <c r="B327" s="90" t="s">
        <v>1313</v>
      </c>
      <c r="C327" s="90" t="s">
        <v>295</v>
      </c>
      <c r="D327" s="89">
        <v>1</v>
      </c>
      <c r="E327" s="89">
        <v>1</v>
      </c>
      <c r="F327" s="8"/>
      <c r="G327" s="8"/>
      <c r="H327" s="8"/>
      <c r="I327" s="8"/>
      <c r="J327" s="8"/>
      <c r="K327" s="8"/>
      <c r="L327" s="8"/>
    </row>
    <row r="328" spans="1:12">
      <c r="A328" s="89">
        <v>223</v>
      </c>
      <c r="B328" s="90" t="s">
        <v>1314</v>
      </c>
      <c r="C328" s="90" t="s">
        <v>434</v>
      </c>
      <c r="D328" s="89">
        <v>1</v>
      </c>
      <c r="E328" s="89">
        <v>1</v>
      </c>
      <c r="F328" s="8"/>
      <c r="G328" s="8"/>
      <c r="H328" s="8"/>
      <c r="I328" s="8"/>
      <c r="J328" s="8"/>
      <c r="K328" s="8"/>
      <c r="L328" s="8"/>
    </row>
    <row r="329" spans="1:12">
      <c r="A329" s="89">
        <v>224</v>
      </c>
      <c r="B329" s="90" t="s">
        <v>1315</v>
      </c>
      <c r="C329" s="90" t="s">
        <v>171</v>
      </c>
      <c r="D329" s="89">
        <v>1</v>
      </c>
      <c r="E329" s="89">
        <v>1</v>
      </c>
      <c r="F329" s="8"/>
      <c r="G329" s="8"/>
      <c r="H329" s="8"/>
      <c r="I329" s="8"/>
      <c r="J329" s="8"/>
      <c r="K329" s="8"/>
      <c r="L329" s="8"/>
    </row>
    <row r="330" spans="1:12">
      <c r="A330" s="89">
        <v>225</v>
      </c>
      <c r="B330" s="90" t="s">
        <v>1316</v>
      </c>
      <c r="C330" s="90" t="s">
        <v>354</v>
      </c>
      <c r="D330" s="89">
        <v>1</v>
      </c>
      <c r="E330" s="89">
        <v>1</v>
      </c>
      <c r="F330" s="8"/>
      <c r="G330" s="8"/>
      <c r="H330" s="8"/>
      <c r="I330" s="8"/>
      <c r="J330" s="8"/>
      <c r="K330" s="8"/>
      <c r="L330" s="8"/>
    </row>
    <row r="331" spans="1:12">
      <c r="A331" s="89">
        <v>226</v>
      </c>
      <c r="B331" s="90" t="s">
        <v>1317</v>
      </c>
      <c r="C331" s="90" t="s">
        <v>155</v>
      </c>
      <c r="D331" s="89">
        <v>1</v>
      </c>
      <c r="E331" s="89">
        <v>1</v>
      </c>
      <c r="F331" s="8"/>
      <c r="G331" s="8"/>
      <c r="H331" s="8"/>
      <c r="I331" s="8"/>
      <c r="J331" s="8"/>
      <c r="K331" s="8"/>
      <c r="L331" s="8"/>
    </row>
    <row r="332" spans="1:12">
      <c r="A332" s="89">
        <v>228</v>
      </c>
      <c r="B332" s="90" t="s">
        <v>1318</v>
      </c>
      <c r="C332" s="90" t="s">
        <v>52</v>
      </c>
      <c r="D332" s="89">
        <v>1</v>
      </c>
      <c r="E332" s="89">
        <v>1</v>
      </c>
      <c r="F332" s="8"/>
      <c r="G332" s="8"/>
      <c r="H332" s="8"/>
      <c r="I332" s="8"/>
      <c r="J332" s="8"/>
      <c r="K332" s="8"/>
      <c r="L332" s="8"/>
    </row>
    <row r="333" spans="1:12">
      <c r="A333" s="89">
        <v>177</v>
      </c>
      <c r="B333" s="90" t="s">
        <v>1319</v>
      </c>
      <c r="C333" s="90" t="s">
        <v>207</v>
      </c>
      <c r="D333" s="89">
        <v>1</v>
      </c>
      <c r="E333" s="89">
        <v>1</v>
      </c>
      <c r="F333" s="8"/>
      <c r="G333" s="8"/>
      <c r="H333" s="8"/>
      <c r="I333" s="8"/>
      <c r="J333" s="8"/>
      <c r="K333" s="8"/>
      <c r="L333" s="8"/>
    </row>
    <row r="334" spans="1:12">
      <c r="A334" s="89">
        <v>229</v>
      </c>
      <c r="B334" s="90" t="s">
        <v>1320</v>
      </c>
      <c r="C334" s="90" t="s">
        <v>123</v>
      </c>
      <c r="D334" s="89">
        <v>1</v>
      </c>
      <c r="E334" s="89">
        <v>1</v>
      </c>
      <c r="F334" s="8"/>
      <c r="G334" s="8"/>
      <c r="H334" s="8"/>
      <c r="I334" s="8"/>
      <c r="J334" s="8"/>
      <c r="K334" s="8"/>
      <c r="L334" s="8"/>
    </row>
    <row r="335" spans="1:12">
      <c r="A335" s="89">
        <v>230</v>
      </c>
      <c r="B335" s="90" t="s">
        <v>1321</v>
      </c>
      <c r="C335" s="90" t="s">
        <v>406</v>
      </c>
      <c r="D335" s="89">
        <v>1</v>
      </c>
      <c r="E335" s="89">
        <v>1</v>
      </c>
      <c r="F335" s="8"/>
      <c r="G335" s="8"/>
      <c r="H335" s="8"/>
      <c r="I335" s="8"/>
      <c r="J335" s="8"/>
      <c r="K335" s="8"/>
      <c r="L335" s="8"/>
    </row>
    <row r="336" spans="1:12">
      <c r="A336" s="89">
        <v>22</v>
      </c>
      <c r="B336" s="90" t="s">
        <v>1322</v>
      </c>
      <c r="C336" s="90" t="s">
        <v>64</v>
      </c>
      <c r="D336" s="89">
        <v>1</v>
      </c>
      <c r="E336" s="89">
        <v>1</v>
      </c>
      <c r="F336" s="8"/>
      <c r="G336" s="8"/>
      <c r="H336" s="8"/>
      <c r="I336" s="8"/>
      <c r="J336" s="8"/>
      <c r="K336" s="8"/>
      <c r="L336" s="8"/>
    </row>
    <row r="337" spans="1:12">
      <c r="A337" s="89">
        <v>232</v>
      </c>
      <c r="B337" s="90" t="s">
        <v>1323</v>
      </c>
      <c r="C337" s="90" t="s">
        <v>466</v>
      </c>
      <c r="D337" s="89">
        <v>1</v>
      </c>
      <c r="E337" s="89">
        <v>1</v>
      </c>
      <c r="F337" s="8"/>
      <c r="G337" s="8"/>
      <c r="H337" s="8"/>
      <c r="I337" s="8"/>
      <c r="J337" s="8"/>
      <c r="K337" s="8"/>
      <c r="L337" s="8"/>
    </row>
    <row r="338" spans="1:12">
      <c r="A338" s="89">
        <v>233</v>
      </c>
      <c r="B338" s="90" t="s">
        <v>1324</v>
      </c>
      <c r="C338" s="90" t="s">
        <v>386</v>
      </c>
      <c r="D338" s="89">
        <v>1</v>
      </c>
      <c r="E338" s="89">
        <v>1</v>
      </c>
      <c r="F338" s="8"/>
      <c r="G338" s="8"/>
      <c r="H338" s="8"/>
      <c r="I338" s="8"/>
      <c r="J338" s="8"/>
      <c r="K338" s="8"/>
      <c r="L338" s="8"/>
    </row>
    <row r="339" spans="1:12">
      <c r="A339" s="89">
        <v>89</v>
      </c>
      <c r="B339" s="90" t="s">
        <v>1325</v>
      </c>
      <c r="C339" s="90" t="s">
        <v>80</v>
      </c>
      <c r="D339" s="89">
        <v>1</v>
      </c>
      <c r="E339" s="89">
        <v>1</v>
      </c>
      <c r="F339" s="8"/>
      <c r="G339" s="8"/>
      <c r="H339" s="8"/>
      <c r="I339" s="8"/>
      <c r="J339" s="8"/>
      <c r="K339" s="8"/>
      <c r="L339" s="8"/>
    </row>
    <row r="340" spans="1:12">
      <c r="A340" s="89">
        <v>235</v>
      </c>
      <c r="B340" s="90" t="s">
        <v>1326</v>
      </c>
      <c r="C340" s="90" t="s">
        <v>382</v>
      </c>
      <c r="D340" s="89">
        <v>1</v>
      </c>
      <c r="E340" s="89">
        <v>1</v>
      </c>
      <c r="F340" s="8"/>
      <c r="G340" s="8"/>
      <c r="H340" s="8"/>
      <c r="I340" s="8"/>
      <c r="J340" s="8"/>
      <c r="K340" s="8"/>
      <c r="L340" s="8"/>
    </row>
    <row r="341" spans="1:12">
      <c r="A341" s="89">
        <v>236</v>
      </c>
      <c r="B341" s="90" t="s">
        <v>1327</v>
      </c>
      <c r="C341" s="90" t="s">
        <v>13</v>
      </c>
      <c r="D341" s="89">
        <v>1</v>
      </c>
      <c r="E341" s="89">
        <v>1</v>
      </c>
      <c r="F341" s="8"/>
      <c r="G341" s="8"/>
      <c r="H341" s="8"/>
      <c r="I341" s="8"/>
      <c r="J341" s="8"/>
      <c r="K341" s="8"/>
      <c r="L341" s="8"/>
    </row>
    <row r="342" spans="1:12">
      <c r="A342" s="89">
        <v>237</v>
      </c>
      <c r="B342" s="90" t="s">
        <v>1328</v>
      </c>
      <c r="C342" s="90" t="s">
        <v>179</v>
      </c>
      <c r="D342" s="89">
        <v>1</v>
      </c>
      <c r="E342" s="89">
        <v>1</v>
      </c>
      <c r="F342" s="8"/>
      <c r="G342" s="8"/>
      <c r="H342" s="8"/>
      <c r="I342" s="8"/>
      <c r="J342" s="8"/>
      <c r="K342" s="8"/>
      <c r="L342" s="8"/>
    </row>
    <row r="343" spans="1:12">
      <c r="A343" s="89">
        <v>238</v>
      </c>
      <c r="B343" s="90" t="s">
        <v>1329</v>
      </c>
      <c r="C343" s="90" t="s">
        <v>68</v>
      </c>
      <c r="D343" s="89">
        <v>1</v>
      </c>
      <c r="E343" s="89">
        <v>1</v>
      </c>
      <c r="F343" s="8"/>
      <c r="G343" s="8"/>
      <c r="H343" s="8"/>
      <c r="I343" s="8"/>
      <c r="J343" s="8"/>
      <c r="K343" s="8"/>
      <c r="L343" s="8"/>
    </row>
    <row r="344" spans="1:12">
      <c r="A344" s="89">
        <v>239</v>
      </c>
      <c r="B344" s="90" t="s">
        <v>1330</v>
      </c>
      <c r="C344" s="90" t="s">
        <v>426</v>
      </c>
      <c r="D344" s="89">
        <v>1</v>
      </c>
      <c r="E344" s="89">
        <v>1</v>
      </c>
      <c r="F344" s="8"/>
      <c r="G344" s="8"/>
      <c r="H344" s="8"/>
      <c r="I344" s="8"/>
      <c r="J344" s="8"/>
      <c r="K344" s="8"/>
      <c r="L344" s="8"/>
    </row>
    <row r="345" spans="1:12">
      <c r="A345" s="89">
        <v>240</v>
      </c>
      <c r="B345" s="90" t="s">
        <v>1331</v>
      </c>
      <c r="C345" s="90" t="s">
        <v>155</v>
      </c>
      <c r="D345" s="89">
        <v>1</v>
      </c>
      <c r="E345" s="89">
        <v>1</v>
      </c>
      <c r="F345" s="8"/>
      <c r="G345" s="8"/>
      <c r="H345" s="8"/>
      <c r="I345" s="8"/>
      <c r="J345" s="8"/>
      <c r="K345" s="8"/>
      <c r="L345" s="8"/>
    </row>
    <row r="346" spans="1:12">
      <c r="A346" s="89">
        <v>241</v>
      </c>
      <c r="B346" s="90" t="s">
        <v>1332</v>
      </c>
      <c r="C346" s="90" t="s">
        <v>291</v>
      </c>
      <c r="D346" s="89">
        <v>1</v>
      </c>
      <c r="E346" s="89">
        <v>1</v>
      </c>
      <c r="F346" s="8"/>
      <c r="G346" s="8"/>
      <c r="H346" s="8"/>
      <c r="I346" s="8"/>
      <c r="J346" s="8"/>
      <c r="K346" s="8"/>
      <c r="L346" s="8"/>
    </row>
    <row r="347" spans="1:12">
      <c r="A347" s="89">
        <v>242</v>
      </c>
      <c r="B347" s="90" t="s">
        <v>1333</v>
      </c>
      <c r="C347" s="90" t="s">
        <v>390</v>
      </c>
      <c r="D347" s="89">
        <v>1</v>
      </c>
      <c r="E347" s="89">
        <v>1</v>
      </c>
      <c r="F347" s="8"/>
      <c r="G347" s="8"/>
      <c r="H347" s="8"/>
      <c r="I347" s="8"/>
      <c r="J347" s="8"/>
      <c r="K347" s="8"/>
      <c r="L347" s="8"/>
    </row>
    <row r="348" spans="1:12">
      <c r="A348" s="89">
        <v>212</v>
      </c>
      <c r="B348" s="90" t="s">
        <v>1334</v>
      </c>
      <c r="C348" s="90" t="s">
        <v>48</v>
      </c>
      <c r="D348" s="89">
        <v>1</v>
      </c>
      <c r="E348" s="89">
        <v>1</v>
      </c>
      <c r="F348" s="8"/>
      <c r="G348" s="8"/>
      <c r="H348" s="8"/>
      <c r="I348" s="8"/>
      <c r="J348" s="8"/>
      <c r="K348" s="8"/>
      <c r="L348" s="8"/>
    </row>
    <row r="349" spans="1:12">
      <c r="A349" s="89">
        <v>211</v>
      </c>
      <c r="B349" s="90" t="s">
        <v>1335</v>
      </c>
      <c r="C349" s="90" t="s">
        <v>410</v>
      </c>
      <c r="D349" s="89">
        <v>1</v>
      </c>
      <c r="E349" s="89">
        <v>1</v>
      </c>
      <c r="F349" s="8"/>
      <c r="G349" s="8"/>
      <c r="H349" s="8"/>
      <c r="I349" s="8"/>
      <c r="J349" s="8"/>
      <c r="K349" s="8"/>
      <c r="L349" s="8"/>
    </row>
    <row r="350" spans="1:12">
      <c r="A350" s="89">
        <v>23</v>
      </c>
      <c r="B350" s="90" t="s">
        <v>1336</v>
      </c>
      <c r="C350" s="90" t="s">
        <v>108</v>
      </c>
      <c r="D350" s="89">
        <v>1</v>
      </c>
      <c r="E350" s="89">
        <v>1</v>
      </c>
      <c r="F350" s="8"/>
      <c r="G350" s="8"/>
      <c r="H350" s="8"/>
      <c r="I350" s="8"/>
      <c r="J350" s="8"/>
      <c r="K350" s="8"/>
      <c r="L350" s="8"/>
    </row>
    <row r="351" spans="1:12">
      <c r="A351" s="89">
        <v>209</v>
      </c>
      <c r="B351" s="90" t="s">
        <v>1337</v>
      </c>
      <c r="C351" s="90" t="s">
        <v>44</v>
      </c>
      <c r="D351" s="89">
        <v>1</v>
      </c>
      <c r="E351" s="89">
        <v>1</v>
      </c>
      <c r="F351" s="8"/>
      <c r="G351" s="8"/>
      <c r="H351" s="8"/>
      <c r="I351" s="8"/>
      <c r="J351" s="8"/>
      <c r="K351" s="8"/>
      <c r="L351" s="8"/>
    </row>
    <row r="352" spans="1:12">
      <c r="A352" s="89">
        <v>178</v>
      </c>
      <c r="B352" s="90" t="s">
        <v>1338</v>
      </c>
      <c r="C352" s="90" t="s">
        <v>422</v>
      </c>
      <c r="D352" s="89">
        <v>1</v>
      </c>
      <c r="E352" s="89">
        <v>1</v>
      </c>
      <c r="F352" s="8"/>
      <c r="G352" s="8"/>
      <c r="H352" s="8"/>
      <c r="I352" s="8"/>
      <c r="J352" s="8"/>
      <c r="K352" s="8"/>
      <c r="L352" s="8"/>
    </row>
    <row r="353" spans="1:12">
      <c r="A353" s="89">
        <v>179</v>
      </c>
      <c r="B353" s="90" t="s">
        <v>1339</v>
      </c>
      <c r="C353" s="90" t="s">
        <v>211</v>
      </c>
      <c r="D353" s="89">
        <v>1</v>
      </c>
      <c r="E353" s="89">
        <v>1</v>
      </c>
      <c r="F353" s="8"/>
      <c r="G353" s="8"/>
      <c r="H353" s="8"/>
      <c r="I353" s="8"/>
      <c r="J353" s="8"/>
      <c r="K353" s="8"/>
      <c r="L353" s="8"/>
    </row>
    <row r="354" spans="1:12">
      <c r="A354" s="89">
        <v>180</v>
      </c>
      <c r="B354" s="90" t="s">
        <v>1340</v>
      </c>
      <c r="C354" s="90" t="s">
        <v>187</v>
      </c>
      <c r="D354" s="89">
        <v>1</v>
      </c>
      <c r="E354" s="89">
        <v>1</v>
      </c>
      <c r="F354" s="8"/>
      <c r="G354" s="8"/>
      <c r="H354" s="8"/>
      <c r="I354" s="8"/>
      <c r="J354" s="8"/>
      <c r="K354" s="8"/>
      <c r="L354" s="8"/>
    </row>
    <row r="355" spans="1:12">
      <c r="A355" s="89">
        <v>181</v>
      </c>
      <c r="B355" s="90" t="s">
        <v>1341</v>
      </c>
      <c r="C355" s="90" t="s">
        <v>195</v>
      </c>
      <c r="D355" s="89">
        <v>1</v>
      </c>
      <c r="E355" s="89">
        <v>1</v>
      </c>
      <c r="F355" s="8"/>
      <c r="G355" s="8"/>
      <c r="H355" s="8"/>
      <c r="I355" s="8"/>
      <c r="J355" s="8"/>
      <c r="K355" s="8"/>
      <c r="L355" s="8"/>
    </row>
    <row r="356" spans="1:12">
      <c r="A356" s="89">
        <v>182</v>
      </c>
      <c r="B356" s="90" t="s">
        <v>1342</v>
      </c>
      <c r="C356" s="90" t="s">
        <v>112</v>
      </c>
      <c r="D356" s="89">
        <v>1</v>
      </c>
      <c r="E356" s="89">
        <v>1</v>
      </c>
      <c r="F356" s="8"/>
      <c r="G356" s="8"/>
      <c r="H356" s="8"/>
      <c r="I356" s="8"/>
      <c r="J356" s="8"/>
      <c r="K356" s="8"/>
      <c r="L356" s="8"/>
    </row>
    <row r="357" spans="1:12">
      <c r="A357" s="89">
        <v>183</v>
      </c>
      <c r="B357" s="90" t="s">
        <v>1343</v>
      </c>
      <c r="C357" s="90" t="s">
        <v>48</v>
      </c>
      <c r="D357" s="89">
        <v>1</v>
      </c>
      <c r="E357" s="89">
        <v>1</v>
      </c>
      <c r="F357" s="8"/>
      <c r="G357" s="8"/>
      <c r="H357" s="8"/>
      <c r="I357" s="8"/>
      <c r="J357" s="8"/>
      <c r="K357" s="8"/>
      <c r="L357" s="8"/>
    </row>
    <row r="358" spans="1:12">
      <c r="A358" s="89">
        <v>28</v>
      </c>
      <c r="B358" s="90" t="s">
        <v>1344</v>
      </c>
      <c r="C358" s="90" t="s">
        <v>438</v>
      </c>
      <c r="D358" s="89">
        <v>1</v>
      </c>
      <c r="E358" s="89">
        <v>1</v>
      </c>
      <c r="F358" s="8"/>
      <c r="G358" s="8"/>
      <c r="H358" s="8"/>
      <c r="I358" s="8"/>
      <c r="J358" s="8"/>
      <c r="K358" s="8"/>
      <c r="L358" s="8"/>
    </row>
    <row r="359" spans="1:12">
      <c r="A359" s="89">
        <v>185</v>
      </c>
      <c r="B359" s="90" t="s">
        <v>1345</v>
      </c>
      <c r="C359" s="90" t="s">
        <v>56</v>
      </c>
      <c r="D359" s="89">
        <v>1</v>
      </c>
      <c r="E359" s="89">
        <v>1</v>
      </c>
      <c r="F359" s="8"/>
      <c r="G359" s="8"/>
      <c r="H359" s="8"/>
      <c r="I359" s="8"/>
      <c r="J359" s="8"/>
      <c r="K359" s="8"/>
      <c r="L359" s="8"/>
    </row>
    <row r="360" spans="1:12">
      <c r="A360" s="89">
        <v>186</v>
      </c>
      <c r="B360" s="90" t="s">
        <v>1346</v>
      </c>
      <c r="C360" s="90" t="s">
        <v>319</v>
      </c>
      <c r="D360" s="89">
        <v>1</v>
      </c>
      <c r="E360" s="89">
        <v>1</v>
      </c>
      <c r="F360" s="8"/>
      <c r="G360" s="8"/>
      <c r="H360" s="8"/>
      <c r="I360" s="8"/>
      <c r="J360" s="8"/>
      <c r="K360" s="8"/>
      <c r="L360" s="8"/>
    </row>
    <row r="361" spans="1:12">
      <c r="A361" s="89">
        <v>187</v>
      </c>
      <c r="B361" s="90" t="s">
        <v>1347</v>
      </c>
      <c r="C361" s="90" t="s">
        <v>342</v>
      </c>
      <c r="D361" s="89">
        <v>1</v>
      </c>
      <c r="E361" s="89">
        <v>1</v>
      </c>
      <c r="F361" s="8"/>
      <c r="G361" s="8"/>
      <c r="H361" s="8"/>
      <c r="I361" s="8"/>
      <c r="J361" s="8"/>
      <c r="K361" s="8"/>
      <c r="L361" s="8"/>
    </row>
    <row r="362" spans="1:12">
      <c r="A362" s="89">
        <v>188</v>
      </c>
      <c r="B362" s="90" t="s">
        <v>1348</v>
      </c>
      <c r="C362" s="90" t="s">
        <v>434</v>
      </c>
      <c r="D362" s="89">
        <v>1</v>
      </c>
      <c r="E362" s="89">
        <v>1</v>
      </c>
      <c r="F362" s="8"/>
      <c r="G362" s="8"/>
      <c r="H362" s="8"/>
      <c r="I362" s="8"/>
      <c r="J362" s="8"/>
      <c r="K362" s="8"/>
      <c r="L362" s="8"/>
    </row>
    <row r="363" spans="1:12">
      <c r="A363" s="89">
        <v>191</v>
      </c>
      <c r="B363" s="90" t="s">
        <v>1349</v>
      </c>
      <c r="C363" s="90" t="s">
        <v>335</v>
      </c>
      <c r="D363" s="89">
        <v>1</v>
      </c>
      <c r="E363" s="89">
        <v>1</v>
      </c>
      <c r="F363" s="8"/>
      <c r="G363" s="8"/>
      <c r="H363" s="8"/>
      <c r="I363" s="8"/>
      <c r="J363" s="8"/>
      <c r="K363" s="8"/>
      <c r="L363" s="8"/>
    </row>
    <row r="364" spans="1:12">
      <c r="A364" s="89">
        <v>192</v>
      </c>
      <c r="B364" s="90" t="s">
        <v>1350</v>
      </c>
      <c r="C364" s="90" t="s">
        <v>100</v>
      </c>
      <c r="D364" s="89">
        <v>1</v>
      </c>
      <c r="E364" s="89">
        <v>1</v>
      </c>
      <c r="F364" s="8"/>
      <c r="G364" s="8"/>
      <c r="H364" s="8"/>
      <c r="I364" s="8"/>
      <c r="J364" s="8"/>
      <c r="K364" s="8"/>
      <c r="L364" s="8"/>
    </row>
    <row r="365" spans="1:12">
      <c r="A365" s="89">
        <v>193</v>
      </c>
      <c r="B365" s="90" t="s">
        <v>1351</v>
      </c>
      <c r="C365" s="90" t="s">
        <v>486</v>
      </c>
      <c r="D365" s="89">
        <v>1</v>
      </c>
      <c r="E365" s="89">
        <v>1</v>
      </c>
      <c r="F365" s="8"/>
      <c r="G365" s="8"/>
      <c r="H365" s="8"/>
      <c r="I365" s="8"/>
      <c r="J365" s="8"/>
      <c r="K365" s="8"/>
      <c r="L365" s="8"/>
    </row>
    <row r="366" spans="1:12">
      <c r="A366" s="89">
        <v>194</v>
      </c>
      <c r="B366" s="90" t="s">
        <v>1352</v>
      </c>
      <c r="C366" s="90" t="s">
        <v>434</v>
      </c>
      <c r="D366" s="89">
        <v>1</v>
      </c>
      <c r="E366" s="89">
        <v>1</v>
      </c>
      <c r="F366" s="8"/>
      <c r="G366" s="8"/>
      <c r="H366" s="8"/>
      <c r="I366" s="8"/>
      <c r="J366" s="8"/>
      <c r="K366" s="8"/>
      <c r="L366" s="8"/>
    </row>
    <row r="367" spans="1:12">
      <c r="A367" s="89">
        <v>24</v>
      </c>
      <c r="B367" s="90" t="s">
        <v>1353</v>
      </c>
      <c r="C367" s="90" t="s">
        <v>147</v>
      </c>
      <c r="D367" s="89">
        <v>1</v>
      </c>
      <c r="E367" s="89">
        <v>1</v>
      </c>
      <c r="F367" s="8"/>
      <c r="G367" s="8"/>
      <c r="H367" s="8"/>
      <c r="I367" s="8"/>
      <c r="J367" s="8"/>
      <c r="K367" s="8"/>
      <c r="L367" s="8"/>
    </row>
    <row r="368" spans="1:12">
      <c r="A368" s="89">
        <v>196</v>
      </c>
      <c r="B368" s="90" t="s">
        <v>1354</v>
      </c>
      <c r="C368" s="90" t="s">
        <v>354</v>
      </c>
      <c r="D368" s="89">
        <v>1</v>
      </c>
      <c r="E368" s="89">
        <v>1</v>
      </c>
      <c r="F368" s="8"/>
      <c r="G368" s="8"/>
      <c r="H368" s="8"/>
      <c r="I368" s="8"/>
      <c r="J368" s="8"/>
      <c r="K368" s="8"/>
      <c r="L368" s="8"/>
    </row>
    <row r="369" spans="1:12">
      <c r="A369" s="89">
        <v>197</v>
      </c>
      <c r="B369" s="90" t="s">
        <v>1355</v>
      </c>
      <c r="C369" s="90" t="s">
        <v>231</v>
      </c>
      <c r="D369" s="89">
        <v>1</v>
      </c>
      <c r="E369" s="89">
        <v>1</v>
      </c>
      <c r="F369" s="8"/>
      <c r="G369" s="8"/>
      <c r="H369" s="8"/>
      <c r="I369" s="8"/>
      <c r="J369" s="8"/>
      <c r="K369" s="8"/>
      <c r="L369" s="8"/>
    </row>
    <row r="370" spans="1:12">
      <c r="A370" s="89">
        <v>198</v>
      </c>
      <c r="B370" s="90" t="s">
        <v>1356</v>
      </c>
      <c r="C370" s="90" t="s">
        <v>319</v>
      </c>
      <c r="D370" s="89">
        <v>1</v>
      </c>
      <c r="E370" s="89">
        <v>1</v>
      </c>
      <c r="F370" s="8"/>
      <c r="G370" s="8"/>
      <c r="H370" s="8"/>
      <c r="I370" s="8"/>
      <c r="J370" s="8"/>
      <c r="K370" s="8"/>
      <c r="L370" s="8"/>
    </row>
    <row r="371" spans="1:12">
      <c r="A371" s="89">
        <v>199</v>
      </c>
      <c r="B371" s="90" t="s">
        <v>1357</v>
      </c>
      <c r="C371" s="90" t="s">
        <v>64</v>
      </c>
      <c r="D371" s="89">
        <v>1</v>
      </c>
      <c r="E371" s="89">
        <v>1</v>
      </c>
      <c r="F371" s="8"/>
      <c r="G371" s="8"/>
      <c r="H371" s="8"/>
      <c r="I371" s="8"/>
      <c r="J371" s="8"/>
      <c r="K371" s="8"/>
      <c r="L371" s="8"/>
    </row>
    <row r="372" spans="1:12">
      <c r="A372" s="89">
        <v>200</v>
      </c>
      <c r="B372" s="90" t="s">
        <v>1358</v>
      </c>
      <c r="C372" s="90" t="s">
        <v>291</v>
      </c>
      <c r="D372" s="89">
        <v>1</v>
      </c>
      <c r="E372" s="89">
        <v>1</v>
      </c>
      <c r="F372" s="8"/>
      <c r="G372" s="8"/>
      <c r="H372" s="8"/>
      <c r="I372" s="8"/>
      <c r="J372" s="8"/>
      <c r="K372" s="8"/>
      <c r="L372" s="8"/>
    </row>
    <row r="373" spans="1:12">
      <c r="A373" s="89">
        <v>201</v>
      </c>
      <c r="B373" s="90" t="s">
        <v>1359</v>
      </c>
      <c r="C373" s="90" t="s">
        <v>414</v>
      </c>
      <c r="D373" s="89">
        <v>1</v>
      </c>
      <c r="E373" s="89">
        <v>1</v>
      </c>
      <c r="F373" s="8"/>
      <c r="G373" s="8"/>
      <c r="H373" s="8"/>
      <c r="I373" s="8"/>
      <c r="J373" s="8"/>
      <c r="K373" s="8"/>
      <c r="L373" s="8"/>
    </row>
    <row r="374" spans="1:12">
      <c r="A374" s="89">
        <v>202</v>
      </c>
      <c r="B374" s="90" t="s">
        <v>1360</v>
      </c>
      <c r="C374" s="90" t="s">
        <v>104</v>
      </c>
      <c r="D374" s="89">
        <v>1</v>
      </c>
      <c r="E374" s="89">
        <v>1</v>
      </c>
      <c r="F374" s="8"/>
      <c r="G374" s="8"/>
      <c r="H374" s="8"/>
      <c r="I374" s="8"/>
      <c r="J374" s="8"/>
      <c r="K374" s="8"/>
      <c r="L374" s="8"/>
    </row>
    <row r="375" spans="1:12">
      <c r="A375" s="89">
        <v>203</v>
      </c>
      <c r="B375" s="90" t="s">
        <v>1361</v>
      </c>
      <c r="C375" s="90" t="s">
        <v>219</v>
      </c>
      <c r="D375" s="89">
        <v>1</v>
      </c>
      <c r="E375" s="89">
        <v>1</v>
      </c>
      <c r="F375" s="8"/>
      <c r="G375" s="8"/>
      <c r="H375" s="8"/>
      <c r="I375" s="8"/>
      <c r="J375" s="8"/>
      <c r="K375" s="8"/>
      <c r="L375" s="8"/>
    </row>
    <row r="376" spans="1:12">
      <c r="A376" s="89">
        <v>204</v>
      </c>
      <c r="B376" s="90" t="s">
        <v>1362</v>
      </c>
      <c r="C376" s="90" t="s">
        <v>478</v>
      </c>
      <c r="D376" s="89">
        <v>1</v>
      </c>
      <c r="E376" s="89">
        <v>1</v>
      </c>
      <c r="F376" s="8"/>
      <c r="G376" s="8"/>
      <c r="H376" s="8"/>
      <c r="I376" s="8"/>
      <c r="J376" s="8"/>
      <c r="K376" s="8"/>
      <c r="L376" s="8"/>
    </row>
    <row r="377" spans="1:12">
      <c r="A377" s="89">
        <v>205</v>
      </c>
      <c r="B377" s="90" t="s">
        <v>1363</v>
      </c>
      <c r="C377" s="90" t="s">
        <v>327</v>
      </c>
      <c r="D377" s="89">
        <v>1</v>
      </c>
      <c r="E377" s="89">
        <v>1</v>
      </c>
      <c r="F377" s="8"/>
      <c r="G377" s="8"/>
      <c r="H377" s="8"/>
      <c r="I377" s="8"/>
      <c r="J377" s="8"/>
      <c r="K377" s="8"/>
      <c r="L377" s="8"/>
    </row>
    <row r="378" spans="1:12">
      <c r="A378" s="89">
        <v>206</v>
      </c>
      <c r="B378" s="90" t="s">
        <v>1364</v>
      </c>
      <c r="C378" s="90" t="s">
        <v>331</v>
      </c>
      <c r="D378" s="89">
        <v>1</v>
      </c>
      <c r="E378" s="89">
        <v>1</v>
      </c>
      <c r="F378" s="8"/>
      <c r="G378" s="8"/>
      <c r="H378" s="8"/>
      <c r="I378" s="8"/>
      <c r="J378" s="8"/>
      <c r="K378" s="8"/>
      <c r="L378" s="8"/>
    </row>
    <row r="379" spans="1:12">
      <c r="A379" s="89">
        <v>207</v>
      </c>
      <c r="B379" s="90" t="s">
        <v>1365</v>
      </c>
      <c r="C379" s="90" t="s">
        <v>335</v>
      </c>
      <c r="D379" s="89">
        <v>1</v>
      </c>
      <c r="E379" s="89">
        <v>1</v>
      </c>
      <c r="F379" s="8"/>
      <c r="G379" s="8"/>
      <c r="H379" s="8"/>
      <c r="I379" s="8"/>
      <c r="J379" s="8"/>
      <c r="K379" s="8"/>
      <c r="L379" s="8"/>
    </row>
    <row r="380" spans="1:12">
      <c r="A380" s="89">
        <v>208</v>
      </c>
      <c r="B380" s="90" t="s">
        <v>1366</v>
      </c>
      <c r="C380" s="90" t="s">
        <v>454</v>
      </c>
      <c r="D380" s="89">
        <v>1</v>
      </c>
      <c r="E380" s="89">
        <v>1</v>
      </c>
      <c r="F380" s="8"/>
      <c r="G380" s="8"/>
      <c r="H380" s="8"/>
      <c r="I380" s="8"/>
      <c r="J380" s="8"/>
      <c r="K380" s="8"/>
      <c r="L380" s="8"/>
    </row>
    <row r="381" spans="1:12">
      <c r="A381" s="89">
        <v>379</v>
      </c>
      <c r="B381" s="90" t="s">
        <v>1367</v>
      </c>
      <c r="C381" s="90" t="s">
        <v>155</v>
      </c>
      <c r="D381" s="89">
        <v>1</v>
      </c>
      <c r="E381" s="89">
        <v>1</v>
      </c>
      <c r="F381" s="8"/>
      <c r="G381" s="8"/>
      <c r="H381" s="8"/>
      <c r="I381" s="8"/>
      <c r="J381" s="8"/>
      <c r="K381" s="8"/>
      <c r="L381" s="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9"/>
  <sheetViews>
    <sheetView workbookViewId="0"/>
  </sheetViews>
  <sheetFormatPr defaultColWidth="11.20703125" defaultRowHeight="15" customHeight="1"/>
  <sheetData>
    <row r="1" spans="1:26" ht="15" customHeight="1">
      <c r="A1" s="49" t="s">
        <v>0</v>
      </c>
      <c r="B1" s="49" t="s">
        <v>497</v>
      </c>
      <c r="C1" s="49" t="s">
        <v>0</v>
      </c>
      <c r="D1" s="49" t="s">
        <v>497</v>
      </c>
      <c r="E1" s="49" t="s">
        <v>0</v>
      </c>
      <c r="F1" s="49" t="s">
        <v>497</v>
      </c>
      <c r="G1" s="49" t="s">
        <v>0</v>
      </c>
      <c r="H1" s="49" t="s">
        <v>497</v>
      </c>
      <c r="I1" s="49" t="s">
        <v>0</v>
      </c>
      <c r="J1" s="49" t="s">
        <v>497</v>
      </c>
      <c r="K1" s="49" t="s">
        <v>0</v>
      </c>
      <c r="L1" s="49" t="s">
        <v>497</v>
      </c>
      <c r="M1" s="49" t="s">
        <v>0</v>
      </c>
      <c r="N1" s="49" t="s">
        <v>497</v>
      </c>
      <c r="O1" s="96"/>
      <c r="P1" s="48"/>
      <c r="Q1" s="96"/>
      <c r="R1" s="96"/>
      <c r="S1" s="96"/>
      <c r="T1" s="96"/>
      <c r="U1" s="96"/>
      <c r="V1" s="96"/>
      <c r="W1" s="96"/>
      <c r="X1" s="96"/>
      <c r="Y1" s="47"/>
      <c r="Z1" s="47"/>
    </row>
    <row r="2" spans="1:26" ht="15" customHeight="1">
      <c r="A2" s="49" t="s">
        <v>885</v>
      </c>
      <c r="B2" s="49" t="s">
        <v>885</v>
      </c>
      <c r="C2" s="49" t="s">
        <v>1368</v>
      </c>
      <c r="D2" s="49" t="s">
        <v>1368</v>
      </c>
      <c r="E2" s="49" t="s">
        <v>1369</v>
      </c>
      <c r="F2" s="49" t="s">
        <v>1369</v>
      </c>
      <c r="G2" s="49" t="s">
        <v>1370</v>
      </c>
      <c r="H2" s="49" t="s">
        <v>1370</v>
      </c>
      <c r="I2" s="49" t="s">
        <v>903</v>
      </c>
      <c r="J2" s="49" t="s">
        <v>903</v>
      </c>
      <c r="K2" s="49" t="s">
        <v>1371</v>
      </c>
      <c r="L2" s="49" t="s">
        <v>1371</v>
      </c>
      <c r="M2" s="49" t="s">
        <v>1372</v>
      </c>
      <c r="N2" s="49" t="s">
        <v>1372</v>
      </c>
      <c r="P2" s="42" t="s">
        <v>497</v>
      </c>
      <c r="Q2" s="97" t="s">
        <v>885</v>
      </c>
      <c r="R2" s="97" t="s">
        <v>1368</v>
      </c>
      <c r="S2" s="97" t="s">
        <v>1369</v>
      </c>
      <c r="T2" s="97" t="s">
        <v>1370</v>
      </c>
      <c r="U2" s="97" t="s">
        <v>903</v>
      </c>
      <c r="V2" s="97" t="s">
        <v>1371</v>
      </c>
      <c r="W2" s="97" t="s">
        <v>1372</v>
      </c>
    </row>
    <row r="3" spans="1:26" ht="15" customHeight="1">
      <c r="A3" s="98" t="s">
        <v>5</v>
      </c>
      <c r="B3" s="44">
        <f t="array" ref="B3">INDEX(primary_studies!D:D, MATCH(A3, primary_studies!A:A, 0))</f>
        <v>2015</v>
      </c>
      <c r="C3" s="99" t="s">
        <v>283</v>
      </c>
      <c r="D3" s="41">
        <f t="array" ref="D3">INDEX(primary_studies!D:D, MATCH(C3, primary_studies!A:A, 0))</f>
        <v>2022</v>
      </c>
      <c r="E3" s="99" t="s">
        <v>25</v>
      </c>
      <c r="F3" s="41">
        <f t="array" ref="F3">INDEX(primary_studies!D:D, MATCH(E3, primary_studies!A:A, 0))</f>
        <v>2015</v>
      </c>
      <c r="G3" s="99" t="s">
        <v>32</v>
      </c>
      <c r="H3" s="41">
        <f t="array" ref="H3">INDEX(primary_studies!D:D, MATCH(G3, primary_studies!A:A, 0))</f>
        <v>2015</v>
      </c>
      <c r="I3" s="99" t="s">
        <v>151</v>
      </c>
      <c r="J3" s="41">
        <f t="array" ref="J3">INDEX(primary_studies!D:D, MATCH(I3, primary_studies!A:A, 0))</f>
        <v>2018</v>
      </c>
      <c r="K3" s="99" t="s">
        <v>100</v>
      </c>
      <c r="L3" s="41">
        <f t="array" ref="L3">INDEX(primary_studies!D:D, MATCH(K3, primary_studies!A:A, 0))</f>
        <v>2017</v>
      </c>
      <c r="M3" s="99" t="s">
        <v>40</v>
      </c>
      <c r="N3" s="41">
        <f t="array" ref="N3">INDEX(primary_studies!D:D, MATCH(M3, primary_studies!A:A, 0))</f>
        <v>2015</v>
      </c>
      <c r="P3" s="42">
        <v>2015</v>
      </c>
      <c r="Q3" s="42">
        <f t="shared" ref="Q3:Q8" si="0">COUNTIF(B:B, P3)</f>
        <v>7</v>
      </c>
      <c r="S3" s="42">
        <f>COUNTIF(F:F, P3)</f>
        <v>1</v>
      </c>
      <c r="T3" s="42">
        <f>COUNTIF(H:H, P3)</f>
        <v>2</v>
      </c>
      <c r="W3" s="42">
        <f>COUNTIF(N:N, P3)</f>
        <v>1</v>
      </c>
    </row>
    <row r="4" spans="1:26" ht="15" customHeight="1">
      <c r="A4" s="98" t="s">
        <v>17</v>
      </c>
      <c r="B4" s="44">
        <f t="array" ref="B4">INDEX(primary_studies!D:D, MATCH(A4, primary_studies!A:A, 0))</f>
        <v>2015</v>
      </c>
      <c r="C4" s="98" t="s">
        <v>303</v>
      </c>
      <c r="D4" s="44">
        <f t="array" ref="D4">INDEX(primary_studies!D:D, MATCH(C4, primary_studies!A:A, 0))</f>
        <v>2022</v>
      </c>
      <c r="E4" s="98" t="s">
        <v>84</v>
      </c>
      <c r="F4" s="44">
        <f t="array" ref="F4">INDEX(primary_studies!D:D, MATCH(E4, primary_studies!A:A, 0))</f>
        <v>2017</v>
      </c>
      <c r="G4" s="98" t="s">
        <v>36</v>
      </c>
      <c r="H4" s="44">
        <f t="array" ref="H4">INDEX(primary_studies!D:D, MATCH(G4, primary_studies!A:A, 0))</f>
        <v>2015</v>
      </c>
      <c r="I4" s="98" t="s">
        <v>159</v>
      </c>
      <c r="J4" s="44">
        <f t="array" ref="J4">INDEX(primary_studies!D:D, MATCH(I4, primary_studies!A:A, 0))</f>
        <v>2019</v>
      </c>
      <c r="K4" s="98" t="s">
        <v>167</v>
      </c>
      <c r="L4" s="44">
        <f t="array" ref="L4">INDEX(primary_studies!D:D, MATCH(K4, primary_studies!A:A, 0))</f>
        <v>2019</v>
      </c>
      <c r="M4" s="98" t="s">
        <v>199</v>
      </c>
      <c r="N4" s="44">
        <f t="array" ref="N4">INDEX(primary_studies!D:D, MATCH(M4, primary_studies!A:A, 0))</f>
        <v>2020</v>
      </c>
      <c r="P4" s="42">
        <v>2016</v>
      </c>
      <c r="Q4" s="42">
        <f t="shared" si="0"/>
        <v>2</v>
      </c>
    </row>
    <row r="5" spans="1:26" ht="15" customHeight="1">
      <c r="A5" s="98" t="s">
        <v>21</v>
      </c>
      <c r="B5" s="44">
        <f t="array" ref="B5">INDEX(primary_studies!D:D, MATCH(A5, primary_studies!A:A, 0))</f>
        <v>2015</v>
      </c>
      <c r="C5" s="98" t="s">
        <v>307</v>
      </c>
      <c r="D5" s="44">
        <f t="array" ref="D5">INDEX(primary_studies!D:D, MATCH(C5, primary_studies!A:A, 0))</f>
        <v>2022</v>
      </c>
      <c r="E5" s="98" t="s">
        <v>112</v>
      </c>
      <c r="F5" s="44">
        <f t="array" ref="F5">INDEX(primary_studies!D:D, MATCH(E5, primary_studies!A:A, 0))</f>
        <v>2018</v>
      </c>
      <c r="G5" s="98" t="s">
        <v>139</v>
      </c>
      <c r="H5" s="44">
        <f t="array" ref="H5">INDEX(primary_studies!D:D, MATCH(G5, primary_studies!A:A, 0))</f>
        <v>2018</v>
      </c>
      <c r="I5" s="98" t="s">
        <v>275</v>
      </c>
      <c r="J5" s="44">
        <f t="array" ref="J5">INDEX(primary_studies!D:D, MATCH(I5, primary_studies!A:A, 0))</f>
        <v>2022</v>
      </c>
      <c r="K5" s="98" t="s">
        <v>251</v>
      </c>
      <c r="L5" s="44">
        <f t="array" ref="L5">INDEX(primary_studies!D:D, MATCH(K5, primary_studies!A:A, 0))</f>
        <v>2021</v>
      </c>
      <c r="M5" s="98" t="s">
        <v>311</v>
      </c>
      <c r="N5" s="44">
        <f t="array" ref="N5">INDEX(primary_studies!D:D, MATCH(M5, primary_studies!A:A, 0))</f>
        <v>2022</v>
      </c>
      <c r="P5" s="42">
        <v>2017</v>
      </c>
      <c r="Q5" s="42">
        <f t="shared" si="0"/>
        <v>2</v>
      </c>
      <c r="S5" s="42">
        <f t="shared" ref="S5:S7" si="1">COUNTIF(F:F, P5)</f>
        <v>1</v>
      </c>
      <c r="V5" s="42">
        <f>COUNTIF(L:L, P5)</f>
        <v>1</v>
      </c>
    </row>
    <row r="6" spans="1:26" ht="15" customHeight="1">
      <c r="A6" s="98" t="s">
        <v>25</v>
      </c>
      <c r="B6" s="44">
        <f t="array" ref="B6">INDEX(primary_studies!D:D, MATCH(A6, primary_studies!A:A, 0))</f>
        <v>2015</v>
      </c>
      <c r="C6" s="98" t="s">
        <v>319</v>
      </c>
      <c r="D6" s="44">
        <f t="array" ref="D6">INDEX(primary_studies!D:D, MATCH(C6, primary_studies!A:A, 0))</f>
        <v>2022</v>
      </c>
      <c r="E6" s="98" t="s">
        <v>116</v>
      </c>
      <c r="F6" s="44">
        <f t="array" ref="F6">INDEX(primary_studies!D:D, MATCH(E6, primary_studies!A:A, 0))</f>
        <v>2018</v>
      </c>
      <c r="G6" s="98" t="s">
        <v>211</v>
      </c>
      <c r="H6" s="44">
        <f t="array" ref="H6">INDEX(primary_studies!D:D, MATCH(G6, primary_studies!A:A, 0))</f>
        <v>2020</v>
      </c>
      <c r="I6" s="98" t="s">
        <v>283</v>
      </c>
      <c r="J6" s="44">
        <f t="array" ref="J6">INDEX(primary_studies!D:D, MATCH(I6, primary_studies!A:A, 0))</f>
        <v>2022</v>
      </c>
      <c r="K6" s="98" t="s">
        <v>271</v>
      </c>
      <c r="L6" s="44">
        <f t="array" ref="L6">INDEX(primary_studies!D:D, MATCH(K6, primary_studies!A:A, 0))</f>
        <v>2021</v>
      </c>
      <c r="M6" s="98" t="s">
        <v>402</v>
      </c>
      <c r="N6" s="44">
        <f t="array" ref="N6">INDEX(primary_studies!D:D, MATCH(M6, primary_studies!A:A, 0))</f>
        <v>2023</v>
      </c>
      <c r="P6" s="42">
        <v>2018</v>
      </c>
      <c r="Q6" s="42">
        <f t="shared" si="0"/>
        <v>1</v>
      </c>
      <c r="S6" s="42">
        <f t="shared" si="1"/>
        <v>2</v>
      </c>
      <c r="T6" s="42">
        <f>COUNTIF(H:H, P6)</f>
        <v>1</v>
      </c>
      <c r="U6" s="42">
        <f t="shared" ref="U6:U7" si="2">COUNTIF(J:J, P6)</f>
        <v>1</v>
      </c>
    </row>
    <row r="7" spans="1:26" ht="15" customHeight="1">
      <c r="A7" s="98" t="s">
        <v>36</v>
      </c>
      <c r="B7" s="44">
        <f t="array" ref="B7">INDEX(primary_studies!D:D, MATCH(A7, primary_studies!A:A, 0))</f>
        <v>2015</v>
      </c>
      <c r="C7" s="98" t="s">
        <v>323</v>
      </c>
      <c r="D7" s="44">
        <f t="array" ref="D7">INDEX(primary_studies!D:D, MATCH(C7, primary_studies!A:A, 0))</f>
        <v>2022</v>
      </c>
      <c r="E7" s="98" t="s">
        <v>175</v>
      </c>
      <c r="F7" s="44">
        <f t="array" ref="F7">INDEX(primary_studies!D:D, MATCH(E7, primary_studies!A:A, 0))</f>
        <v>2019</v>
      </c>
      <c r="G7" s="98" t="s">
        <v>251</v>
      </c>
      <c r="H7" s="44">
        <f t="array" ref="H7">INDEX(primary_studies!D:D, MATCH(G7, primary_studies!A:A, 0))</f>
        <v>2021</v>
      </c>
      <c r="I7" s="98" t="s">
        <v>338</v>
      </c>
      <c r="J7" s="44">
        <f t="array" ref="J7">INDEX(primary_studies!D:D, MATCH(I7, primary_studies!A:A, 0))</f>
        <v>2022</v>
      </c>
      <c r="K7" s="98" t="s">
        <v>327</v>
      </c>
      <c r="L7" s="44">
        <f t="array" ref="L7">INDEX(primary_studies!D:D, MATCH(K7, primary_studies!A:A, 0))</f>
        <v>2022</v>
      </c>
      <c r="M7" s="96" t="s">
        <v>442</v>
      </c>
      <c r="N7" s="48">
        <f t="array" ref="N7">INDEX(primary_studies!D:D, MATCH(M7, primary_studies!A:A, 0))</f>
        <v>2024</v>
      </c>
      <c r="P7" s="42">
        <v>2019</v>
      </c>
      <c r="Q7" s="42">
        <f t="shared" si="0"/>
        <v>1</v>
      </c>
      <c r="S7" s="42">
        <f t="shared" si="1"/>
        <v>1</v>
      </c>
      <c r="U7" s="42">
        <f t="shared" si="2"/>
        <v>1</v>
      </c>
      <c r="V7" s="42">
        <f>COUNTIF(L:L, P7)</f>
        <v>1</v>
      </c>
    </row>
    <row r="8" spans="1:26" ht="15" customHeight="1">
      <c r="A8" s="98" t="s">
        <v>40</v>
      </c>
      <c r="B8" s="44">
        <f t="array" ref="B8">INDEX(primary_studies!D:D, MATCH(A8, primary_studies!A:A, 0))</f>
        <v>2015</v>
      </c>
      <c r="C8" s="98" t="s">
        <v>338</v>
      </c>
      <c r="D8" s="44">
        <f t="array" ref="D8">INDEX(primary_studies!D:D, MATCH(C8, primary_studies!A:A, 0))</f>
        <v>2022</v>
      </c>
      <c r="E8" s="98" t="s">
        <v>287</v>
      </c>
      <c r="F8" s="44">
        <f t="array" ref="F8">INDEX(primary_studies!D:D, MATCH(E8, primary_studies!A:A, 0))</f>
        <v>2022</v>
      </c>
      <c r="G8" s="98" t="s">
        <v>279</v>
      </c>
      <c r="H8" s="44">
        <f t="array" ref="H8">INDEX(primary_studies!D:D, MATCH(G8, primary_studies!A:A, 0))</f>
        <v>2022</v>
      </c>
      <c r="I8" s="98" t="s">
        <v>374</v>
      </c>
      <c r="J8" s="44">
        <f t="array" ref="J8">INDEX(primary_studies!D:D, MATCH(I8, primary_studies!A:A, 0))</f>
        <v>2023</v>
      </c>
      <c r="K8" s="98" t="s">
        <v>390</v>
      </c>
      <c r="L8" s="44">
        <f t="array" ref="L8">INDEX(primary_studies!D:D, MATCH(K8, primary_studies!A:A, 0))</f>
        <v>2023</v>
      </c>
      <c r="P8" s="42">
        <v>2020</v>
      </c>
      <c r="Q8" s="42">
        <f t="shared" si="0"/>
        <v>1</v>
      </c>
      <c r="T8" s="42">
        <f t="shared" ref="T8:T12" si="3">COUNTIF(H:H, P8)</f>
        <v>1</v>
      </c>
      <c r="W8" s="42">
        <f>COUNTIF(N:N, P8)</f>
        <v>1</v>
      </c>
    </row>
    <row r="9" spans="1:26" ht="15" customHeight="1">
      <c r="A9" s="98" t="s">
        <v>44</v>
      </c>
      <c r="B9" s="44">
        <f t="array" ref="B9">INDEX(primary_studies!D:D, MATCH(A9, primary_studies!A:A, 0))</f>
        <v>2015</v>
      </c>
      <c r="C9" s="98" t="s">
        <v>366</v>
      </c>
      <c r="D9" s="44">
        <f t="array" ref="D9">INDEX(primary_studies!D:D, MATCH(C9, primary_studies!A:A, 0))</f>
        <v>2023</v>
      </c>
      <c r="E9" s="98" t="s">
        <v>307</v>
      </c>
      <c r="F9" s="44">
        <f t="array" ref="F9">INDEX(primary_studies!D:D, MATCH(E9, primary_studies!A:A, 0))</f>
        <v>2022</v>
      </c>
      <c r="G9" s="98" t="s">
        <v>390</v>
      </c>
      <c r="H9" s="44">
        <f t="array" ref="H9">INDEX(primary_studies!D:D, MATCH(G9, primary_studies!A:A, 0))</f>
        <v>2023</v>
      </c>
      <c r="I9" s="98" t="s">
        <v>378</v>
      </c>
      <c r="J9" s="44">
        <f t="array" ref="J9">INDEX(primary_studies!D:D, MATCH(I9, primary_studies!A:A, 0))</f>
        <v>2023</v>
      </c>
      <c r="K9" s="98" t="s">
        <v>438</v>
      </c>
      <c r="L9" s="44">
        <f t="array" ref="L9">INDEX(primary_studies!D:D, MATCH(K9, primary_studies!A:A, 0))</f>
        <v>2024</v>
      </c>
      <c r="P9" s="42">
        <v>2021</v>
      </c>
      <c r="T9" s="42">
        <f t="shared" si="3"/>
        <v>1</v>
      </c>
      <c r="V9" s="42">
        <f t="shared" ref="V9:V12" si="4">COUNTIF(L:L, P9)</f>
        <v>2</v>
      </c>
    </row>
    <row r="10" spans="1:26" ht="15" customHeight="1">
      <c r="A10" s="98" t="s">
        <v>52</v>
      </c>
      <c r="B10" s="44">
        <f t="array" ref="B10">INDEX(primary_studies!D:D, MATCH(A10, primary_studies!A:A, 0))</f>
        <v>2016</v>
      </c>
      <c r="C10" s="98" t="s">
        <v>374</v>
      </c>
      <c r="D10" s="44">
        <f t="array" ref="D10">INDEX(primary_studies!D:D, MATCH(C10, primary_studies!A:A, 0))</f>
        <v>2023</v>
      </c>
      <c r="E10" s="98" t="s">
        <v>323</v>
      </c>
      <c r="F10" s="44">
        <f t="array" ref="F10">INDEX(primary_studies!D:D, MATCH(E10, primary_studies!A:A, 0))</f>
        <v>2022</v>
      </c>
      <c r="G10" s="98" t="s">
        <v>410</v>
      </c>
      <c r="H10" s="44">
        <f t="array" ref="H10">INDEX(primary_studies!D:D, MATCH(G10, primary_studies!A:A, 0))</f>
        <v>2023</v>
      </c>
      <c r="I10" s="98" t="s">
        <v>382</v>
      </c>
      <c r="J10" s="44">
        <f t="array" ref="J10">INDEX(primary_studies!D:D, MATCH(I10, primary_studies!A:A, 0))</f>
        <v>2023</v>
      </c>
      <c r="K10" s="96" t="s">
        <v>454</v>
      </c>
      <c r="L10" s="48">
        <f t="array" ref="L10">INDEX(primary_studies!D:D, MATCH(K10, primary_studies!A:A, 0))</f>
        <v>2024</v>
      </c>
      <c r="P10" s="42">
        <v>2022</v>
      </c>
      <c r="R10" s="42">
        <f t="shared" ref="R10:R12" si="5">COUNTIF(D:D, P10)</f>
        <v>6</v>
      </c>
      <c r="S10" s="42">
        <f t="shared" ref="S10:S11" si="6">COUNTIF(F:F, P10)</f>
        <v>5</v>
      </c>
      <c r="T10" s="42">
        <f t="shared" si="3"/>
        <v>1</v>
      </c>
      <c r="U10" s="42">
        <f t="shared" ref="U10:U12" si="7">COUNTIF(J:J, P10)</f>
        <v>3</v>
      </c>
      <c r="V10" s="42">
        <f t="shared" si="4"/>
        <v>1</v>
      </c>
      <c r="W10" s="42">
        <f t="shared" ref="W10:W12" si="8">COUNTIF(N:N, P10)</f>
        <v>1</v>
      </c>
    </row>
    <row r="11" spans="1:26" ht="15" customHeight="1">
      <c r="A11" s="98" t="s">
        <v>56</v>
      </c>
      <c r="B11" s="44">
        <f t="array" ref="B11">INDEX(primary_studies!D:D, MATCH(A11, primary_studies!A:A, 0))</f>
        <v>2016</v>
      </c>
      <c r="C11" s="98" t="s">
        <v>382</v>
      </c>
      <c r="D11" s="44">
        <f t="array" ref="D11">INDEX(primary_studies!D:D, MATCH(C11, primary_studies!A:A, 0))</f>
        <v>2023</v>
      </c>
      <c r="E11" s="98" t="s">
        <v>335</v>
      </c>
      <c r="F11" s="44">
        <f t="array" ref="F11">INDEX(primary_studies!D:D, MATCH(E11, primary_studies!A:A, 0))</f>
        <v>2022</v>
      </c>
      <c r="G11" s="98" t="s">
        <v>346</v>
      </c>
      <c r="H11" s="44">
        <f t="array" ref="H11">INDEX(primary_studies!D:D, MATCH(G11, primary_studies!A:A, 0))</f>
        <v>2023</v>
      </c>
      <c r="I11" s="96" t="s">
        <v>478</v>
      </c>
      <c r="J11" s="48">
        <f t="array" ref="J11">INDEX(primary_studies!D:D, MATCH(I11, primary_studies!A:A, 0))</f>
        <v>2024</v>
      </c>
      <c r="P11" s="42">
        <v>2023</v>
      </c>
      <c r="R11" s="42">
        <f t="shared" si="5"/>
        <v>8</v>
      </c>
      <c r="S11" s="42">
        <f t="shared" si="6"/>
        <v>3</v>
      </c>
      <c r="T11" s="42">
        <f t="shared" si="3"/>
        <v>3</v>
      </c>
      <c r="U11" s="42">
        <f t="shared" si="7"/>
        <v>3</v>
      </c>
      <c r="V11" s="42">
        <f t="shared" si="4"/>
        <v>1</v>
      </c>
      <c r="W11" s="42">
        <f t="shared" si="8"/>
        <v>1</v>
      </c>
    </row>
    <row r="12" spans="1:26" ht="15" customHeight="1">
      <c r="A12" s="98" t="s">
        <v>76</v>
      </c>
      <c r="B12" s="44">
        <f t="array" ref="B12">INDEX(primary_studies!D:D, MATCH(A12, primary_studies!A:A, 0))</f>
        <v>2017</v>
      </c>
      <c r="C12" s="98" t="s">
        <v>386</v>
      </c>
      <c r="D12" s="44">
        <f t="array" ref="D12">INDEX(primary_studies!D:D, MATCH(C12, primary_studies!A:A, 0))</f>
        <v>2023</v>
      </c>
      <c r="E12" s="98" t="s">
        <v>338</v>
      </c>
      <c r="F12" s="44">
        <f t="array" ref="F12">INDEX(primary_studies!D:D, MATCH(E12, primary_studies!A:A, 0))</f>
        <v>2022</v>
      </c>
      <c r="G12" s="96" t="s">
        <v>422</v>
      </c>
      <c r="H12" s="48">
        <f t="array" ref="H12">INDEX(primary_studies!D:D, MATCH(G12, primary_studies!A:A, 0))</f>
        <v>2024</v>
      </c>
      <c r="P12" s="42">
        <v>2024</v>
      </c>
      <c r="Q12" s="42">
        <f>COUNTIF(B:B, P12)</f>
        <v>3</v>
      </c>
      <c r="R12" s="42">
        <f t="shared" si="5"/>
        <v>2</v>
      </c>
      <c r="T12" s="42">
        <f t="shared" si="3"/>
        <v>1</v>
      </c>
      <c r="U12" s="42">
        <f t="shared" si="7"/>
        <v>1</v>
      </c>
      <c r="V12" s="42">
        <f t="shared" si="4"/>
        <v>2</v>
      </c>
      <c r="W12" s="42">
        <f t="shared" si="8"/>
        <v>1</v>
      </c>
    </row>
    <row r="13" spans="1:26" ht="15" customHeight="1">
      <c r="A13" s="98" t="s">
        <v>84</v>
      </c>
      <c r="B13" s="44">
        <f t="array" ref="B13">INDEX(primary_studies!D:D, MATCH(A13, primary_studies!A:A, 0))</f>
        <v>2017</v>
      </c>
      <c r="C13" s="98" t="s">
        <v>406</v>
      </c>
      <c r="D13" s="44">
        <f t="array" ref="D13">INDEX(primary_studies!D:D, MATCH(C13, primary_studies!A:A, 0))</f>
        <v>2023</v>
      </c>
      <c r="E13" s="98" t="s">
        <v>366</v>
      </c>
      <c r="F13" s="44">
        <f t="array" ref="F13">INDEX(primary_studies!D:D, MATCH(E13, primary_studies!A:A, 0))</f>
        <v>2023</v>
      </c>
    </row>
    <row r="14" spans="1:26" ht="15" customHeight="1">
      <c r="A14" s="98" t="s">
        <v>143</v>
      </c>
      <c r="B14" s="44">
        <f t="array" ref="B14">INDEX(primary_studies!D:D, MATCH(A14, primary_studies!A:A, 0))</f>
        <v>2018</v>
      </c>
      <c r="C14" s="98" t="s">
        <v>410</v>
      </c>
      <c r="D14" s="44">
        <f t="array" ref="D14">INDEX(primary_studies!D:D, MATCH(C14, primary_studies!A:A, 0))</f>
        <v>2023</v>
      </c>
      <c r="E14" s="98" t="s">
        <v>418</v>
      </c>
      <c r="F14" s="44">
        <f t="array" ref="F14">INDEX(primary_studies!D:D, MATCH(E14, primary_studies!A:A, 0))</f>
        <v>2023</v>
      </c>
    </row>
    <row r="15" spans="1:26" ht="15" customHeight="1">
      <c r="A15" s="98" t="s">
        <v>179</v>
      </c>
      <c r="B15" s="44">
        <f t="array" ref="B15">INDEX(primary_studies!D:D, MATCH(A15, primary_studies!A:A, 0))</f>
        <v>2019</v>
      </c>
      <c r="C15" s="98" t="s">
        <v>354</v>
      </c>
      <c r="D15" s="44">
        <f t="array" ref="D15">INDEX(primary_studies!D:D, MATCH(C15, primary_studies!A:A, 0))</f>
        <v>2023</v>
      </c>
      <c r="E15" s="96" t="s">
        <v>358</v>
      </c>
      <c r="F15" s="48">
        <f t="array" ref="F15">INDEX(primary_studies!D:D, MATCH(E15, primary_studies!A:A, 0))</f>
        <v>2023</v>
      </c>
      <c r="P15" s="74"/>
    </row>
    <row r="16" spans="1:26" ht="15" customHeight="1">
      <c r="A16" s="98" t="s">
        <v>215</v>
      </c>
      <c r="B16" s="44">
        <f t="array" ref="B16">INDEX(primary_studies!D:D, MATCH(A16, primary_studies!A:A, 0))</f>
        <v>2020</v>
      </c>
      <c r="C16" s="98" t="s">
        <v>358</v>
      </c>
      <c r="D16" s="44">
        <f t="array" ref="D16">INDEX(primary_studies!D:D, MATCH(C16, primary_studies!A:A, 0))</f>
        <v>2023</v>
      </c>
    </row>
    <row r="17" spans="1:4" ht="15" customHeight="1">
      <c r="A17" s="98" t="s">
        <v>426</v>
      </c>
      <c r="B17" s="44">
        <f t="array" ref="B17">INDEX(primary_studies!D:D, MATCH(A17, primary_studies!A:A, 0))</f>
        <v>2024</v>
      </c>
      <c r="C17" s="98" t="s">
        <v>430</v>
      </c>
      <c r="D17" s="44">
        <f t="array" ref="D17">INDEX(primary_studies!D:D, MATCH(C17, primary_studies!A:A, 0))</f>
        <v>2024</v>
      </c>
    </row>
    <row r="18" spans="1:4" ht="15" customHeight="1">
      <c r="A18" s="98" t="s">
        <v>462</v>
      </c>
      <c r="B18" s="44">
        <f t="array" ref="B18">INDEX(primary_studies!D:D, MATCH(A18, primary_studies!A:A, 0))</f>
        <v>2024</v>
      </c>
      <c r="C18" s="96" t="s">
        <v>442</v>
      </c>
      <c r="D18" s="48">
        <f t="array" ref="D18">INDEX(primary_studies!D:D, MATCH(C18, primary_studies!A:A, 0))</f>
        <v>2024</v>
      </c>
    </row>
    <row r="19" spans="1:4" ht="15" customHeight="1">
      <c r="A19" s="96" t="s">
        <v>470</v>
      </c>
      <c r="B19" s="48">
        <f t="array" ref="B19">INDEX(primary_studies!D:D, MATCH(A19, primary_studies!A:A, 0))</f>
        <v>2024</v>
      </c>
    </row>
  </sheetData>
  <autoFilter ref="Q1:W1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997"/>
  <sheetViews>
    <sheetView workbookViewId="0"/>
  </sheetViews>
  <sheetFormatPr defaultColWidth="11.20703125" defaultRowHeight="15" customHeight="1"/>
  <cols>
    <col min="1" max="2" width="17.125" customWidth="1"/>
    <col min="3" max="3" width="36.125" customWidth="1"/>
    <col min="4" max="4" width="66.6640625" customWidth="1"/>
    <col min="5" max="5" width="49.125" customWidth="1"/>
  </cols>
  <sheetData>
    <row r="1" spans="1:25" ht="31">
      <c r="A1" s="100" t="s">
        <v>0</v>
      </c>
      <c r="B1" s="101" t="s">
        <v>1373</v>
      </c>
      <c r="C1" s="101" t="s">
        <v>0</v>
      </c>
      <c r="D1" s="101" t="s">
        <v>874</v>
      </c>
      <c r="E1" s="101"/>
      <c r="F1" s="101" t="s">
        <v>1374</v>
      </c>
      <c r="G1" s="101" t="s">
        <v>877</v>
      </c>
      <c r="H1" s="102"/>
      <c r="I1" s="102"/>
      <c r="J1" s="102"/>
      <c r="K1" s="102"/>
      <c r="L1" s="102"/>
      <c r="M1" s="102"/>
      <c r="N1" s="102"/>
      <c r="O1" s="102"/>
      <c r="P1" s="102"/>
      <c r="Q1" s="102"/>
      <c r="R1" s="102"/>
      <c r="S1" s="102"/>
      <c r="T1" s="102"/>
      <c r="U1" s="102"/>
      <c r="V1" s="102"/>
      <c r="W1" s="102"/>
      <c r="X1" s="102"/>
      <c r="Y1" s="102"/>
    </row>
    <row r="2" spans="1:25" ht="124">
      <c r="A2" s="103" t="s">
        <v>1375</v>
      </c>
      <c r="B2" s="104" t="s">
        <v>885</v>
      </c>
      <c r="C2" s="105" t="s">
        <v>1376</v>
      </c>
      <c r="D2" s="104" t="s">
        <v>1377</v>
      </c>
      <c r="E2" s="104" t="str">
        <f ca="1">IFERROR(__xludf.DUMMYFUNCTION("TEXTJOIN("", "", TRUE, UNIQUE(SPLIT(C2, "", "")))
"),"P01, P04, P05, P06, P09, P10, P11, P13, P14, P19, P21, P36, P45, P54, P107, P116, P118")</f>
        <v>P01, P04, P05, P06, P09, P10, P11, P13, P14, P19, P21, P36, P45, P54, P107, P116, P118</v>
      </c>
      <c r="F2" s="104">
        <f ca="1">IFERROR(__xludf.DUMMYFUNCTION("COUNTA(SPLIT(E2, "",""))
"),17)</f>
        <v>17</v>
      </c>
      <c r="G2" s="106">
        <f ca="1">IFERROR(__xludf.DUMMYFUNCTION("COUNTA(SPLIT(D2, "",""))
"),28)</f>
        <v>28</v>
      </c>
      <c r="H2" s="107"/>
      <c r="I2" s="107"/>
      <c r="J2" s="107"/>
      <c r="K2" s="107"/>
      <c r="L2" s="107"/>
      <c r="M2" s="107"/>
      <c r="N2" s="107"/>
      <c r="O2" s="107"/>
      <c r="P2" s="107"/>
      <c r="Q2" s="107"/>
      <c r="R2" s="107"/>
      <c r="S2" s="107"/>
      <c r="T2" s="107"/>
      <c r="U2" s="107"/>
      <c r="V2" s="107"/>
      <c r="W2" s="107"/>
      <c r="X2" s="107"/>
      <c r="Y2" s="107"/>
    </row>
    <row r="3" spans="1:25" ht="62">
      <c r="A3" s="103" t="s">
        <v>1378</v>
      </c>
      <c r="B3" s="104" t="s">
        <v>1368</v>
      </c>
      <c r="C3" s="105" t="s">
        <v>1379</v>
      </c>
      <c r="D3" s="104" t="s">
        <v>1380</v>
      </c>
      <c r="E3" s="104" t="str">
        <f ca="1">IFERROR(__xludf.DUMMYFUNCTION("TEXTJOIN("", "", TRUE, UNIQUE(SPLIT(C3, "", "")))
"),"P71, P76, P77, P80, P81, P85, P86, P88, P90, P91, P96, P97, P103, P104, P108, P111")</f>
        <v>P71, P76, P77, P80, P81, P85, P86, P88, P90, P91, P96, P97, P103, P104, P108, P111</v>
      </c>
      <c r="F3" s="104">
        <f ca="1">IFERROR(__xludf.DUMMYFUNCTION("COUNTA(SPLIT(E3, "",""))
"),16)</f>
        <v>16</v>
      </c>
      <c r="G3" s="106">
        <f ca="1">IFERROR(__xludf.DUMMYFUNCTION("COUNTA(SPLIT(D3, "",""))
"),22)</f>
        <v>22</v>
      </c>
      <c r="H3" s="107"/>
      <c r="I3" s="107"/>
      <c r="J3" s="107"/>
      <c r="K3" s="107"/>
      <c r="L3" s="107"/>
      <c r="M3" s="107"/>
      <c r="N3" s="107"/>
      <c r="O3" s="107"/>
      <c r="P3" s="107"/>
      <c r="Q3" s="107"/>
      <c r="R3" s="107"/>
      <c r="S3" s="107"/>
      <c r="T3" s="107"/>
      <c r="U3" s="107"/>
      <c r="V3" s="107"/>
      <c r="W3" s="107"/>
      <c r="X3" s="107"/>
      <c r="Y3" s="107"/>
    </row>
    <row r="4" spans="1:25" ht="46.5">
      <c r="A4" s="103" t="s">
        <v>1381</v>
      </c>
      <c r="B4" s="104" t="s">
        <v>1382</v>
      </c>
      <c r="C4" s="104" t="s">
        <v>1383</v>
      </c>
      <c r="D4" s="104" t="s">
        <v>1384</v>
      </c>
      <c r="E4" s="104" t="str">
        <f ca="1">IFERROR(__xludf.DUMMYFUNCTION("TEXTJOIN("", "", TRUE, UNIQUE(SPLIT(C4, "", "")))
"),"P15, P16, P40, P42, P53, P54, P55, P66, P75, P94, P96, P100, P111, P123")</f>
        <v>P15, P16, P40, P42, P53, P54, P55, P66, P75, P94, P96, P100, P111, P123</v>
      </c>
      <c r="F4" s="104">
        <f ca="1">IFERROR(__xludf.DUMMYFUNCTION("COUNTA(SPLIT(E4, "",""))
"),14)</f>
        <v>14</v>
      </c>
      <c r="G4" s="106">
        <f ca="1">IFERROR(__xludf.DUMMYFUNCTION("COUNTA(SPLIT(D4, "",""))
"),15)</f>
        <v>15</v>
      </c>
      <c r="H4" s="107"/>
      <c r="I4" s="107"/>
      <c r="J4" s="107"/>
      <c r="K4" s="107"/>
      <c r="L4" s="107"/>
      <c r="M4" s="107"/>
      <c r="N4" s="107"/>
      <c r="O4" s="107"/>
      <c r="P4" s="107"/>
      <c r="Q4" s="107"/>
      <c r="R4" s="107"/>
      <c r="S4" s="107"/>
      <c r="T4" s="107"/>
      <c r="U4" s="107"/>
      <c r="V4" s="107"/>
      <c r="W4" s="107"/>
      <c r="X4" s="107"/>
      <c r="Y4" s="107"/>
    </row>
    <row r="5" spans="1:25" ht="33.75" customHeight="1">
      <c r="A5" s="103" t="s">
        <v>1385</v>
      </c>
      <c r="B5" s="104" t="s">
        <v>1369</v>
      </c>
      <c r="C5" s="105" t="s">
        <v>1386</v>
      </c>
      <c r="D5" s="104" t="s">
        <v>1387</v>
      </c>
      <c r="E5" s="104" t="str">
        <f ca="1">IFERROR(__xludf.DUMMYFUNCTION("TEXTJOIN("", "", TRUE, UNIQUE(SPLIT(C5, "", "")))
"),"P06, P21, P28, P29, P44, P72, P77, P81, P84, P85, P86, P99, P104")</f>
        <v>P06, P21, P28, P29, P44, P72, P77, P81, P84, P85, P86, P99, P104</v>
      </c>
      <c r="F5" s="104">
        <f ca="1">IFERROR(__xludf.DUMMYFUNCTION("COUNTA(SPLIT(E5, "",""))
"),13)</f>
        <v>13</v>
      </c>
      <c r="G5" s="106">
        <f ca="1">IFERROR(__xludf.DUMMYFUNCTION("COUNTA(SPLIT(D5, "",""))
"),16)</f>
        <v>16</v>
      </c>
      <c r="H5" s="107"/>
      <c r="I5" s="107"/>
      <c r="J5" s="107"/>
      <c r="K5" s="107"/>
      <c r="L5" s="107"/>
      <c r="M5" s="107"/>
      <c r="N5" s="107"/>
      <c r="O5" s="107"/>
      <c r="P5" s="107"/>
      <c r="Q5" s="107"/>
      <c r="R5" s="107"/>
      <c r="S5" s="107"/>
      <c r="T5" s="107"/>
      <c r="U5" s="107"/>
      <c r="V5" s="107"/>
      <c r="W5" s="107"/>
      <c r="X5" s="107"/>
      <c r="Y5" s="107"/>
    </row>
    <row r="6" spans="1:25" ht="31">
      <c r="A6" s="103" t="s">
        <v>1388</v>
      </c>
      <c r="B6" s="104" t="s">
        <v>1370</v>
      </c>
      <c r="C6" s="105" t="s">
        <v>1389</v>
      </c>
      <c r="D6" s="104" t="s">
        <v>1390</v>
      </c>
      <c r="E6" s="104" t="str">
        <f ca="1">IFERROR(__xludf.DUMMYFUNCTION("TEXTJOIN("", "", TRUE, UNIQUE(SPLIT(C6, "", "")))
"),"P08, P09, P35, P53, P63, P70, P92, P97, P101, P106")</f>
        <v>P08, P09, P35, P53, P63, P70, P92, P97, P101, P106</v>
      </c>
      <c r="F6" s="104">
        <f ca="1">IFERROR(__xludf.DUMMYFUNCTION("COUNTA(SPLIT(E6, "",""))
"),10)</f>
        <v>10</v>
      </c>
      <c r="G6" s="106">
        <f ca="1">IFERROR(__xludf.DUMMYFUNCTION("COUNTA(SPLIT(D6, "",""))
"),10)</f>
        <v>10</v>
      </c>
      <c r="H6" s="107"/>
      <c r="I6" s="107"/>
      <c r="J6" s="107"/>
      <c r="K6" s="107"/>
      <c r="L6" s="107"/>
      <c r="M6" s="107"/>
      <c r="N6" s="107"/>
      <c r="O6" s="107"/>
      <c r="P6" s="107"/>
      <c r="Q6" s="107"/>
      <c r="R6" s="107"/>
      <c r="S6" s="107"/>
      <c r="T6" s="107"/>
      <c r="U6" s="107"/>
      <c r="V6" s="107"/>
      <c r="W6" s="107"/>
      <c r="X6" s="107"/>
      <c r="Y6" s="107"/>
    </row>
    <row r="7" spans="1:25" ht="46.5">
      <c r="A7" s="103" t="s">
        <v>1391</v>
      </c>
      <c r="B7" s="104" t="s">
        <v>903</v>
      </c>
      <c r="C7" s="104" t="s">
        <v>1392</v>
      </c>
      <c r="D7" s="104" t="s">
        <v>1393</v>
      </c>
      <c r="E7" s="104" t="str">
        <f ca="1">IFERROR(__xludf.DUMMYFUNCTION("TEXTJOIN("","", TRUE, UNIQUE(SPLIT(C7, "","")))
"),"P38, P40, P69, P71, P85, P88, P89, P90, P120")</f>
        <v>P38, P40, P69, P71, P85, P88, P89, P90, P120</v>
      </c>
      <c r="F7" s="104">
        <f ca="1">IFERROR(__xludf.DUMMYFUNCTION("COUNTA(SPLIT(E7, "",""))
"),9)</f>
        <v>9</v>
      </c>
      <c r="G7" s="106">
        <f ca="1">IFERROR(__xludf.DUMMYFUNCTION("COUNTA(SPLIT(D7, "",""))
"),13)</f>
        <v>13</v>
      </c>
      <c r="H7" s="107"/>
      <c r="I7" s="107"/>
      <c r="J7" s="107"/>
      <c r="K7" s="107"/>
      <c r="L7" s="107"/>
      <c r="M7" s="107"/>
      <c r="N7" s="107"/>
      <c r="O7" s="107"/>
      <c r="P7" s="107"/>
      <c r="Q7" s="107"/>
      <c r="R7" s="107"/>
      <c r="S7" s="107"/>
      <c r="T7" s="107"/>
      <c r="U7" s="107"/>
      <c r="V7" s="107"/>
      <c r="W7" s="107"/>
      <c r="X7" s="107"/>
      <c r="Y7" s="107"/>
    </row>
    <row r="8" spans="1:25" ht="31">
      <c r="A8" s="103" t="s">
        <v>1394</v>
      </c>
      <c r="B8" s="104" t="s">
        <v>1371</v>
      </c>
      <c r="C8" s="105" t="s">
        <v>1395</v>
      </c>
      <c r="D8" s="104" t="s">
        <v>1396</v>
      </c>
      <c r="E8" s="104" t="str">
        <f ca="1">IFERROR(__xludf.DUMMYFUNCTION("TEXTJOIN("", "", TRUE, UNIQUE(SPLIT(C8, "", "")))
"),"P25, P42, P63, P68, P82, P92, P110, P114")</f>
        <v>P25, P42, P63, P68, P82, P92, P110, P114</v>
      </c>
      <c r="F8" s="104">
        <f ca="1">IFERROR(__xludf.DUMMYFUNCTION("COUNTA(SPLIT(E8, "",""))
"),8)</f>
        <v>8</v>
      </c>
      <c r="G8" s="106">
        <f ca="1">IFERROR(__xludf.DUMMYFUNCTION("COUNTA(SPLIT(D8, "",""))
"),12)</f>
        <v>12</v>
      </c>
      <c r="H8" s="107"/>
      <c r="I8" s="107"/>
      <c r="J8" s="107"/>
      <c r="K8" s="107"/>
      <c r="L8" s="107"/>
      <c r="M8" s="107"/>
      <c r="N8" s="107"/>
      <c r="O8" s="107"/>
      <c r="P8" s="107"/>
      <c r="Q8" s="107"/>
      <c r="R8" s="107"/>
      <c r="S8" s="107"/>
      <c r="T8" s="107"/>
      <c r="U8" s="107"/>
      <c r="V8" s="107"/>
      <c r="W8" s="107"/>
      <c r="X8" s="107"/>
      <c r="Y8" s="107"/>
    </row>
    <row r="9" spans="1:25" ht="46.5">
      <c r="A9" s="103" t="s">
        <v>1397</v>
      </c>
      <c r="B9" s="104" t="s">
        <v>1398</v>
      </c>
      <c r="C9" s="105" t="s">
        <v>1399</v>
      </c>
      <c r="D9" s="105" t="s">
        <v>1400</v>
      </c>
      <c r="E9" s="104" t="str">
        <f ca="1">IFERROR(__xludf.DUMMYFUNCTION("TEXTJOIN("", "", TRUE, UNIQUE(SPLIT(C9, "", "")))
"),"P24, P47, P49, P83, P89, P93, P102")</f>
        <v>P24, P47, P49, P83, P89, P93, P102</v>
      </c>
      <c r="F9" s="104">
        <f ca="1">IFERROR(__xludf.DUMMYFUNCTION("COUNTA(SPLIT(E9, "",""))
"),7)</f>
        <v>7</v>
      </c>
      <c r="G9" s="106">
        <f ca="1">IFERROR(__xludf.DUMMYFUNCTION("COUNTA(SPLIT(D9, "",""))
"),11)</f>
        <v>11</v>
      </c>
      <c r="H9" s="107"/>
      <c r="I9" s="107"/>
      <c r="J9" s="107"/>
      <c r="K9" s="107"/>
      <c r="L9" s="107"/>
      <c r="M9" s="107"/>
      <c r="N9" s="107"/>
      <c r="O9" s="107"/>
      <c r="P9" s="107"/>
      <c r="Q9" s="107"/>
      <c r="R9" s="107"/>
      <c r="S9" s="107"/>
      <c r="T9" s="107"/>
      <c r="U9" s="107"/>
      <c r="V9" s="107"/>
      <c r="W9" s="107"/>
      <c r="X9" s="107"/>
      <c r="Y9" s="107"/>
    </row>
    <row r="10" spans="1:25" ht="31">
      <c r="A10" s="103" t="s">
        <v>1401</v>
      </c>
      <c r="B10" s="104" t="s">
        <v>1372</v>
      </c>
      <c r="C10" s="104" t="s">
        <v>1402</v>
      </c>
      <c r="D10" s="104" t="s">
        <v>1403</v>
      </c>
      <c r="E10" s="104" t="str">
        <f ca="1">IFERROR(__xludf.DUMMYFUNCTION("TEXTJOIN("", "", TRUE, UNIQUE(SPLIT(C10, "", "")))
"),"P50, P78, P111, P10, P95")</f>
        <v>P50, P78, P111, P10, P95</v>
      </c>
      <c r="F10" s="104">
        <f ca="1">IFERROR(__xludf.DUMMYFUNCTION("COUNTA(SPLIT(E10, "",""))
"),5)</f>
        <v>5</v>
      </c>
      <c r="G10" s="106">
        <f ca="1">IFERROR(__xludf.DUMMYFUNCTION("COUNTA(SPLIT(D10, "",""))
"),6)</f>
        <v>6</v>
      </c>
      <c r="H10" s="107"/>
      <c r="I10" s="107"/>
      <c r="J10" s="107"/>
      <c r="K10" s="107"/>
      <c r="L10" s="107"/>
      <c r="M10" s="107"/>
      <c r="N10" s="107"/>
      <c r="O10" s="107"/>
      <c r="P10" s="107"/>
      <c r="Q10" s="107"/>
      <c r="R10" s="107"/>
      <c r="S10" s="107"/>
      <c r="T10" s="107"/>
      <c r="U10" s="107"/>
      <c r="V10" s="107"/>
      <c r="W10" s="107"/>
      <c r="X10" s="107"/>
      <c r="Y10" s="107"/>
    </row>
    <row r="11" spans="1:25" ht="15.5">
      <c r="A11" s="107"/>
      <c r="B11" s="107"/>
      <c r="C11" s="107"/>
      <c r="D11" s="107"/>
      <c r="E11" s="107"/>
      <c r="F11" s="107"/>
      <c r="G11" s="108"/>
      <c r="H11" s="107"/>
      <c r="I11" s="107"/>
      <c r="J11" s="107"/>
      <c r="K11" s="107"/>
      <c r="L11" s="107"/>
      <c r="M11" s="107"/>
      <c r="N11" s="107"/>
      <c r="O11" s="107"/>
      <c r="P11" s="107"/>
      <c r="Q11" s="107"/>
      <c r="R11" s="107"/>
      <c r="S11" s="107"/>
      <c r="T11" s="107"/>
      <c r="U11" s="107"/>
      <c r="V11" s="107"/>
      <c r="W11" s="107"/>
      <c r="X11" s="107"/>
      <c r="Y11" s="107"/>
    </row>
    <row r="12" spans="1:25" ht="15.5">
      <c r="A12" s="107"/>
      <c r="B12" s="107"/>
      <c r="C12" s="107"/>
      <c r="D12" s="107"/>
      <c r="E12" s="107"/>
      <c r="F12" s="107"/>
      <c r="G12" s="108"/>
      <c r="H12" s="107"/>
      <c r="I12" s="107"/>
      <c r="J12" s="107"/>
      <c r="K12" s="107"/>
      <c r="L12" s="107"/>
      <c r="M12" s="107"/>
      <c r="N12" s="107"/>
      <c r="O12" s="107"/>
      <c r="P12" s="107"/>
      <c r="Q12" s="107"/>
      <c r="R12" s="107"/>
      <c r="S12" s="107"/>
      <c r="T12" s="107"/>
      <c r="U12" s="107"/>
      <c r="V12" s="107"/>
      <c r="W12" s="107"/>
      <c r="X12" s="107"/>
      <c r="Y12" s="107"/>
    </row>
    <row r="13" spans="1:25" ht="15.5">
      <c r="A13" s="107"/>
      <c r="B13" s="107"/>
      <c r="C13" s="107"/>
      <c r="D13" s="107"/>
      <c r="E13" s="107"/>
      <c r="F13" s="107"/>
      <c r="G13" s="108"/>
      <c r="H13" s="107"/>
      <c r="I13" s="107"/>
      <c r="J13" s="107"/>
      <c r="K13" s="107"/>
      <c r="L13" s="107"/>
      <c r="M13" s="107"/>
      <c r="N13" s="107"/>
      <c r="O13" s="107"/>
      <c r="P13" s="107"/>
      <c r="Q13" s="107"/>
      <c r="R13" s="107"/>
      <c r="S13" s="107"/>
      <c r="T13" s="107"/>
      <c r="U13" s="107"/>
      <c r="V13" s="107"/>
      <c r="W13" s="107"/>
      <c r="X13" s="107"/>
      <c r="Y13" s="107"/>
    </row>
    <row r="14" spans="1:25" ht="15.5">
      <c r="A14" s="107"/>
      <c r="B14" s="107"/>
      <c r="C14" s="107"/>
      <c r="D14" s="107"/>
      <c r="E14" s="107"/>
      <c r="F14" s="107"/>
      <c r="G14" s="108"/>
      <c r="H14" s="107"/>
      <c r="I14" s="107"/>
      <c r="J14" s="107"/>
      <c r="K14" s="107"/>
      <c r="L14" s="107"/>
      <c r="M14" s="107"/>
      <c r="N14" s="107"/>
      <c r="O14" s="107"/>
      <c r="P14" s="107"/>
      <c r="Q14" s="107"/>
      <c r="R14" s="107"/>
      <c r="S14" s="107"/>
      <c r="T14" s="107"/>
      <c r="U14" s="107"/>
      <c r="V14" s="107"/>
      <c r="W14" s="107"/>
      <c r="X14" s="107"/>
      <c r="Y14" s="107"/>
    </row>
    <row r="15" spans="1:25" ht="15.5">
      <c r="A15" s="107"/>
      <c r="B15" s="107"/>
      <c r="C15" s="107"/>
      <c r="D15" s="107"/>
      <c r="E15" s="107"/>
      <c r="F15" s="107"/>
      <c r="G15" s="108"/>
      <c r="H15" s="107"/>
      <c r="I15" s="107"/>
      <c r="J15" s="107"/>
      <c r="K15" s="107"/>
      <c r="L15" s="107"/>
      <c r="M15" s="107"/>
      <c r="N15" s="107"/>
      <c r="O15" s="107"/>
      <c r="P15" s="107"/>
      <c r="Q15" s="107"/>
      <c r="R15" s="107"/>
      <c r="S15" s="107"/>
      <c r="T15" s="107"/>
      <c r="U15" s="107"/>
      <c r="V15" s="107"/>
      <c r="W15" s="107"/>
      <c r="X15" s="107"/>
      <c r="Y15" s="107"/>
    </row>
    <row r="16" spans="1:25" ht="15.5">
      <c r="A16" s="107"/>
      <c r="B16" s="107"/>
      <c r="C16" s="107"/>
      <c r="D16" s="107"/>
      <c r="E16" s="107"/>
      <c r="F16" s="107"/>
      <c r="G16" s="108"/>
      <c r="H16" s="107"/>
      <c r="I16" s="107"/>
      <c r="J16" s="107"/>
      <c r="K16" s="107"/>
      <c r="L16" s="107"/>
      <c r="M16" s="107"/>
      <c r="N16" s="107"/>
      <c r="O16" s="107"/>
      <c r="P16" s="107"/>
      <c r="Q16" s="107"/>
      <c r="R16" s="107"/>
      <c r="S16" s="107"/>
      <c r="T16" s="107"/>
      <c r="U16" s="107"/>
      <c r="V16" s="107"/>
      <c r="W16" s="107"/>
      <c r="X16" s="107"/>
      <c r="Y16" s="107"/>
    </row>
    <row r="17" spans="1:25" ht="15.5">
      <c r="A17" s="107"/>
      <c r="B17" s="107"/>
      <c r="C17" s="107"/>
      <c r="D17" s="107"/>
      <c r="E17" s="107"/>
      <c r="F17" s="107"/>
      <c r="G17" s="108"/>
      <c r="H17" s="107"/>
      <c r="I17" s="107"/>
      <c r="J17" s="107"/>
      <c r="K17" s="107"/>
      <c r="L17" s="107"/>
      <c r="M17" s="107"/>
      <c r="N17" s="107"/>
      <c r="O17" s="107"/>
      <c r="P17" s="107"/>
      <c r="Q17" s="107"/>
      <c r="R17" s="107"/>
      <c r="S17" s="107"/>
      <c r="T17" s="107"/>
      <c r="U17" s="107"/>
      <c r="V17" s="107"/>
      <c r="W17" s="107"/>
      <c r="X17" s="107"/>
      <c r="Y17" s="107"/>
    </row>
    <row r="18" spans="1:25" ht="15.5">
      <c r="A18" s="107"/>
      <c r="B18" s="107"/>
      <c r="C18" s="107"/>
      <c r="D18" s="107"/>
      <c r="E18" s="107"/>
      <c r="F18" s="107"/>
      <c r="G18" s="108"/>
      <c r="H18" s="107"/>
      <c r="I18" s="107"/>
      <c r="J18" s="107"/>
      <c r="K18" s="107"/>
      <c r="L18" s="107"/>
      <c r="M18" s="107"/>
      <c r="N18" s="107"/>
      <c r="O18" s="107"/>
      <c r="P18" s="107"/>
      <c r="Q18" s="107"/>
      <c r="R18" s="107"/>
      <c r="S18" s="107"/>
      <c r="T18" s="107"/>
      <c r="U18" s="107"/>
      <c r="V18" s="107"/>
      <c r="W18" s="107"/>
      <c r="X18" s="107"/>
      <c r="Y18" s="107"/>
    </row>
    <row r="19" spans="1:25" ht="15.5">
      <c r="A19" s="107"/>
      <c r="B19" s="107"/>
      <c r="C19" s="107"/>
      <c r="D19" s="107"/>
      <c r="E19" s="107"/>
      <c r="F19" s="107"/>
      <c r="G19" s="108"/>
      <c r="H19" s="107"/>
      <c r="I19" s="107"/>
      <c r="J19" s="107"/>
      <c r="K19" s="107"/>
      <c r="L19" s="107"/>
      <c r="M19" s="107"/>
      <c r="N19" s="107"/>
      <c r="O19" s="107"/>
      <c r="P19" s="107"/>
      <c r="Q19" s="107"/>
      <c r="R19" s="107"/>
      <c r="S19" s="107"/>
      <c r="T19" s="107"/>
      <c r="U19" s="107"/>
      <c r="V19" s="107"/>
      <c r="W19" s="107"/>
      <c r="X19" s="107"/>
      <c r="Y19" s="107"/>
    </row>
    <row r="20" spans="1:25" ht="15.5">
      <c r="A20" s="107"/>
      <c r="B20" s="107"/>
      <c r="C20" s="107"/>
      <c r="D20" s="107"/>
      <c r="E20" s="107"/>
      <c r="F20" s="107"/>
      <c r="G20" s="108"/>
      <c r="H20" s="107"/>
      <c r="I20" s="107"/>
      <c r="J20" s="107"/>
      <c r="K20" s="107"/>
      <c r="L20" s="107"/>
      <c r="M20" s="107"/>
      <c r="N20" s="107"/>
      <c r="O20" s="107"/>
      <c r="P20" s="107"/>
      <c r="Q20" s="107"/>
      <c r="R20" s="107"/>
      <c r="S20" s="107"/>
      <c r="T20" s="107"/>
      <c r="U20" s="107"/>
      <c r="V20" s="107"/>
      <c r="W20" s="107"/>
      <c r="X20" s="107"/>
      <c r="Y20" s="107"/>
    </row>
    <row r="21" spans="1:25" ht="15.5">
      <c r="A21" s="107"/>
      <c r="B21" s="107"/>
      <c r="C21" s="107"/>
      <c r="D21" s="107"/>
      <c r="E21" s="107"/>
      <c r="F21" s="107"/>
      <c r="G21" s="108"/>
      <c r="H21" s="107"/>
      <c r="I21" s="107"/>
      <c r="J21" s="107"/>
      <c r="K21" s="107"/>
      <c r="L21" s="107"/>
      <c r="M21" s="107"/>
      <c r="N21" s="107"/>
      <c r="O21" s="107"/>
      <c r="P21" s="107"/>
      <c r="Q21" s="107"/>
      <c r="R21" s="107"/>
      <c r="S21" s="107"/>
      <c r="T21" s="107"/>
      <c r="U21" s="107"/>
      <c r="V21" s="107"/>
      <c r="W21" s="107"/>
      <c r="X21" s="107"/>
      <c r="Y21" s="107"/>
    </row>
    <row r="22" spans="1:25" ht="15.5">
      <c r="A22" s="107"/>
      <c r="B22" s="107"/>
      <c r="C22" s="107"/>
      <c r="D22" s="107"/>
      <c r="E22" s="107"/>
      <c r="F22" s="107"/>
      <c r="G22" s="108"/>
      <c r="H22" s="107"/>
      <c r="I22" s="107"/>
      <c r="J22" s="107"/>
      <c r="K22" s="107"/>
      <c r="L22" s="107"/>
      <c r="M22" s="107"/>
      <c r="N22" s="107"/>
      <c r="O22" s="107"/>
      <c r="P22" s="107"/>
      <c r="Q22" s="107"/>
      <c r="R22" s="107"/>
      <c r="S22" s="107"/>
      <c r="T22" s="107"/>
      <c r="U22" s="107"/>
      <c r="V22" s="107"/>
      <c r="W22" s="107"/>
      <c r="X22" s="107"/>
      <c r="Y22" s="107"/>
    </row>
    <row r="23" spans="1:25" ht="15.5">
      <c r="A23" s="107"/>
      <c r="B23" s="107"/>
      <c r="C23" s="107"/>
      <c r="D23" s="107"/>
      <c r="E23" s="107"/>
      <c r="F23" s="107"/>
      <c r="G23" s="108"/>
      <c r="H23" s="107"/>
      <c r="I23" s="107"/>
      <c r="J23" s="107"/>
      <c r="K23" s="107"/>
      <c r="L23" s="107"/>
      <c r="M23" s="107"/>
      <c r="N23" s="107"/>
      <c r="O23" s="107"/>
      <c r="P23" s="107"/>
      <c r="Q23" s="107"/>
      <c r="R23" s="107"/>
      <c r="S23" s="107"/>
      <c r="T23" s="107"/>
      <c r="U23" s="107"/>
      <c r="V23" s="107"/>
      <c r="W23" s="107"/>
      <c r="X23" s="107"/>
      <c r="Y23" s="107"/>
    </row>
    <row r="24" spans="1:25" ht="15.5">
      <c r="A24" s="107"/>
      <c r="B24" s="107"/>
      <c r="C24" s="107"/>
      <c r="D24" s="107"/>
      <c r="E24" s="107"/>
      <c r="F24" s="107"/>
      <c r="G24" s="108"/>
      <c r="H24" s="107"/>
      <c r="I24" s="107"/>
      <c r="J24" s="107"/>
      <c r="K24" s="107"/>
      <c r="L24" s="107"/>
      <c r="M24" s="107"/>
      <c r="N24" s="107"/>
      <c r="O24" s="107"/>
      <c r="P24" s="107"/>
      <c r="Q24" s="107"/>
      <c r="R24" s="107"/>
      <c r="S24" s="107"/>
      <c r="T24" s="107"/>
      <c r="U24" s="107"/>
      <c r="V24" s="107"/>
      <c r="W24" s="107"/>
      <c r="X24" s="107"/>
      <c r="Y24" s="107"/>
    </row>
    <row r="25" spans="1:25" ht="15.5">
      <c r="A25" s="107"/>
      <c r="B25" s="107"/>
      <c r="C25" s="107"/>
      <c r="D25" s="107"/>
      <c r="E25" s="107"/>
      <c r="F25" s="107"/>
      <c r="G25" s="108"/>
      <c r="H25" s="107"/>
      <c r="I25" s="107"/>
      <c r="J25" s="107"/>
      <c r="K25" s="107"/>
      <c r="L25" s="107"/>
      <c r="M25" s="107"/>
      <c r="N25" s="107"/>
      <c r="O25" s="107"/>
      <c r="P25" s="107"/>
      <c r="Q25" s="107"/>
      <c r="R25" s="107"/>
      <c r="S25" s="107"/>
      <c r="T25" s="107"/>
      <c r="U25" s="107"/>
      <c r="V25" s="107"/>
      <c r="W25" s="107"/>
      <c r="X25" s="107"/>
      <c r="Y25" s="107"/>
    </row>
    <row r="26" spans="1:25" ht="15.5">
      <c r="A26" s="107"/>
      <c r="B26" s="107"/>
      <c r="C26" s="107"/>
      <c r="D26" s="107"/>
      <c r="E26" s="107"/>
      <c r="F26" s="107"/>
      <c r="G26" s="108"/>
      <c r="H26" s="107"/>
      <c r="I26" s="107"/>
      <c r="J26" s="107"/>
      <c r="K26" s="107"/>
      <c r="L26" s="107"/>
      <c r="M26" s="107"/>
      <c r="N26" s="107"/>
      <c r="O26" s="107"/>
      <c r="P26" s="107"/>
      <c r="Q26" s="107"/>
      <c r="R26" s="107"/>
      <c r="S26" s="107"/>
      <c r="T26" s="107"/>
      <c r="U26" s="107"/>
      <c r="V26" s="107"/>
      <c r="W26" s="107"/>
      <c r="X26" s="107"/>
      <c r="Y26" s="107"/>
    </row>
    <row r="27" spans="1:25" ht="15.5">
      <c r="A27" s="107"/>
      <c r="B27" s="107"/>
      <c r="C27" s="107"/>
      <c r="D27" s="107"/>
      <c r="E27" s="107"/>
      <c r="F27" s="107"/>
      <c r="G27" s="108"/>
      <c r="H27" s="107"/>
      <c r="I27" s="107"/>
      <c r="J27" s="107"/>
      <c r="K27" s="107"/>
      <c r="L27" s="107"/>
      <c r="M27" s="107"/>
      <c r="N27" s="107"/>
      <c r="O27" s="107"/>
      <c r="P27" s="107"/>
      <c r="Q27" s="107"/>
      <c r="R27" s="107"/>
      <c r="S27" s="107"/>
      <c r="T27" s="107"/>
      <c r="U27" s="107"/>
      <c r="V27" s="107"/>
      <c r="W27" s="107"/>
      <c r="X27" s="107"/>
      <c r="Y27" s="107"/>
    </row>
    <row r="28" spans="1:25" ht="15.5">
      <c r="A28" s="107"/>
      <c r="B28" s="107"/>
      <c r="C28" s="107"/>
      <c r="D28" s="107"/>
      <c r="E28" s="107"/>
      <c r="F28" s="107"/>
      <c r="G28" s="108"/>
      <c r="H28" s="107"/>
      <c r="I28" s="107"/>
      <c r="J28" s="107"/>
      <c r="K28" s="107"/>
      <c r="L28" s="107"/>
      <c r="M28" s="107"/>
      <c r="N28" s="107"/>
      <c r="O28" s="107"/>
      <c r="P28" s="107"/>
      <c r="Q28" s="107"/>
      <c r="R28" s="107"/>
      <c r="S28" s="107"/>
      <c r="T28" s="107"/>
      <c r="U28" s="107"/>
      <c r="V28" s="107"/>
      <c r="W28" s="107"/>
      <c r="X28" s="107"/>
      <c r="Y28" s="107"/>
    </row>
    <row r="29" spans="1:25" ht="15.5">
      <c r="A29" s="107"/>
      <c r="B29" s="107"/>
      <c r="C29" s="107"/>
      <c r="D29" s="107"/>
      <c r="E29" s="107"/>
      <c r="F29" s="107"/>
      <c r="G29" s="108"/>
      <c r="H29" s="107"/>
      <c r="I29" s="107"/>
      <c r="J29" s="107"/>
      <c r="K29" s="107"/>
      <c r="L29" s="107"/>
      <c r="M29" s="107"/>
      <c r="N29" s="107"/>
      <c r="O29" s="107"/>
      <c r="P29" s="107"/>
      <c r="Q29" s="107"/>
      <c r="R29" s="107"/>
      <c r="S29" s="107"/>
      <c r="T29" s="107"/>
      <c r="U29" s="107"/>
      <c r="V29" s="107"/>
      <c r="W29" s="107"/>
      <c r="X29" s="107"/>
      <c r="Y29" s="107"/>
    </row>
    <row r="30" spans="1:25" ht="15.5">
      <c r="A30" s="107"/>
      <c r="B30" s="107"/>
      <c r="C30" s="107"/>
      <c r="D30" s="107"/>
      <c r="E30" s="107"/>
      <c r="F30" s="107"/>
      <c r="G30" s="108"/>
      <c r="H30" s="107"/>
      <c r="I30" s="107"/>
      <c r="J30" s="107"/>
      <c r="K30" s="107"/>
      <c r="L30" s="107"/>
      <c r="M30" s="107"/>
      <c r="N30" s="107"/>
      <c r="O30" s="107"/>
      <c r="P30" s="107"/>
      <c r="Q30" s="107"/>
      <c r="R30" s="107"/>
      <c r="S30" s="107"/>
      <c r="T30" s="107"/>
      <c r="U30" s="107"/>
      <c r="V30" s="107"/>
      <c r="W30" s="107"/>
      <c r="X30" s="107"/>
      <c r="Y30" s="107"/>
    </row>
    <row r="31" spans="1:25" ht="15.5">
      <c r="A31" s="107"/>
      <c r="B31" s="107"/>
      <c r="C31" s="107"/>
      <c r="D31" s="107"/>
      <c r="E31" s="107"/>
      <c r="F31" s="107"/>
      <c r="G31" s="108"/>
      <c r="H31" s="107"/>
      <c r="I31" s="107"/>
      <c r="J31" s="107"/>
      <c r="K31" s="107"/>
      <c r="L31" s="107"/>
      <c r="M31" s="107"/>
      <c r="N31" s="107"/>
      <c r="O31" s="107"/>
      <c r="P31" s="107"/>
      <c r="Q31" s="107"/>
      <c r="R31" s="107"/>
      <c r="S31" s="107"/>
      <c r="T31" s="107"/>
      <c r="U31" s="107"/>
      <c r="V31" s="107"/>
      <c r="W31" s="107"/>
      <c r="X31" s="107"/>
      <c r="Y31" s="107"/>
    </row>
    <row r="32" spans="1:25" ht="15.5">
      <c r="A32" s="107"/>
      <c r="B32" s="107"/>
      <c r="C32" s="107"/>
      <c r="D32" s="107"/>
      <c r="E32" s="107"/>
      <c r="F32" s="107"/>
      <c r="G32" s="108"/>
      <c r="H32" s="107"/>
      <c r="I32" s="107"/>
      <c r="J32" s="107"/>
      <c r="K32" s="107"/>
      <c r="L32" s="107"/>
      <c r="M32" s="107"/>
      <c r="N32" s="107"/>
      <c r="O32" s="107"/>
      <c r="P32" s="107"/>
      <c r="Q32" s="107"/>
      <c r="R32" s="107"/>
      <c r="S32" s="107"/>
      <c r="T32" s="107"/>
      <c r="U32" s="107"/>
      <c r="V32" s="107"/>
      <c r="W32" s="107"/>
      <c r="X32" s="107"/>
      <c r="Y32" s="107"/>
    </row>
    <row r="33" spans="1:25" ht="15.5">
      <c r="A33" s="107"/>
      <c r="B33" s="107"/>
      <c r="C33" s="107"/>
      <c r="D33" s="107"/>
      <c r="E33" s="107"/>
      <c r="F33" s="107"/>
      <c r="G33" s="108"/>
      <c r="H33" s="107"/>
      <c r="I33" s="107"/>
      <c r="J33" s="107"/>
      <c r="K33" s="107"/>
      <c r="L33" s="107"/>
      <c r="M33" s="107"/>
      <c r="N33" s="107"/>
      <c r="O33" s="107"/>
      <c r="P33" s="107"/>
      <c r="Q33" s="107"/>
      <c r="R33" s="107"/>
      <c r="S33" s="107"/>
      <c r="T33" s="107"/>
      <c r="U33" s="107"/>
      <c r="V33" s="107"/>
      <c r="W33" s="107"/>
      <c r="X33" s="107"/>
      <c r="Y33" s="107"/>
    </row>
    <row r="34" spans="1:25" ht="15.5">
      <c r="A34" s="107"/>
      <c r="B34" s="107"/>
      <c r="C34" s="107"/>
      <c r="D34" s="107"/>
      <c r="E34" s="107"/>
      <c r="F34" s="107"/>
      <c r="G34" s="108"/>
      <c r="H34" s="107"/>
      <c r="I34" s="107"/>
      <c r="J34" s="107"/>
      <c r="K34" s="107"/>
      <c r="L34" s="107"/>
      <c r="M34" s="107"/>
      <c r="N34" s="107"/>
      <c r="O34" s="107"/>
      <c r="P34" s="107"/>
      <c r="Q34" s="107"/>
      <c r="R34" s="107"/>
      <c r="S34" s="107"/>
      <c r="T34" s="107"/>
      <c r="U34" s="107"/>
      <c r="V34" s="107"/>
      <c r="W34" s="107"/>
      <c r="X34" s="107"/>
      <c r="Y34" s="107"/>
    </row>
    <row r="35" spans="1:25" ht="15.5">
      <c r="A35" s="107"/>
      <c r="B35" s="107"/>
      <c r="C35" s="107"/>
      <c r="D35" s="107"/>
      <c r="E35" s="107"/>
      <c r="F35" s="107"/>
      <c r="G35" s="108"/>
      <c r="H35" s="107"/>
      <c r="I35" s="107"/>
      <c r="J35" s="107"/>
      <c r="K35" s="107"/>
      <c r="L35" s="107"/>
      <c r="M35" s="107"/>
      <c r="N35" s="107"/>
      <c r="O35" s="107"/>
      <c r="P35" s="107"/>
      <c r="Q35" s="107"/>
      <c r="R35" s="107"/>
      <c r="S35" s="107"/>
      <c r="T35" s="107"/>
      <c r="U35" s="107"/>
      <c r="V35" s="107"/>
      <c r="W35" s="107"/>
      <c r="X35" s="107"/>
      <c r="Y35" s="107"/>
    </row>
    <row r="36" spans="1:25" ht="15.5">
      <c r="A36" s="107"/>
      <c r="B36" s="107"/>
      <c r="C36" s="107"/>
      <c r="D36" s="107"/>
      <c r="E36" s="107"/>
      <c r="F36" s="107"/>
      <c r="G36" s="108"/>
      <c r="H36" s="107"/>
      <c r="I36" s="107"/>
      <c r="J36" s="107"/>
      <c r="K36" s="107"/>
      <c r="L36" s="107"/>
      <c r="M36" s="107"/>
      <c r="N36" s="107"/>
      <c r="O36" s="107"/>
      <c r="P36" s="107"/>
      <c r="Q36" s="107"/>
      <c r="R36" s="107"/>
      <c r="S36" s="107"/>
      <c r="T36" s="107"/>
      <c r="U36" s="107"/>
      <c r="V36" s="107"/>
      <c r="W36" s="107"/>
      <c r="X36" s="107"/>
      <c r="Y36" s="107"/>
    </row>
    <row r="37" spans="1:25" ht="15.5">
      <c r="A37" s="107"/>
      <c r="B37" s="107"/>
      <c r="C37" s="107"/>
      <c r="D37" s="107"/>
      <c r="E37" s="107"/>
      <c r="F37" s="107"/>
      <c r="G37" s="108"/>
      <c r="H37" s="107"/>
      <c r="I37" s="107"/>
      <c r="J37" s="107"/>
      <c r="K37" s="107"/>
      <c r="L37" s="107"/>
      <c r="M37" s="107"/>
      <c r="N37" s="107"/>
      <c r="O37" s="107"/>
      <c r="P37" s="107"/>
      <c r="Q37" s="107"/>
      <c r="R37" s="107"/>
      <c r="S37" s="107"/>
      <c r="T37" s="107"/>
      <c r="U37" s="107"/>
      <c r="V37" s="107"/>
      <c r="W37" s="107"/>
      <c r="X37" s="107"/>
      <c r="Y37" s="107"/>
    </row>
    <row r="38" spans="1:25" ht="15.5">
      <c r="A38" s="107"/>
      <c r="B38" s="107"/>
      <c r="C38" s="107"/>
      <c r="D38" s="107"/>
      <c r="E38" s="107"/>
      <c r="F38" s="107"/>
      <c r="G38" s="108"/>
      <c r="H38" s="107"/>
      <c r="I38" s="107"/>
      <c r="J38" s="107"/>
      <c r="K38" s="107"/>
      <c r="L38" s="107"/>
      <c r="M38" s="107"/>
      <c r="N38" s="107"/>
      <c r="O38" s="107"/>
      <c r="P38" s="107"/>
      <c r="Q38" s="107"/>
      <c r="R38" s="107"/>
      <c r="S38" s="107"/>
      <c r="T38" s="107"/>
      <c r="U38" s="107"/>
      <c r="V38" s="107"/>
      <c r="W38" s="107"/>
      <c r="X38" s="107"/>
      <c r="Y38" s="107"/>
    </row>
    <row r="39" spans="1:25" ht="15.5">
      <c r="A39" s="107"/>
      <c r="B39" s="107"/>
      <c r="C39" s="107"/>
      <c r="D39" s="107"/>
      <c r="E39" s="107"/>
      <c r="F39" s="107"/>
      <c r="G39" s="108"/>
      <c r="H39" s="107"/>
      <c r="I39" s="107"/>
      <c r="J39" s="107"/>
      <c r="K39" s="107"/>
      <c r="L39" s="107"/>
      <c r="M39" s="107"/>
      <c r="N39" s="107"/>
      <c r="O39" s="107"/>
      <c r="P39" s="107"/>
      <c r="Q39" s="107"/>
      <c r="R39" s="107"/>
      <c r="S39" s="107"/>
      <c r="T39" s="107"/>
      <c r="U39" s="107"/>
      <c r="V39" s="107"/>
      <c r="W39" s="107"/>
      <c r="X39" s="107"/>
      <c r="Y39" s="107"/>
    </row>
    <row r="40" spans="1:25" ht="15.5">
      <c r="A40" s="107"/>
      <c r="B40" s="107"/>
      <c r="C40" s="107"/>
      <c r="D40" s="107"/>
      <c r="E40" s="107"/>
      <c r="F40" s="107"/>
      <c r="G40" s="108"/>
      <c r="H40" s="107"/>
      <c r="I40" s="107"/>
      <c r="J40" s="107"/>
      <c r="K40" s="107"/>
      <c r="L40" s="107"/>
      <c r="M40" s="107"/>
      <c r="N40" s="107"/>
      <c r="O40" s="107"/>
      <c r="P40" s="107"/>
      <c r="Q40" s="107"/>
      <c r="R40" s="107"/>
      <c r="S40" s="107"/>
      <c r="T40" s="107"/>
      <c r="U40" s="107"/>
      <c r="V40" s="107"/>
      <c r="W40" s="107"/>
      <c r="X40" s="107"/>
      <c r="Y40" s="107"/>
    </row>
    <row r="41" spans="1:25" ht="15.5">
      <c r="A41" s="107"/>
      <c r="B41" s="107"/>
      <c r="C41" s="107"/>
      <c r="D41" s="107"/>
      <c r="E41" s="107"/>
      <c r="F41" s="107"/>
      <c r="G41" s="108"/>
      <c r="H41" s="107"/>
      <c r="I41" s="107"/>
      <c r="J41" s="107"/>
      <c r="K41" s="107"/>
      <c r="L41" s="107"/>
      <c r="M41" s="107"/>
      <c r="N41" s="107"/>
      <c r="O41" s="107"/>
      <c r="P41" s="107"/>
      <c r="Q41" s="107"/>
      <c r="R41" s="107"/>
      <c r="S41" s="107"/>
      <c r="T41" s="107"/>
      <c r="U41" s="107"/>
      <c r="V41" s="107"/>
      <c r="W41" s="107"/>
      <c r="X41" s="107"/>
      <c r="Y41" s="107"/>
    </row>
    <row r="42" spans="1:25" ht="15.5">
      <c r="A42" s="107"/>
      <c r="B42" s="107"/>
      <c r="C42" s="107"/>
      <c r="D42" s="107"/>
      <c r="E42" s="107"/>
      <c r="F42" s="107"/>
      <c r="G42" s="108"/>
      <c r="H42" s="107"/>
      <c r="I42" s="107"/>
      <c r="J42" s="107"/>
      <c r="K42" s="107"/>
      <c r="L42" s="107"/>
      <c r="M42" s="107"/>
      <c r="N42" s="107"/>
      <c r="O42" s="107"/>
      <c r="P42" s="107"/>
      <c r="Q42" s="107"/>
      <c r="R42" s="107"/>
      <c r="S42" s="107"/>
      <c r="T42" s="107"/>
      <c r="U42" s="107"/>
      <c r="V42" s="107"/>
      <c r="W42" s="107"/>
      <c r="X42" s="107"/>
      <c r="Y42" s="107"/>
    </row>
    <row r="43" spans="1:25" ht="15.5">
      <c r="A43" s="107"/>
      <c r="B43" s="107"/>
      <c r="C43" s="107"/>
      <c r="D43" s="107"/>
      <c r="E43" s="107"/>
      <c r="F43" s="107"/>
      <c r="G43" s="108"/>
      <c r="H43" s="107"/>
      <c r="I43" s="107"/>
      <c r="J43" s="107"/>
      <c r="K43" s="107"/>
      <c r="L43" s="107"/>
      <c r="M43" s="107"/>
      <c r="N43" s="107"/>
      <c r="O43" s="107"/>
      <c r="P43" s="107"/>
      <c r="Q43" s="107"/>
      <c r="R43" s="107"/>
      <c r="S43" s="107"/>
      <c r="T43" s="107"/>
      <c r="U43" s="107"/>
      <c r="V43" s="107"/>
      <c r="W43" s="107"/>
      <c r="X43" s="107"/>
      <c r="Y43" s="107"/>
    </row>
    <row r="44" spans="1:25" ht="15.5">
      <c r="A44" s="107"/>
      <c r="B44" s="107"/>
      <c r="C44" s="107"/>
      <c r="D44" s="107"/>
      <c r="E44" s="107"/>
      <c r="F44" s="107"/>
      <c r="G44" s="108"/>
      <c r="H44" s="107"/>
      <c r="I44" s="107"/>
      <c r="J44" s="107"/>
      <c r="K44" s="107"/>
      <c r="L44" s="107"/>
      <c r="M44" s="107"/>
      <c r="N44" s="107"/>
      <c r="O44" s="107"/>
      <c r="P44" s="107"/>
      <c r="Q44" s="107"/>
      <c r="R44" s="107"/>
      <c r="S44" s="107"/>
      <c r="T44" s="107"/>
      <c r="U44" s="107"/>
      <c r="V44" s="107"/>
      <c r="W44" s="107"/>
      <c r="X44" s="107"/>
      <c r="Y44" s="107"/>
    </row>
    <row r="45" spans="1:25" ht="15.5">
      <c r="A45" s="107"/>
      <c r="B45" s="107"/>
      <c r="C45" s="107"/>
      <c r="D45" s="107"/>
      <c r="E45" s="107"/>
      <c r="F45" s="107"/>
      <c r="G45" s="107"/>
      <c r="H45" s="107"/>
      <c r="I45" s="107"/>
      <c r="J45" s="107"/>
      <c r="K45" s="107"/>
      <c r="L45" s="107"/>
      <c r="M45" s="107"/>
      <c r="N45" s="107"/>
      <c r="O45" s="107"/>
      <c r="P45" s="107"/>
      <c r="Q45" s="107"/>
      <c r="R45" s="107"/>
      <c r="S45" s="107"/>
      <c r="T45" s="107"/>
      <c r="U45" s="107"/>
      <c r="V45" s="107"/>
      <c r="W45" s="107"/>
      <c r="X45" s="107"/>
      <c r="Y45" s="107"/>
    </row>
    <row r="46" spans="1:25" ht="15.5">
      <c r="A46" s="107"/>
      <c r="B46" s="107"/>
      <c r="C46" s="107"/>
      <c r="D46" s="107"/>
      <c r="E46" s="107"/>
      <c r="F46" s="107"/>
      <c r="G46" s="107"/>
      <c r="H46" s="107"/>
      <c r="I46" s="107"/>
      <c r="J46" s="107"/>
      <c r="K46" s="107"/>
      <c r="L46" s="107"/>
      <c r="M46" s="107"/>
      <c r="N46" s="107"/>
      <c r="O46" s="107"/>
      <c r="P46" s="107"/>
      <c r="Q46" s="107"/>
      <c r="R46" s="107"/>
      <c r="S46" s="107"/>
      <c r="T46" s="107"/>
      <c r="U46" s="107"/>
      <c r="V46" s="107"/>
      <c r="W46" s="107"/>
      <c r="X46" s="107"/>
      <c r="Y46" s="107"/>
    </row>
    <row r="47" spans="1:25" ht="15.5">
      <c r="A47" s="107"/>
      <c r="B47" s="107"/>
      <c r="C47" s="107"/>
      <c r="D47" s="107"/>
      <c r="E47" s="107"/>
      <c r="F47" s="107"/>
      <c r="G47" s="107"/>
      <c r="H47" s="107"/>
      <c r="I47" s="107"/>
      <c r="J47" s="107"/>
      <c r="K47" s="107"/>
      <c r="L47" s="107"/>
      <c r="M47" s="107"/>
      <c r="N47" s="107"/>
      <c r="O47" s="107"/>
      <c r="P47" s="107"/>
      <c r="Q47" s="107"/>
      <c r="R47" s="107"/>
      <c r="S47" s="107"/>
      <c r="T47" s="107"/>
      <c r="U47" s="107"/>
      <c r="V47" s="107"/>
      <c r="W47" s="107"/>
      <c r="X47" s="107"/>
      <c r="Y47" s="107"/>
    </row>
    <row r="48" spans="1:25" ht="15.5">
      <c r="A48" s="107"/>
      <c r="B48" s="107"/>
      <c r="C48" s="107"/>
      <c r="D48" s="107"/>
      <c r="E48" s="107"/>
      <c r="F48" s="107"/>
      <c r="G48" s="107"/>
      <c r="H48" s="107"/>
      <c r="I48" s="107"/>
      <c r="J48" s="107"/>
      <c r="K48" s="107"/>
      <c r="L48" s="107"/>
      <c r="M48" s="107"/>
      <c r="N48" s="107"/>
      <c r="O48" s="107"/>
      <c r="P48" s="107"/>
      <c r="Q48" s="107"/>
      <c r="R48" s="107"/>
      <c r="S48" s="107"/>
      <c r="T48" s="107"/>
      <c r="U48" s="107"/>
      <c r="V48" s="107"/>
      <c r="W48" s="107"/>
      <c r="X48" s="107"/>
      <c r="Y48" s="107"/>
    </row>
    <row r="49" spans="1:25" ht="15.5">
      <c r="A49" s="107"/>
      <c r="B49" s="107"/>
      <c r="C49" s="107"/>
      <c r="D49" s="107"/>
      <c r="E49" s="107"/>
      <c r="F49" s="107"/>
      <c r="G49" s="107"/>
      <c r="H49" s="107"/>
      <c r="I49" s="107"/>
      <c r="J49" s="107"/>
      <c r="K49" s="107"/>
      <c r="L49" s="107"/>
      <c r="M49" s="107"/>
      <c r="N49" s="107"/>
      <c r="O49" s="107"/>
      <c r="P49" s="107"/>
      <c r="Q49" s="107"/>
      <c r="R49" s="107"/>
      <c r="S49" s="107"/>
      <c r="T49" s="107"/>
      <c r="U49" s="107"/>
      <c r="V49" s="107"/>
      <c r="W49" s="107"/>
      <c r="X49" s="107"/>
      <c r="Y49" s="107"/>
    </row>
    <row r="50" spans="1:25" ht="15.5">
      <c r="A50" s="107"/>
      <c r="B50" s="107"/>
      <c r="C50" s="107"/>
      <c r="D50" s="107"/>
      <c r="E50" s="107"/>
      <c r="F50" s="107"/>
      <c r="G50" s="107"/>
      <c r="H50" s="107"/>
      <c r="I50" s="107"/>
      <c r="J50" s="107"/>
      <c r="K50" s="107"/>
      <c r="L50" s="107"/>
      <c r="M50" s="107"/>
      <c r="N50" s="107"/>
      <c r="O50" s="107"/>
      <c r="P50" s="107"/>
      <c r="Q50" s="107"/>
      <c r="R50" s="107"/>
      <c r="S50" s="107"/>
      <c r="T50" s="107"/>
      <c r="U50" s="107"/>
      <c r="V50" s="107"/>
      <c r="W50" s="107"/>
      <c r="X50" s="107"/>
      <c r="Y50" s="107"/>
    </row>
    <row r="51" spans="1:25" ht="15.5">
      <c r="A51" s="107"/>
      <c r="B51" s="107"/>
      <c r="C51" s="107"/>
      <c r="D51" s="107"/>
      <c r="E51" s="107"/>
      <c r="F51" s="107"/>
      <c r="G51" s="107"/>
      <c r="H51" s="107"/>
      <c r="I51" s="107"/>
      <c r="J51" s="107"/>
      <c r="K51" s="107"/>
      <c r="L51" s="107"/>
      <c r="M51" s="107"/>
      <c r="N51" s="107"/>
      <c r="O51" s="107"/>
      <c r="P51" s="107"/>
      <c r="Q51" s="107"/>
      <c r="R51" s="107"/>
      <c r="S51" s="107"/>
      <c r="T51" s="107"/>
      <c r="U51" s="107"/>
      <c r="V51" s="107"/>
      <c r="W51" s="107"/>
      <c r="X51" s="107"/>
      <c r="Y51" s="107"/>
    </row>
    <row r="52" spans="1:25" ht="15.5">
      <c r="A52" s="107"/>
      <c r="B52" s="107"/>
      <c r="C52" s="107"/>
      <c r="D52" s="107"/>
      <c r="E52" s="107"/>
      <c r="F52" s="107"/>
      <c r="G52" s="107"/>
      <c r="H52" s="107"/>
      <c r="I52" s="107"/>
      <c r="J52" s="107"/>
      <c r="K52" s="107"/>
      <c r="L52" s="107"/>
      <c r="M52" s="107"/>
      <c r="N52" s="107"/>
      <c r="O52" s="107"/>
      <c r="P52" s="107"/>
      <c r="Q52" s="107"/>
      <c r="R52" s="107"/>
      <c r="S52" s="107"/>
      <c r="T52" s="107"/>
      <c r="U52" s="107"/>
      <c r="V52" s="107"/>
      <c r="W52" s="107"/>
      <c r="X52" s="107"/>
      <c r="Y52" s="107"/>
    </row>
    <row r="53" spans="1:25" ht="15.5">
      <c r="A53" s="107"/>
      <c r="B53" s="107"/>
      <c r="C53" s="107"/>
      <c r="D53" s="107"/>
      <c r="E53" s="107"/>
      <c r="F53" s="107"/>
      <c r="G53" s="107"/>
      <c r="H53" s="107"/>
      <c r="I53" s="107"/>
      <c r="J53" s="107"/>
      <c r="K53" s="107"/>
      <c r="L53" s="107"/>
      <c r="M53" s="107"/>
      <c r="N53" s="107"/>
      <c r="O53" s="107"/>
      <c r="P53" s="107"/>
      <c r="Q53" s="107"/>
      <c r="R53" s="107"/>
      <c r="S53" s="107"/>
      <c r="T53" s="107"/>
      <c r="U53" s="107"/>
      <c r="V53" s="107"/>
      <c r="W53" s="107"/>
      <c r="X53" s="107"/>
      <c r="Y53" s="107"/>
    </row>
    <row r="54" spans="1:25" ht="15.5">
      <c r="A54" s="107"/>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row>
    <row r="55" spans="1:25" ht="15.5">
      <c r="A55" s="107"/>
      <c r="B55" s="107"/>
      <c r="C55" s="107"/>
      <c r="D55" s="107"/>
      <c r="E55" s="107"/>
      <c r="F55" s="107"/>
      <c r="G55" s="107"/>
      <c r="H55" s="107"/>
      <c r="I55" s="107"/>
      <c r="J55" s="107"/>
      <c r="K55" s="107"/>
      <c r="L55" s="107"/>
      <c r="M55" s="107"/>
      <c r="N55" s="107"/>
      <c r="O55" s="107"/>
      <c r="P55" s="107"/>
      <c r="Q55" s="107"/>
      <c r="R55" s="107"/>
      <c r="S55" s="107"/>
      <c r="T55" s="107"/>
      <c r="U55" s="107"/>
      <c r="V55" s="107"/>
      <c r="W55" s="107"/>
      <c r="X55" s="107"/>
      <c r="Y55" s="107"/>
    </row>
    <row r="56" spans="1:25" ht="15.5">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row>
    <row r="57" spans="1:25" ht="15.5">
      <c r="A57" s="107"/>
      <c r="B57" s="107"/>
      <c r="C57" s="107"/>
      <c r="D57" s="107"/>
      <c r="E57" s="107"/>
      <c r="F57" s="107"/>
      <c r="G57" s="107"/>
      <c r="H57" s="107"/>
      <c r="I57" s="107"/>
      <c r="J57" s="107"/>
      <c r="K57" s="107"/>
      <c r="L57" s="107"/>
      <c r="M57" s="107"/>
      <c r="N57" s="107"/>
      <c r="O57" s="107"/>
      <c r="P57" s="107"/>
      <c r="Q57" s="107"/>
      <c r="R57" s="107"/>
      <c r="S57" s="107"/>
      <c r="T57" s="107"/>
      <c r="U57" s="107"/>
      <c r="V57" s="107"/>
      <c r="W57" s="107"/>
      <c r="X57" s="107"/>
      <c r="Y57" s="107"/>
    </row>
    <row r="58" spans="1:25" ht="15.5">
      <c r="A58" s="107"/>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row>
    <row r="59" spans="1:25" ht="15.5">
      <c r="A59" s="107"/>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row>
    <row r="60" spans="1:25" ht="15.5">
      <c r="A60" s="107"/>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row>
    <row r="61" spans="1:25" ht="15.5">
      <c r="A61" s="107"/>
      <c r="B61" s="107"/>
      <c r="C61" s="107"/>
      <c r="D61" s="107"/>
      <c r="E61" s="107"/>
      <c r="F61" s="107"/>
      <c r="G61" s="107"/>
      <c r="H61" s="107"/>
      <c r="I61" s="107"/>
      <c r="J61" s="107"/>
      <c r="K61" s="107"/>
      <c r="L61" s="107"/>
      <c r="M61" s="107"/>
      <c r="N61" s="107"/>
      <c r="O61" s="107"/>
      <c r="P61" s="107"/>
      <c r="Q61" s="107"/>
      <c r="R61" s="107"/>
      <c r="S61" s="107"/>
      <c r="T61" s="107"/>
      <c r="U61" s="107"/>
      <c r="V61" s="107"/>
      <c r="W61" s="107"/>
      <c r="X61" s="107"/>
      <c r="Y61" s="107"/>
    </row>
    <row r="62" spans="1:25" ht="15.5">
      <c r="A62" s="107"/>
      <c r="B62" s="107"/>
      <c r="C62" s="107"/>
      <c r="D62" s="107"/>
      <c r="E62" s="107"/>
      <c r="F62" s="107"/>
      <c r="G62" s="107"/>
      <c r="H62" s="107"/>
      <c r="I62" s="107"/>
      <c r="J62" s="107"/>
      <c r="K62" s="107"/>
      <c r="L62" s="107"/>
      <c r="M62" s="107"/>
      <c r="N62" s="107"/>
      <c r="O62" s="107"/>
      <c r="P62" s="107"/>
      <c r="Q62" s="107"/>
      <c r="R62" s="107"/>
      <c r="S62" s="107"/>
      <c r="T62" s="107"/>
      <c r="U62" s="107"/>
      <c r="V62" s="107"/>
      <c r="W62" s="107"/>
      <c r="X62" s="107"/>
      <c r="Y62" s="107"/>
    </row>
    <row r="63" spans="1:25" ht="15.5">
      <c r="A63" s="107"/>
      <c r="B63" s="107"/>
      <c r="C63" s="107"/>
      <c r="D63" s="107"/>
      <c r="E63" s="107"/>
      <c r="F63" s="107"/>
      <c r="G63" s="107"/>
      <c r="H63" s="107"/>
      <c r="I63" s="107"/>
      <c r="J63" s="107"/>
      <c r="K63" s="107"/>
      <c r="L63" s="107"/>
      <c r="M63" s="107"/>
      <c r="N63" s="107"/>
      <c r="O63" s="107"/>
      <c r="P63" s="107"/>
      <c r="Q63" s="107"/>
      <c r="R63" s="107"/>
      <c r="S63" s="107"/>
      <c r="T63" s="107"/>
      <c r="U63" s="107"/>
      <c r="V63" s="107"/>
      <c r="W63" s="107"/>
      <c r="X63" s="107"/>
      <c r="Y63" s="107"/>
    </row>
    <row r="64" spans="1:25" ht="15.5">
      <c r="A64" s="107"/>
      <c r="B64" s="107"/>
      <c r="C64" s="107"/>
      <c r="D64" s="107"/>
      <c r="E64" s="107"/>
      <c r="F64" s="107"/>
      <c r="G64" s="107"/>
      <c r="H64" s="107"/>
      <c r="I64" s="107"/>
      <c r="J64" s="107"/>
      <c r="K64" s="107"/>
      <c r="L64" s="107"/>
      <c r="M64" s="107"/>
      <c r="N64" s="107"/>
      <c r="O64" s="107"/>
      <c r="P64" s="107"/>
      <c r="Q64" s="107"/>
      <c r="R64" s="107"/>
      <c r="S64" s="107"/>
      <c r="T64" s="107"/>
      <c r="U64" s="107"/>
      <c r="V64" s="107"/>
      <c r="W64" s="107"/>
      <c r="X64" s="107"/>
      <c r="Y64" s="107"/>
    </row>
    <row r="65" spans="1:25" ht="15.5">
      <c r="A65" s="107"/>
      <c r="B65" s="107"/>
      <c r="C65" s="107"/>
      <c r="D65" s="107"/>
      <c r="E65" s="107"/>
      <c r="F65" s="107"/>
      <c r="G65" s="107"/>
      <c r="H65" s="107"/>
      <c r="I65" s="107"/>
      <c r="J65" s="107"/>
      <c r="K65" s="107"/>
      <c r="L65" s="107"/>
      <c r="M65" s="107"/>
      <c r="N65" s="107"/>
      <c r="O65" s="107"/>
      <c r="P65" s="107"/>
      <c r="Q65" s="107"/>
      <c r="R65" s="107"/>
      <c r="S65" s="107"/>
      <c r="T65" s="107"/>
      <c r="U65" s="107"/>
      <c r="V65" s="107"/>
      <c r="W65" s="107"/>
      <c r="X65" s="107"/>
      <c r="Y65" s="107"/>
    </row>
    <row r="66" spans="1:25" ht="15.5">
      <c r="A66" s="107"/>
      <c r="B66" s="107"/>
      <c r="C66" s="107"/>
      <c r="D66" s="107"/>
      <c r="E66" s="107"/>
      <c r="F66" s="107"/>
      <c r="G66" s="107"/>
      <c r="H66" s="107"/>
      <c r="I66" s="107"/>
      <c r="J66" s="107"/>
      <c r="K66" s="107"/>
      <c r="L66" s="107"/>
      <c r="M66" s="107"/>
      <c r="N66" s="107"/>
      <c r="O66" s="107"/>
      <c r="P66" s="107"/>
      <c r="Q66" s="107"/>
      <c r="R66" s="107"/>
      <c r="S66" s="107"/>
      <c r="T66" s="107"/>
      <c r="U66" s="107"/>
      <c r="V66" s="107"/>
      <c r="W66" s="107"/>
      <c r="X66" s="107"/>
      <c r="Y66" s="107"/>
    </row>
    <row r="67" spans="1:25" ht="15.5">
      <c r="A67" s="107"/>
      <c r="B67" s="107"/>
      <c r="C67" s="107"/>
      <c r="D67" s="107"/>
      <c r="E67" s="107"/>
      <c r="F67" s="107"/>
      <c r="G67" s="107"/>
      <c r="H67" s="107"/>
      <c r="I67" s="107"/>
      <c r="J67" s="107"/>
      <c r="K67" s="107"/>
      <c r="L67" s="107"/>
      <c r="M67" s="107"/>
      <c r="N67" s="107"/>
      <c r="O67" s="107"/>
      <c r="P67" s="107"/>
      <c r="Q67" s="107"/>
      <c r="R67" s="107"/>
      <c r="S67" s="107"/>
      <c r="T67" s="107"/>
      <c r="U67" s="107"/>
      <c r="V67" s="107"/>
      <c r="W67" s="107"/>
      <c r="X67" s="107"/>
      <c r="Y67" s="107"/>
    </row>
    <row r="68" spans="1:25" ht="15.5">
      <c r="A68" s="107"/>
      <c r="B68" s="107"/>
      <c r="C68" s="107"/>
      <c r="D68" s="107"/>
      <c r="E68" s="107"/>
      <c r="F68" s="107"/>
      <c r="G68" s="107"/>
      <c r="H68" s="107"/>
      <c r="I68" s="107"/>
      <c r="J68" s="107"/>
      <c r="K68" s="107"/>
      <c r="L68" s="107"/>
      <c r="M68" s="107"/>
      <c r="N68" s="107"/>
      <c r="O68" s="107"/>
      <c r="P68" s="107"/>
      <c r="Q68" s="107"/>
      <c r="R68" s="107"/>
      <c r="S68" s="107"/>
      <c r="T68" s="107"/>
      <c r="U68" s="107"/>
      <c r="V68" s="107"/>
      <c r="W68" s="107"/>
      <c r="X68" s="107"/>
      <c r="Y68" s="107"/>
    </row>
    <row r="69" spans="1:25" ht="15.5">
      <c r="A69" s="107"/>
      <c r="B69" s="107"/>
      <c r="C69" s="107"/>
      <c r="D69" s="107"/>
      <c r="E69" s="107"/>
      <c r="F69" s="107"/>
      <c r="G69" s="107"/>
      <c r="H69" s="107"/>
      <c r="I69" s="107"/>
      <c r="J69" s="107"/>
      <c r="K69" s="107"/>
      <c r="L69" s="107"/>
      <c r="M69" s="107"/>
      <c r="N69" s="107"/>
      <c r="O69" s="107"/>
      <c r="P69" s="107"/>
      <c r="Q69" s="107"/>
      <c r="R69" s="107"/>
      <c r="S69" s="107"/>
      <c r="T69" s="107"/>
      <c r="U69" s="107"/>
      <c r="V69" s="107"/>
      <c r="W69" s="107"/>
      <c r="X69" s="107"/>
      <c r="Y69" s="107"/>
    </row>
    <row r="70" spans="1:25" ht="15.5">
      <c r="A70" s="107"/>
      <c r="B70" s="107"/>
      <c r="C70" s="107"/>
      <c r="D70" s="107"/>
      <c r="E70" s="107"/>
      <c r="F70" s="107"/>
      <c r="G70" s="107"/>
      <c r="H70" s="107"/>
      <c r="I70" s="107"/>
      <c r="J70" s="107"/>
      <c r="K70" s="107"/>
      <c r="L70" s="107"/>
      <c r="M70" s="107"/>
      <c r="N70" s="107"/>
      <c r="O70" s="107"/>
      <c r="P70" s="107"/>
      <c r="Q70" s="107"/>
      <c r="R70" s="107"/>
      <c r="S70" s="107"/>
      <c r="T70" s="107"/>
      <c r="U70" s="107"/>
      <c r="V70" s="107"/>
      <c r="W70" s="107"/>
      <c r="X70" s="107"/>
      <c r="Y70" s="107"/>
    </row>
    <row r="71" spans="1:25" ht="15.5">
      <c r="A71" s="107"/>
      <c r="B71" s="107"/>
      <c r="C71" s="107"/>
      <c r="D71" s="107"/>
      <c r="E71" s="107"/>
      <c r="F71" s="107"/>
      <c r="G71" s="107"/>
      <c r="H71" s="107"/>
      <c r="I71" s="107"/>
      <c r="J71" s="107"/>
      <c r="K71" s="107"/>
      <c r="L71" s="107"/>
      <c r="M71" s="107"/>
      <c r="N71" s="107"/>
      <c r="O71" s="107"/>
      <c r="P71" s="107"/>
      <c r="Q71" s="107"/>
      <c r="R71" s="107"/>
      <c r="S71" s="107"/>
      <c r="T71" s="107"/>
      <c r="U71" s="107"/>
      <c r="V71" s="107"/>
      <c r="W71" s="107"/>
      <c r="X71" s="107"/>
      <c r="Y71" s="107"/>
    </row>
    <row r="72" spans="1:25" ht="15.5">
      <c r="A72" s="107"/>
      <c r="B72" s="107"/>
      <c r="C72" s="107"/>
      <c r="D72" s="107"/>
      <c r="E72" s="107"/>
      <c r="F72" s="107"/>
      <c r="G72" s="107"/>
      <c r="H72" s="107"/>
      <c r="I72" s="107"/>
      <c r="J72" s="107"/>
      <c r="K72" s="107"/>
      <c r="L72" s="107"/>
      <c r="M72" s="107"/>
      <c r="N72" s="107"/>
      <c r="O72" s="107"/>
      <c r="P72" s="107"/>
      <c r="Q72" s="107"/>
      <c r="R72" s="107"/>
      <c r="S72" s="107"/>
      <c r="T72" s="107"/>
      <c r="U72" s="107"/>
      <c r="V72" s="107"/>
      <c r="W72" s="107"/>
      <c r="X72" s="107"/>
      <c r="Y72" s="107"/>
    </row>
    <row r="73" spans="1:25" ht="15.5">
      <c r="A73" s="107"/>
      <c r="B73" s="107"/>
      <c r="C73" s="107"/>
      <c r="D73" s="107"/>
      <c r="E73" s="107"/>
      <c r="F73" s="107"/>
      <c r="G73" s="107"/>
      <c r="H73" s="107"/>
      <c r="I73" s="107"/>
      <c r="J73" s="107"/>
      <c r="K73" s="107"/>
      <c r="L73" s="107"/>
      <c r="M73" s="107"/>
      <c r="N73" s="107"/>
      <c r="O73" s="107"/>
      <c r="P73" s="107"/>
      <c r="Q73" s="107"/>
      <c r="R73" s="107"/>
      <c r="S73" s="107"/>
      <c r="T73" s="107"/>
      <c r="U73" s="107"/>
      <c r="V73" s="107"/>
      <c r="W73" s="107"/>
      <c r="X73" s="107"/>
      <c r="Y73" s="107"/>
    </row>
    <row r="74" spans="1:25" ht="15.5">
      <c r="A74" s="107"/>
      <c r="B74" s="107"/>
      <c r="C74" s="107"/>
      <c r="D74" s="107"/>
      <c r="E74" s="107"/>
      <c r="F74" s="107"/>
      <c r="G74" s="107"/>
      <c r="H74" s="107"/>
      <c r="I74" s="107"/>
      <c r="J74" s="107"/>
      <c r="K74" s="107"/>
      <c r="L74" s="107"/>
      <c r="M74" s="107"/>
      <c r="N74" s="107"/>
      <c r="O74" s="107"/>
      <c r="P74" s="107"/>
      <c r="Q74" s="107"/>
      <c r="R74" s="107"/>
      <c r="S74" s="107"/>
      <c r="T74" s="107"/>
      <c r="U74" s="107"/>
      <c r="V74" s="107"/>
      <c r="W74" s="107"/>
      <c r="X74" s="107"/>
      <c r="Y74" s="107"/>
    </row>
    <row r="75" spans="1:25" ht="15.5">
      <c r="A75" s="107"/>
      <c r="B75" s="107"/>
      <c r="C75" s="107"/>
      <c r="D75" s="107"/>
      <c r="E75" s="107"/>
      <c r="F75" s="107"/>
      <c r="G75" s="107"/>
      <c r="H75" s="107"/>
      <c r="I75" s="107"/>
      <c r="J75" s="107"/>
      <c r="K75" s="107"/>
      <c r="L75" s="107"/>
      <c r="M75" s="107"/>
      <c r="N75" s="107"/>
      <c r="O75" s="107"/>
      <c r="P75" s="107"/>
      <c r="Q75" s="107"/>
      <c r="R75" s="107"/>
      <c r="S75" s="107"/>
      <c r="T75" s="107"/>
      <c r="U75" s="107"/>
      <c r="V75" s="107"/>
      <c r="W75" s="107"/>
      <c r="X75" s="107"/>
      <c r="Y75" s="107"/>
    </row>
    <row r="76" spans="1:25" ht="15.5">
      <c r="A76" s="107"/>
      <c r="B76" s="107"/>
      <c r="C76" s="107"/>
      <c r="D76" s="107"/>
      <c r="E76" s="107"/>
      <c r="F76" s="107"/>
      <c r="G76" s="107"/>
      <c r="H76" s="107"/>
      <c r="I76" s="107"/>
      <c r="J76" s="107"/>
      <c r="K76" s="107"/>
      <c r="L76" s="107"/>
      <c r="M76" s="107"/>
      <c r="N76" s="107"/>
      <c r="O76" s="107"/>
      <c r="P76" s="107"/>
      <c r="Q76" s="107"/>
      <c r="R76" s="107"/>
      <c r="S76" s="107"/>
      <c r="T76" s="107"/>
      <c r="U76" s="107"/>
      <c r="V76" s="107"/>
      <c r="W76" s="107"/>
      <c r="X76" s="107"/>
      <c r="Y76" s="107"/>
    </row>
    <row r="77" spans="1:25" ht="15.5">
      <c r="A77" s="107"/>
      <c r="B77" s="107"/>
      <c r="C77" s="107"/>
      <c r="D77" s="107"/>
      <c r="E77" s="107"/>
      <c r="F77" s="107"/>
      <c r="G77" s="107"/>
      <c r="H77" s="107"/>
      <c r="I77" s="107"/>
      <c r="J77" s="107"/>
      <c r="K77" s="107"/>
      <c r="L77" s="107"/>
      <c r="M77" s="107"/>
      <c r="N77" s="107"/>
      <c r="O77" s="107"/>
      <c r="P77" s="107"/>
      <c r="Q77" s="107"/>
      <c r="R77" s="107"/>
      <c r="S77" s="107"/>
      <c r="T77" s="107"/>
      <c r="U77" s="107"/>
      <c r="V77" s="107"/>
      <c r="W77" s="107"/>
      <c r="X77" s="107"/>
      <c r="Y77" s="107"/>
    </row>
    <row r="78" spans="1:25" ht="15.5">
      <c r="A78" s="107"/>
      <c r="B78" s="107"/>
      <c r="C78" s="107"/>
      <c r="D78" s="107"/>
      <c r="E78" s="107"/>
      <c r="F78" s="107"/>
      <c r="G78" s="107"/>
      <c r="H78" s="107"/>
      <c r="I78" s="107"/>
      <c r="J78" s="107"/>
      <c r="K78" s="107"/>
      <c r="L78" s="107"/>
      <c r="M78" s="107"/>
      <c r="N78" s="107"/>
      <c r="O78" s="107"/>
      <c r="P78" s="107"/>
      <c r="Q78" s="107"/>
      <c r="R78" s="107"/>
      <c r="S78" s="107"/>
      <c r="T78" s="107"/>
      <c r="U78" s="107"/>
      <c r="V78" s="107"/>
      <c r="W78" s="107"/>
      <c r="X78" s="107"/>
      <c r="Y78" s="107"/>
    </row>
    <row r="79" spans="1:25" ht="15.5">
      <c r="A79" s="107"/>
      <c r="B79" s="107"/>
      <c r="C79" s="107"/>
      <c r="D79" s="107"/>
      <c r="E79" s="107"/>
      <c r="F79" s="107"/>
      <c r="G79" s="107"/>
      <c r="H79" s="107"/>
      <c r="I79" s="107"/>
      <c r="J79" s="107"/>
      <c r="K79" s="107"/>
      <c r="L79" s="107"/>
      <c r="M79" s="107"/>
      <c r="N79" s="107"/>
      <c r="O79" s="107"/>
      <c r="P79" s="107"/>
      <c r="Q79" s="107"/>
      <c r="R79" s="107"/>
      <c r="S79" s="107"/>
      <c r="T79" s="107"/>
      <c r="U79" s="107"/>
      <c r="V79" s="107"/>
      <c r="W79" s="107"/>
      <c r="X79" s="107"/>
      <c r="Y79" s="107"/>
    </row>
    <row r="80" spans="1:25" ht="15.5">
      <c r="A80" s="107"/>
      <c r="B80" s="107"/>
      <c r="C80" s="107"/>
      <c r="D80" s="107"/>
      <c r="E80" s="107"/>
      <c r="F80" s="107"/>
      <c r="G80" s="107"/>
      <c r="H80" s="107"/>
      <c r="I80" s="107"/>
      <c r="J80" s="107"/>
      <c r="K80" s="107"/>
      <c r="L80" s="107"/>
      <c r="M80" s="107"/>
      <c r="N80" s="107"/>
      <c r="O80" s="107"/>
      <c r="P80" s="107"/>
      <c r="Q80" s="107"/>
      <c r="R80" s="107"/>
      <c r="S80" s="107"/>
      <c r="T80" s="107"/>
      <c r="U80" s="107"/>
      <c r="V80" s="107"/>
      <c r="W80" s="107"/>
      <c r="X80" s="107"/>
      <c r="Y80" s="107"/>
    </row>
    <row r="81" spans="1:25" ht="15.5">
      <c r="A81" s="107"/>
      <c r="B81" s="107"/>
      <c r="C81" s="107"/>
      <c r="D81" s="107"/>
      <c r="E81" s="107"/>
      <c r="F81" s="107"/>
      <c r="G81" s="107"/>
      <c r="H81" s="107"/>
      <c r="I81" s="107"/>
      <c r="J81" s="107"/>
      <c r="K81" s="107"/>
      <c r="L81" s="107"/>
      <c r="M81" s="107"/>
      <c r="N81" s="107"/>
      <c r="O81" s="107"/>
      <c r="P81" s="107"/>
      <c r="Q81" s="107"/>
      <c r="R81" s="107"/>
      <c r="S81" s="107"/>
      <c r="T81" s="107"/>
      <c r="U81" s="107"/>
      <c r="V81" s="107"/>
      <c r="W81" s="107"/>
      <c r="X81" s="107"/>
      <c r="Y81" s="107"/>
    </row>
    <row r="82" spans="1:25" ht="15.5">
      <c r="A82" s="107"/>
      <c r="B82" s="107"/>
      <c r="C82" s="107"/>
      <c r="D82" s="107"/>
      <c r="E82" s="107"/>
      <c r="F82" s="107"/>
      <c r="G82" s="107"/>
      <c r="H82" s="107"/>
      <c r="I82" s="107"/>
      <c r="J82" s="107"/>
      <c r="K82" s="107"/>
      <c r="L82" s="107"/>
      <c r="M82" s="107"/>
      <c r="N82" s="107"/>
      <c r="O82" s="107"/>
      <c r="P82" s="107"/>
      <c r="Q82" s="107"/>
      <c r="R82" s="107"/>
      <c r="S82" s="107"/>
      <c r="T82" s="107"/>
      <c r="U82" s="107"/>
      <c r="V82" s="107"/>
      <c r="W82" s="107"/>
      <c r="X82" s="107"/>
      <c r="Y82" s="107"/>
    </row>
    <row r="83" spans="1:25" ht="15.5">
      <c r="A83" s="107"/>
      <c r="B83" s="107"/>
      <c r="C83" s="107"/>
      <c r="D83" s="107"/>
      <c r="E83" s="107"/>
      <c r="F83" s="107"/>
      <c r="G83" s="107"/>
      <c r="H83" s="107"/>
      <c r="I83" s="107"/>
      <c r="J83" s="107"/>
      <c r="K83" s="107"/>
      <c r="L83" s="107"/>
      <c r="M83" s="107"/>
      <c r="N83" s="107"/>
      <c r="O83" s="107"/>
      <c r="P83" s="107"/>
      <c r="Q83" s="107"/>
      <c r="R83" s="107"/>
      <c r="S83" s="107"/>
      <c r="T83" s="107"/>
      <c r="U83" s="107"/>
      <c r="V83" s="107"/>
      <c r="W83" s="107"/>
      <c r="X83" s="107"/>
      <c r="Y83" s="107"/>
    </row>
    <row r="84" spans="1:25" ht="15.5">
      <c r="A84" s="107"/>
      <c r="B84" s="107"/>
      <c r="C84" s="107"/>
      <c r="D84" s="107"/>
      <c r="E84" s="107"/>
      <c r="F84" s="107"/>
      <c r="G84" s="107"/>
      <c r="H84" s="107"/>
      <c r="I84" s="107"/>
      <c r="J84" s="107"/>
      <c r="K84" s="107"/>
      <c r="L84" s="107"/>
      <c r="M84" s="107"/>
      <c r="N84" s="107"/>
      <c r="O84" s="107"/>
      <c r="P84" s="107"/>
      <c r="Q84" s="107"/>
      <c r="R84" s="107"/>
      <c r="S84" s="107"/>
      <c r="T84" s="107"/>
      <c r="U84" s="107"/>
      <c r="V84" s="107"/>
      <c r="W84" s="107"/>
      <c r="X84" s="107"/>
      <c r="Y84" s="107"/>
    </row>
    <row r="85" spans="1:25" ht="15.5">
      <c r="A85" s="107"/>
      <c r="B85" s="107"/>
      <c r="C85" s="107"/>
      <c r="D85" s="107"/>
      <c r="E85" s="107"/>
      <c r="F85" s="107"/>
      <c r="G85" s="107"/>
      <c r="H85" s="107"/>
      <c r="I85" s="107"/>
      <c r="J85" s="107"/>
      <c r="K85" s="107"/>
      <c r="L85" s="107"/>
      <c r="M85" s="107"/>
      <c r="N85" s="107"/>
      <c r="O85" s="107"/>
      <c r="P85" s="107"/>
      <c r="Q85" s="107"/>
      <c r="R85" s="107"/>
      <c r="S85" s="107"/>
      <c r="T85" s="107"/>
      <c r="U85" s="107"/>
      <c r="V85" s="107"/>
      <c r="W85" s="107"/>
      <c r="X85" s="107"/>
      <c r="Y85" s="107"/>
    </row>
    <row r="86" spans="1:25" ht="15.5">
      <c r="A86" s="107"/>
      <c r="B86" s="107"/>
      <c r="C86" s="107"/>
      <c r="D86" s="107"/>
      <c r="E86" s="107"/>
      <c r="F86" s="107"/>
      <c r="G86" s="107"/>
      <c r="H86" s="107"/>
      <c r="I86" s="107"/>
      <c r="J86" s="107"/>
      <c r="K86" s="107"/>
      <c r="L86" s="107"/>
      <c r="M86" s="107"/>
      <c r="N86" s="107"/>
      <c r="O86" s="107"/>
      <c r="P86" s="107"/>
      <c r="Q86" s="107"/>
      <c r="R86" s="107"/>
      <c r="S86" s="107"/>
      <c r="T86" s="107"/>
      <c r="U86" s="107"/>
      <c r="V86" s="107"/>
      <c r="W86" s="107"/>
      <c r="X86" s="107"/>
      <c r="Y86" s="107"/>
    </row>
    <row r="87" spans="1:25" ht="15.5">
      <c r="A87" s="107"/>
      <c r="B87" s="107"/>
      <c r="C87" s="107"/>
      <c r="D87" s="107"/>
      <c r="E87" s="107"/>
      <c r="F87" s="107"/>
      <c r="G87" s="107"/>
      <c r="H87" s="107"/>
      <c r="I87" s="107"/>
      <c r="J87" s="107"/>
      <c r="K87" s="107"/>
      <c r="L87" s="107"/>
      <c r="M87" s="107"/>
      <c r="N87" s="107"/>
      <c r="O87" s="107"/>
      <c r="P87" s="107"/>
      <c r="Q87" s="107"/>
      <c r="R87" s="107"/>
      <c r="S87" s="107"/>
      <c r="T87" s="107"/>
      <c r="U87" s="107"/>
      <c r="V87" s="107"/>
      <c r="W87" s="107"/>
      <c r="X87" s="107"/>
      <c r="Y87" s="107"/>
    </row>
    <row r="88" spans="1:25" ht="15.5">
      <c r="A88" s="107"/>
      <c r="B88" s="107"/>
      <c r="C88" s="107"/>
      <c r="D88" s="107"/>
      <c r="E88" s="107"/>
      <c r="F88" s="107"/>
      <c r="G88" s="107"/>
      <c r="H88" s="107"/>
      <c r="I88" s="107"/>
      <c r="J88" s="107"/>
      <c r="K88" s="107"/>
      <c r="L88" s="107"/>
      <c r="M88" s="107"/>
      <c r="N88" s="107"/>
      <c r="O88" s="107"/>
      <c r="P88" s="107"/>
      <c r="Q88" s="107"/>
      <c r="R88" s="107"/>
      <c r="S88" s="107"/>
      <c r="T88" s="107"/>
      <c r="U88" s="107"/>
      <c r="V88" s="107"/>
      <c r="W88" s="107"/>
      <c r="X88" s="107"/>
      <c r="Y88" s="107"/>
    </row>
    <row r="89" spans="1:25" ht="15.5">
      <c r="A89" s="107"/>
      <c r="B89" s="107"/>
      <c r="C89" s="107"/>
      <c r="D89" s="107"/>
      <c r="E89" s="107"/>
      <c r="F89" s="107"/>
      <c r="G89" s="107"/>
      <c r="H89" s="107"/>
      <c r="I89" s="107"/>
      <c r="J89" s="107"/>
      <c r="K89" s="107"/>
      <c r="L89" s="107"/>
      <c r="M89" s="107"/>
      <c r="N89" s="107"/>
      <c r="O89" s="107"/>
      <c r="P89" s="107"/>
      <c r="Q89" s="107"/>
      <c r="R89" s="107"/>
      <c r="S89" s="107"/>
      <c r="T89" s="107"/>
      <c r="U89" s="107"/>
      <c r="V89" s="107"/>
      <c r="W89" s="107"/>
      <c r="X89" s="107"/>
      <c r="Y89" s="107"/>
    </row>
    <row r="90" spans="1:25" ht="15.5">
      <c r="A90" s="107"/>
      <c r="B90" s="107"/>
      <c r="C90" s="107"/>
      <c r="D90" s="107"/>
      <c r="E90" s="107"/>
      <c r="F90" s="107"/>
      <c r="G90" s="107"/>
      <c r="H90" s="107"/>
      <c r="I90" s="107"/>
      <c r="J90" s="107"/>
      <c r="K90" s="107"/>
      <c r="L90" s="107"/>
      <c r="M90" s="107"/>
      <c r="N90" s="107"/>
      <c r="O90" s="107"/>
      <c r="P90" s="107"/>
      <c r="Q90" s="107"/>
      <c r="R90" s="107"/>
      <c r="S90" s="107"/>
      <c r="T90" s="107"/>
      <c r="U90" s="107"/>
      <c r="V90" s="107"/>
      <c r="W90" s="107"/>
      <c r="X90" s="107"/>
      <c r="Y90" s="107"/>
    </row>
    <row r="91" spans="1:25" ht="15.5">
      <c r="A91" s="107"/>
      <c r="B91" s="107"/>
      <c r="C91" s="107"/>
      <c r="D91" s="107"/>
      <c r="E91" s="107"/>
      <c r="F91" s="107"/>
      <c r="G91" s="107"/>
      <c r="H91" s="107"/>
      <c r="I91" s="107"/>
      <c r="J91" s="107"/>
      <c r="K91" s="107"/>
      <c r="L91" s="107"/>
      <c r="M91" s="107"/>
      <c r="N91" s="107"/>
      <c r="O91" s="107"/>
      <c r="P91" s="107"/>
      <c r="Q91" s="107"/>
      <c r="R91" s="107"/>
      <c r="S91" s="107"/>
      <c r="T91" s="107"/>
      <c r="U91" s="107"/>
      <c r="V91" s="107"/>
      <c r="W91" s="107"/>
      <c r="X91" s="107"/>
      <c r="Y91" s="107"/>
    </row>
    <row r="92" spans="1:25" ht="15.5">
      <c r="A92" s="107"/>
      <c r="B92" s="107"/>
      <c r="C92" s="107"/>
      <c r="D92" s="107"/>
      <c r="E92" s="107"/>
      <c r="F92" s="107"/>
      <c r="G92" s="107"/>
      <c r="H92" s="107"/>
      <c r="I92" s="107"/>
      <c r="J92" s="107"/>
      <c r="K92" s="107"/>
      <c r="L92" s="107"/>
      <c r="M92" s="107"/>
      <c r="N92" s="107"/>
      <c r="O92" s="107"/>
      <c r="P92" s="107"/>
      <c r="Q92" s="107"/>
      <c r="R92" s="107"/>
      <c r="S92" s="107"/>
      <c r="T92" s="107"/>
      <c r="U92" s="107"/>
      <c r="V92" s="107"/>
      <c r="W92" s="107"/>
      <c r="X92" s="107"/>
      <c r="Y92" s="107"/>
    </row>
    <row r="93" spans="1:25" ht="15.5">
      <c r="A93" s="107"/>
      <c r="B93" s="107"/>
      <c r="C93" s="107"/>
      <c r="D93" s="107"/>
      <c r="E93" s="107"/>
      <c r="F93" s="107"/>
      <c r="G93" s="107"/>
      <c r="H93" s="107"/>
      <c r="I93" s="107"/>
      <c r="J93" s="107"/>
      <c r="K93" s="107"/>
      <c r="L93" s="107"/>
      <c r="M93" s="107"/>
      <c r="N93" s="107"/>
      <c r="O93" s="107"/>
      <c r="P93" s="107"/>
      <c r="Q93" s="107"/>
      <c r="R93" s="107"/>
      <c r="S93" s="107"/>
      <c r="T93" s="107"/>
      <c r="U93" s="107"/>
      <c r="V93" s="107"/>
      <c r="W93" s="107"/>
      <c r="X93" s="107"/>
      <c r="Y93" s="107"/>
    </row>
    <row r="94" spans="1:25" ht="15.5">
      <c r="A94" s="107"/>
      <c r="B94" s="107"/>
      <c r="C94" s="107"/>
      <c r="D94" s="107"/>
      <c r="E94" s="107"/>
      <c r="F94" s="107"/>
      <c r="G94" s="107"/>
      <c r="H94" s="107"/>
      <c r="I94" s="107"/>
      <c r="J94" s="107"/>
      <c r="K94" s="107"/>
      <c r="L94" s="107"/>
      <c r="M94" s="107"/>
      <c r="N94" s="107"/>
      <c r="O94" s="107"/>
      <c r="P94" s="107"/>
      <c r="Q94" s="107"/>
      <c r="R94" s="107"/>
      <c r="S94" s="107"/>
      <c r="T94" s="107"/>
      <c r="U94" s="107"/>
      <c r="V94" s="107"/>
      <c r="W94" s="107"/>
      <c r="X94" s="107"/>
      <c r="Y94" s="107"/>
    </row>
    <row r="95" spans="1:25" ht="15.5">
      <c r="A95" s="107"/>
      <c r="B95" s="107"/>
      <c r="C95" s="107"/>
      <c r="D95" s="107"/>
      <c r="E95" s="107"/>
      <c r="F95" s="107"/>
      <c r="G95" s="107"/>
      <c r="H95" s="107"/>
      <c r="I95" s="107"/>
      <c r="J95" s="107"/>
      <c r="K95" s="107"/>
      <c r="L95" s="107"/>
      <c r="M95" s="107"/>
      <c r="N95" s="107"/>
      <c r="O95" s="107"/>
      <c r="P95" s="107"/>
      <c r="Q95" s="107"/>
      <c r="R95" s="107"/>
      <c r="S95" s="107"/>
      <c r="T95" s="107"/>
      <c r="U95" s="107"/>
      <c r="V95" s="107"/>
      <c r="W95" s="107"/>
      <c r="X95" s="107"/>
      <c r="Y95" s="107"/>
    </row>
    <row r="96" spans="1:25" ht="15.5">
      <c r="A96" s="107"/>
      <c r="B96" s="107"/>
      <c r="C96" s="107"/>
      <c r="D96" s="107"/>
      <c r="E96" s="107"/>
      <c r="F96" s="107"/>
      <c r="G96" s="107"/>
      <c r="H96" s="107"/>
      <c r="I96" s="107"/>
      <c r="J96" s="107"/>
      <c r="K96" s="107"/>
      <c r="L96" s="107"/>
      <c r="M96" s="107"/>
      <c r="N96" s="107"/>
      <c r="O96" s="107"/>
      <c r="P96" s="107"/>
      <c r="Q96" s="107"/>
      <c r="R96" s="107"/>
      <c r="S96" s="107"/>
      <c r="T96" s="107"/>
      <c r="U96" s="107"/>
      <c r="V96" s="107"/>
      <c r="W96" s="107"/>
      <c r="X96" s="107"/>
      <c r="Y96" s="107"/>
    </row>
    <row r="97" spans="1:25" ht="15.5">
      <c r="A97" s="107"/>
      <c r="B97" s="107"/>
      <c r="C97" s="107"/>
      <c r="D97" s="107"/>
      <c r="E97" s="107"/>
      <c r="F97" s="107"/>
      <c r="G97" s="107"/>
      <c r="H97" s="107"/>
      <c r="I97" s="107"/>
      <c r="J97" s="107"/>
      <c r="K97" s="107"/>
      <c r="L97" s="107"/>
      <c r="M97" s="107"/>
      <c r="N97" s="107"/>
      <c r="O97" s="107"/>
      <c r="P97" s="107"/>
      <c r="Q97" s="107"/>
      <c r="R97" s="107"/>
      <c r="S97" s="107"/>
      <c r="T97" s="107"/>
      <c r="U97" s="107"/>
      <c r="V97" s="107"/>
      <c r="W97" s="107"/>
      <c r="X97" s="107"/>
      <c r="Y97" s="107"/>
    </row>
    <row r="98" spans="1:25" ht="15.5">
      <c r="A98" s="107"/>
      <c r="B98" s="107"/>
      <c r="C98" s="107"/>
      <c r="D98" s="107"/>
      <c r="E98" s="107"/>
      <c r="F98" s="107"/>
      <c r="G98" s="107"/>
      <c r="H98" s="107"/>
      <c r="I98" s="107"/>
      <c r="J98" s="107"/>
      <c r="K98" s="107"/>
      <c r="L98" s="107"/>
      <c r="M98" s="107"/>
      <c r="N98" s="107"/>
      <c r="O98" s="107"/>
      <c r="P98" s="107"/>
      <c r="Q98" s="107"/>
      <c r="R98" s="107"/>
      <c r="S98" s="107"/>
      <c r="T98" s="107"/>
      <c r="U98" s="107"/>
      <c r="V98" s="107"/>
      <c r="W98" s="107"/>
      <c r="X98" s="107"/>
      <c r="Y98" s="107"/>
    </row>
    <row r="99" spans="1:25" ht="15.5">
      <c r="A99" s="107"/>
      <c r="B99" s="107"/>
      <c r="C99" s="107"/>
      <c r="D99" s="107"/>
      <c r="E99" s="107"/>
      <c r="F99" s="107"/>
      <c r="G99" s="107"/>
      <c r="H99" s="107"/>
      <c r="I99" s="107"/>
      <c r="J99" s="107"/>
      <c r="K99" s="107"/>
      <c r="L99" s="107"/>
      <c r="M99" s="107"/>
      <c r="N99" s="107"/>
      <c r="O99" s="107"/>
      <c r="P99" s="107"/>
      <c r="Q99" s="107"/>
      <c r="R99" s="107"/>
      <c r="S99" s="107"/>
      <c r="T99" s="107"/>
      <c r="U99" s="107"/>
      <c r="V99" s="107"/>
      <c r="W99" s="107"/>
      <c r="X99" s="107"/>
      <c r="Y99" s="107"/>
    </row>
    <row r="100" spans="1:25" ht="15.5">
      <c r="A100" s="107"/>
      <c r="B100" s="107"/>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row>
    <row r="101" spans="1:25" ht="15.5">
      <c r="A101" s="107"/>
      <c r="B101" s="107"/>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row>
    <row r="102" spans="1:25" ht="15.5">
      <c r="A102" s="107"/>
      <c r="B102" s="107"/>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row>
    <row r="103" spans="1:25" ht="15.5">
      <c r="A103" s="107"/>
      <c r="B103" s="107"/>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row>
    <row r="104" spans="1:25" ht="15.5">
      <c r="A104" s="107"/>
      <c r="B104" s="107"/>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row>
    <row r="105" spans="1:25" ht="15.5">
      <c r="A105" s="107"/>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row>
    <row r="106" spans="1:25" ht="15.5">
      <c r="A106" s="107"/>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row>
    <row r="107" spans="1:25" ht="15.5">
      <c r="A107" s="107"/>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row>
    <row r="108" spans="1:25" ht="15.5">
      <c r="A108" s="107"/>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row>
    <row r="109" spans="1:25" ht="15.5">
      <c r="A109" s="107"/>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row>
    <row r="110" spans="1:25" ht="15.5">
      <c r="A110" s="107"/>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row>
    <row r="111" spans="1:25" ht="15.5">
      <c r="A111" s="107"/>
      <c r="B111" s="107"/>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row>
    <row r="112" spans="1:25" ht="15.5">
      <c r="A112" s="107"/>
      <c r="B112" s="107"/>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row>
    <row r="113" spans="1:25" ht="15.5">
      <c r="A113" s="107"/>
      <c r="B113" s="107"/>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row>
    <row r="114" spans="1:25" ht="15.5">
      <c r="A114" s="107"/>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row>
    <row r="115" spans="1:25" ht="15.5">
      <c r="A115" s="107"/>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row>
    <row r="116" spans="1:25" ht="15.5">
      <c r="A116" s="107"/>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row>
    <row r="117" spans="1:25" ht="15.5">
      <c r="A117" s="107"/>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row>
    <row r="118" spans="1:25" ht="15.5">
      <c r="A118" s="107"/>
      <c r="B118" s="107"/>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row>
    <row r="119" spans="1:25" ht="15.5">
      <c r="A119" s="107"/>
      <c r="B119" s="107"/>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row>
    <row r="120" spans="1:25" ht="15.5">
      <c r="A120" s="107"/>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row>
    <row r="121" spans="1:25" ht="15.5">
      <c r="A121" s="107"/>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row>
    <row r="122" spans="1:25" ht="15.5">
      <c r="A122" s="107"/>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row>
    <row r="123" spans="1:25" ht="15.5">
      <c r="A123" s="107"/>
      <c r="B123" s="107"/>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row>
    <row r="124" spans="1:25" ht="15.5">
      <c r="A124" s="107"/>
      <c r="B124" s="107"/>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row>
    <row r="125" spans="1:25" ht="15.5">
      <c r="A125" s="107"/>
      <c r="B125" s="107"/>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row>
    <row r="126" spans="1:25" ht="15.5">
      <c r="A126" s="107"/>
      <c r="B126" s="107"/>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row>
    <row r="127" spans="1:25" ht="15.5">
      <c r="A127" s="107"/>
      <c r="B127" s="107"/>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row>
    <row r="128" spans="1:25" ht="15.5">
      <c r="A128" s="107"/>
      <c r="B128" s="107"/>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row>
    <row r="129" spans="1:25" ht="15.5">
      <c r="A129" s="107"/>
      <c r="B129" s="107"/>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row>
    <row r="130" spans="1:25" ht="15.5">
      <c r="A130" s="107"/>
      <c r="B130" s="107"/>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row>
    <row r="131" spans="1:25" ht="15.5">
      <c r="A131" s="107"/>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row>
    <row r="132" spans="1:25" ht="15.5">
      <c r="A132" s="107"/>
      <c r="B132" s="107"/>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row>
    <row r="133" spans="1:25" ht="15.5">
      <c r="A133" s="107"/>
      <c r="B133" s="107"/>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row>
    <row r="134" spans="1:25" ht="15.5">
      <c r="A134" s="107"/>
      <c r="B134" s="107"/>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row>
    <row r="135" spans="1:25" ht="15.5">
      <c r="A135" s="107"/>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row>
    <row r="136" spans="1:25" ht="15.5">
      <c r="A136" s="107"/>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row>
    <row r="137" spans="1:25" ht="15.5">
      <c r="A137" s="107"/>
      <c r="B137" s="107"/>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row>
    <row r="138" spans="1:25" ht="15.5">
      <c r="A138" s="107"/>
      <c r="B138" s="107"/>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row>
    <row r="139" spans="1:25" ht="15.5">
      <c r="A139" s="107"/>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row>
    <row r="140" spans="1:25" ht="15.5">
      <c r="A140" s="107"/>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row>
    <row r="141" spans="1:25" ht="15.5">
      <c r="A141" s="107"/>
      <c r="B141" s="107"/>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row>
    <row r="142" spans="1:25" ht="15.5">
      <c r="A142" s="107"/>
      <c r="B142" s="107"/>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row>
    <row r="143" spans="1:25" ht="15.5">
      <c r="A143" s="107"/>
      <c r="B143" s="107"/>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row>
    <row r="144" spans="1:25" ht="15.5">
      <c r="A144" s="107"/>
      <c r="B144" s="107"/>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row>
    <row r="145" spans="1:25" ht="15.5">
      <c r="A145" s="107"/>
      <c r="B145" s="107"/>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row>
    <row r="146" spans="1:25" ht="15.5">
      <c r="A146" s="107"/>
      <c r="B146" s="107"/>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row>
    <row r="147" spans="1:25" ht="15.5">
      <c r="A147" s="107"/>
      <c r="B147" s="107"/>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row>
    <row r="148" spans="1:25" ht="15.5">
      <c r="A148" s="107"/>
      <c r="B148" s="107"/>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row>
    <row r="149" spans="1:25" ht="15.5">
      <c r="A149" s="107"/>
      <c r="B149" s="107"/>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row>
    <row r="150" spans="1:25" ht="15.5">
      <c r="A150" s="107"/>
      <c r="B150" s="107"/>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row>
    <row r="151" spans="1:25" ht="15.5">
      <c r="A151" s="107"/>
      <c r="B151" s="107"/>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row>
    <row r="152" spans="1:25" ht="15.5">
      <c r="A152" s="107"/>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row>
    <row r="153" spans="1:25" ht="15.5">
      <c r="A153" s="107"/>
      <c r="B153" s="107"/>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row>
    <row r="154" spans="1:25" ht="15.5">
      <c r="A154" s="107"/>
      <c r="B154" s="107"/>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row>
    <row r="155" spans="1:25" ht="15.5">
      <c r="A155" s="107"/>
      <c r="B155" s="107"/>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row>
    <row r="156" spans="1:25" ht="15.5">
      <c r="A156" s="107"/>
      <c r="B156" s="107"/>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row>
    <row r="157" spans="1:25" ht="15.5">
      <c r="A157" s="107"/>
      <c r="B157" s="107"/>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row>
    <row r="158" spans="1:25" ht="15.5">
      <c r="A158" s="107"/>
      <c r="B158" s="107"/>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row>
    <row r="159" spans="1:25" ht="15.5">
      <c r="A159" s="107"/>
      <c r="B159" s="107"/>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row>
    <row r="160" spans="1:25" ht="15.5">
      <c r="A160" s="107"/>
      <c r="B160" s="107"/>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row>
    <row r="161" spans="1:25" ht="15.5">
      <c r="A161" s="107"/>
      <c r="B161" s="107"/>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row>
    <row r="162" spans="1:25" ht="15.5">
      <c r="A162" s="107"/>
      <c r="B162" s="107"/>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row>
    <row r="163" spans="1:25" ht="15.5">
      <c r="A163" s="107"/>
      <c r="B163" s="107"/>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row>
    <row r="164" spans="1:25" ht="15.5">
      <c r="A164" s="107"/>
      <c r="B164" s="107"/>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row>
    <row r="165" spans="1:25" ht="15.5">
      <c r="A165" s="107"/>
      <c r="B165" s="107"/>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row>
    <row r="166" spans="1:25" ht="15.5">
      <c r="A166" s="107"/>
      <c r="B166" s="107"/>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row>
    <row r="167" spans="1:25" ht="15.5">
      <c r="A167" s="107"/>
      <c r="B167" s="107"/>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row>
    <row r="168" spans="1:25" ht="15.5">
      <c r="A168" s="107"/>
      <c r="B168" s="107"/>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row>
    <row r="169" spans="1:25" ht="15.5">
      <c r="A169" s="107"/>
      <c r="B169" s="107"/>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row>
    <row r="170" spans="1:25" ht="15.5">
      <c r="A170" s="107"/>
      <c r="B170" s="107"/>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row>
    <row r="171" spans="1:25" ht="15.5">
      <c r="A171" s="107"/>
      <c r="B171" s="107"/>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row>
    <row r="172" spans="1:25" ht="15.5">
      <c r="A172" s="107"/>
      <c r="B172" s="107"/>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row>
    <row r="173" spans="1:25" ht="15.5">
      <c r="A173" s="107"/>
      <c r="B173" s="107"/>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row>
    <row r="174" spans="1:25" ht="15.5">
      <c r="A174" s="107"/>
      <c r="B174" s="107"/>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row>
    <row r="175" spans="1:25" ht="15.5">
      <c r="A175" s="107"/>
      <c r="B175" s="107"/>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row>
    <row r="176" spans="1:25" ht="15.5">
      <c r="A176" s="107"/>
      <c r="B176" s="107"/>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row>
    <row r="177" spans="1:25" ht="15.5">
      <c r="A177" s="107"/>
      <c r="B177" s="107"/>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row>
    <row r="178" spans="1:25" ht="15.5">
      <c r="A178" s="107"/>
      <c r="B178" s="107"/>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row>
    <row r="179" spans="1:25" ht="15.5">
      <c r="A179" s="107"/>
      <c r="B179" s="107"/>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row>
    <row r="180" spans="1:25" ht="15.5">
      <c r="A180" s="107"/>
      <c r="B180" s="107"/>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row>
    <row r="181" spans="1:25" ht="15.5">
      <c r="A181" s="107"/>
      <c r="B181" s="107"/>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row>
    <row r="182" spans="1:25" ht="15.5">
      <c r="A182" s="107"/>
      <c r="B182" s="107"/>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row>
    <row r="183" spans="1:25" ht="15.5">
      <c r="A183" s="107"/>
      <c r="B183" s="107"/>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row>
    <row r="184" spans="1:25" ht="15.5">
      <c r="A184" s="107"/>
      <c r="B184" s="107"/>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row>
    <row r="185" spans="1:25" ht="15.5">
      <c r="A185" s="107"/>
      <c r="B185" s="107"/>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row>
    <row r="186" spans="1:25" ht="15.5">
      <c r="A186" s="107"/>
      <c r="B186" s="107"/>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row>
    <row r="187" spans="1:25" ht="15.5">
      <c r="A187" s="107"/>
      <c r="B187" s="107"/>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row>
    <row r="188" spans="1:25" ht="15.5">
      <c r="A188" s="107"/>
      <c r="B188" s="107"/>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row>
    <row r="189" spans="1:25" ht="15.5">
      <c r="A189" s="107"/>
      <c r="B189" s="107"/>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row>
    <row r="190" spans="1:25" ht="15.5">
      <c r="A190" s="107"/>
      <c r="B190" s="107"/>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row>
    <row r="191" spans="1:25" ht="15.5">
      <c r="A191" s="107"/>
      <c r="B191" s="107"/>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row>
    <row r="192" spans="1:25" ht="15.5">
      <c r="A192" s="107"/>
      <c r="B192" s="107"/>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row>
    <row r="193" spans="1:25" ht="15.5">
      <c r="A193" s="107"/>
      <c r="B193" s="107"/>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row>
    <row r="194" spans="1:25" ht="15.5">
      <c r="A194" s="107"/>
      <c r="B194" s="107"/>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row>
    <row r="195" spans="1:25" ht="15.5">
      <c r="A195" s="107"/>
      <c r="B195" s="107"/>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row>
    <row r="196" spans="1:25" ht="15.5">
      <c r="A196" s="107"/>
      <c r="B196" s="107"/>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row>
    <row r="197" spans="1:25" ht="15.5">
      <c r="A197" s="107"/>
      <c r="B197" s="107"/>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row>
    <row r="198" spans="1:25" ht="15.5">
      <c r="A198" s="107"/>
      <c r="B198" s="107"/>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row>
    <row r="199" spans="1:25" ht="15.5">
      <c r="A199" s="107"/>
      <c r="B199" s="107"/>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row>
    <row r="200" spans="1:25" ht="15.5">
      <c r="A200" s="107"/>
      <c r="B200" s="107"/>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row>
    <row r="201" spans="1:25" ht="15.5">
      <c r="A201" s="107"/>
      <c r="B201" s="107"/>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row>
    <row r="202" spans="1:25" ht="15.5">
      <c r="A202" s="107"/>
      <c r="B202" s="107"/>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row>
    <row r="203" spans="1:25" ht="15.5">
      <c r="A203" s="107"/>
      <c r="B203" s="107"/>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row>
    <row r="204" spans="1:25" ht="15.5">
      <c r="A204" s="107"/>
      <c r="B204" s="107"/>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row>
    <row r="205" spans="1:25" ht="15.5">
      <c r="A205" s="107"/>
      <c r="B205" s="107"/>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row>
    <row r="206" spans="1:25" ht="15.5">
      <c r="A206" s="107"/>
      <c r="B206" s="107"/>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row>
    <row r="207" spans="1:25" ht="15.5">
      <c r="A207" s="107"/>
      <c r="B207" s="107"/>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row>
    <row r="208" spans="1:25" ht="15.5">
      <c r="A208" s="107"/>
      <c r="B208" s="107"/>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row>
    <row r="209" spans="1:25" ht="15.5">
      <c r="A209" s="107"/>
      <c r="B209" s="107"/>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row>
    <row r="210" spans="1:25" ht="15.5">
      <c r="A210" s="107"/>
      <c r="B210" s="107"/>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row>
    <row r="211" spans="1:25" ht="15.5">
      <c r="A211" s="107"/>
      <c r="B211" s="107"/>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row>
    <row r="212" spans="1:25" ht="15.5">
      <c r="A212" s="107"/>
      <c r="B212" s="107"/>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row>
    <row r="213" spans="1:25" ht="15.5">
      <c r="A213" s="107"/>
      <c r="B213" s="107"/>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row>
    <row r="214" spans="1:25" ht="15.5">
      <c r="A214" s="107"/>
      <c r="B214" s="107"/>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row>
    <row r="215" spans="1:25" ht="15.5">
      <c r="A215" s="107"/>
      <c r="B215" s="107"/>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row>
    <row r="216" spans="1:25" ht="15.5">
      <c r="A216" s="107"/>
      <c r="B216" s="107"/>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row>
    <row r="217" spans="1:25" ht="15.5">
      <c r="A217" s="107"/>
      <c r="B217" s="107"/>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row>
    <row r="218" spans="1:25" ht="15.5">
      <c r="A218" s="107"/>
      <c r="B218" s="107"/>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row>
    <row r="219" spans="1:25" ht="15.5">
      <c r="A219" s="107"/>
      <c r="B219" s="107"/>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row>
    <row r="220" spans="1:25" ht="15.5">
      <c r="A220" s="107"/>
      <c r="B220" s="107"/>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row>
    <row r="221" spans="1:25" ht="15.5">
      <c r="A221" s="107"/>
      <c r="B221" s="107"/>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row>
    <row r="222" spans="1:25" ht="15.5">
      <c r="A222" s="107"/>
      <c r="B222" s="107"/>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row>
    <row r="223" spans="1:25" ht="15.5">
      <c r="A223" s="107"/>
      <c r="B223" s="107"/>
      <c r="C223" s="107"/>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row>
    <row r="224" spans="1:25" ht="15.5">
      <c r="A224" s="107"/>
      <c r="B224" s="107"/>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row>
    <row r="225" spans="1:25" ht="15.5">
      <c r="A225" s="107"/>
      <c r="B225" s="107"/>
      <c r="C225" s="107"/>
      <c r="D225" s="107"/>
      <c r="E225" s="107"/>
      <c r="F225" s="107"/>
      <c r="G225" s="107"/>
      <c r="H225" s="107"/>
      <c r="I225" s="107"/>
      <c r="J225" s="107"/>
      <c r="K225" s="107"/>
      <c r="L225" s="107"/>
      <c r="M225" s="107"/>
      <c r="N225" s="107"/>
      <c r="O225" s="107"/>
      <c r="P225" s="107"/>
      <c r="Q225" s="107"/>
      <c r="R225" s="107"/>
      <c r="S225" s="107"/>
      <c r="T225" s="107"/>
      <c r="U225" s="107"/>
      <c r="V225" s="107"/>
      <c r="W225" s="107"/>
      <c r="X225" s="107"/>
      <c r="Y225" s="107"/>
    </row>
    <row r="226" spans="1:25" ht="15.5">
      <c r="A226" s="107"/>
      <c r="B226" s="107"/>
      <c r="C226" s="107"/>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row>
    <row r="227" spans="1:25" ht="15.5">
      <c r="A227" s="107"/>
      <c r="B227" s="107"/>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row>
    <row r="228" spans="1:25" ht="15.5">
      <c r="A228" s="107"/>
      <c r="B228" s="107"/>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row>
    <row r="229" spans="1:25" ht="15.5">
      <c r="A229" s="107"/>
      <c r="B229" s="107"/>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row>
    <row r="230" spans="1:25" ht="15.5">
      <c r="A230" s="107"/>
      <c r="B230" s="107"/>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row>
    <row r="231" spans="1:25" ht="15.5">
      <c r="A231" s="107"/>
      <c r="B231" s="107"/>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row>
    <row r="232" spans="1:25" ht="15.5">
      <c r="A232" s="107"/>
      <c r="B232" s="107"/>
      <c r="C232" s="107"/>
      <c r="D232" s="107"/>
      <c r="E232" s="107"/>
      <c r="F232" s="107"/>
      <c r="G232" s="107"/>
      <c r="H232" s="107"/>
      <c r="I232" s="107"/>
      <c r="J232" s="107"/>
      <c r="K232" s="107"/>
      <c r="L232" s="107"/>
      <c r="M232" s="107"/>
      <c r="N232" s="107"/>
      <c r="O232" s="107"/>
      <c r="P232" s="107"/>
      <c r="Q232" s="107"/>
      <c r="R232" s="107"/>
      <c r="S232" s="107"/>
      <c r="T232" s="107"/>
      <c r="U232" s="107"/>
      <c r="V232" s="107"/>
      <c r="W232" s="107"/>
      <c r="X232" s="107"/>
      <c r="Y232" s="107"/>
    </row>
    <row r="233" spans="1:25" ht="15.5">
      <c r="A233" s="107"/>
      <c r="B233" s="107"/>
      <c r="C233" s="107"/>
      <c r="D233" s="107"/>
      <c r="E233" s="107"/>
      <c r="F233" s="107"/>
      <c r="G233" s="107"/>
      <c r="H233" s="107"/>
      <c r="I233" s="107"/>
      <c r="J233" s="107"/>
      <c r="K233" s="107"/>
      <c r="L233" s="107"/>
      <c r="M233" s="107"/>
      <c r="N233" s="107"/>
      <c r="O233" s="107"/>
      <c r="P233" s="107"/>
      <c r="Q233" s="107"/>
      <c r="R233" s="107"/>
      <c r="S233" s="107"/>
      <c r="T233" s="107"/>
      <c r="U233" s="107"/>
      <c r="V233" s="107"/>
      <c r="W233" s="107"/>
      <c r="X233" s="107"/>
      <c r="Y233" s="107"/>
    </row>
    <row r="234" spans="1:25" ht="15.5">
      <c r="A234" s="107"/>
      <c r="B234" s="107"/>
      <c r="C234" s="107"/>
      <c r="D234" s="107"/>
      <c r="E234" s="107"/>
      <c r="F234" s="107"/>
      <c r="G234" s="107"/>
      <c r="H234" s="107"/>
      <c r="I234" s="107"/>
      <c r="J234" s="107"/>
      <c r="K234" s="107"/>
      <c r="L234" s="107"/>
      <c r="M234" s="107"/>
      <c r="N234" s="107"/>
      <c r="O234" s="107"/>
      <c r="P234" s="107"/>
      <c r="Q234" s="107"/>
      <c r="R234" s="107"/>
      <c r="S234" s="107"/>
      <c r="T234" s="107"/>
      <c r="U234" s="107"/>
      <c r="V234" s="107"/>
      <c r="W234" s="107"/>
      <c r="X234" s="107"/>
      <c r="Y234" s="107"/>
    </row>
    <row r="235" spans="1:25" ht="15.5">
      <c r="A235" s="107"/>
      <c r="B235" s="107"/>
      <c r="C235" s="107"/>
      <c r="D235" s="107"/>
      <c r="E235" s="107"/>
      <c r="F235" s="107"/>
      <c r="G235" s="107"/>
      <c r="H235" s="107"/>
      <c r="I235" s="107"/>
      <c r="J235" s="107"/>
      <c r="K235" s="107"/>
      <c r="L235" s="107"/>
      <c r="M235" s="107"/>
      <c r="N235" s="107"/>
      <c r="O235" s="107"/>
      <c r="P235" s="107"/>
      <c r="Q235" s="107"/>
      <c r="R235" s="107"/>
      <c r="S235" s="107"/>
      <c r="T235" s="107"/>
      <c r="U235" s="107"/>
      <c r="V235" s="107"/>
      <c r="W235" s="107"/>
      <c r="X235" s="107"/>
      <c r="Y235" s="107"/>
    </row>
    <row r="236" spans="1:25" ht="15.5">
      <c r="A236" s="107"/>
      <c r="B236" s="107"/>
      <c r="C236" s="107"/>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row>
    <row r="237" spans="1:25" ht="15.5">
      <c r="A237" s="107"/>
      <c r="B237" s="107"/>
      <c r="C237" s="107"/>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row>
    <row r="238" spans="1:25" ht="15.5">
      <c r="A238" s="107"/>
      <c r="B238" s="107"/>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row>
    <row r="239" spans="1:25" ht="15.5">
      <c r="A239" s="107"/>
      <c r="B239" s="107"/>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row>
    <row r="240" spans="1:25" ht="15.5">
      <c r="A240" s="107"/>
      <c r="B240" s="107"/>
      <c r="C240" s="107"/>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row>
    <row r="241" spans="1:25" ht="15.5">
      <c r="A241" s="107"/>
      <c r="B241" s="107"/>
      <c r="C241" s="107"/>
      <c r="D241" s="107"/>
      <c r="E241" s="107"/>
      <c r="F241" s="107"/>
      <c r="G241" s="107"/>
      <c r="H241" s="107"/>
      <c r="I241" s="107"/>
      <c r="J241" s="107"/>
      <c r="K241" s="107"/>
      <c r="L241" s="107"/>
      <c r="M241" s="107"/>
      <c r="N241" s="107"/>
      <c r="O241" s="107"/>
      <c r="P241" s="107"/>
      <c r="Q241" s="107"/>
      <c r="R241" s="107"/>
      <c r="S241" s="107"/>
      <c r="T241" s="107"/>
      <c r="U241" s="107"/>
      <c r="V241" s="107"/>
      <c r="W241" s="107"/>
      <c r="X241" s="107"/>
      <c r="Y241" s="107"/>
    </row>
    <row r="242" spans="1:25" ht="15.5">
      <c r="A242" s="107"/>
      <c r="B242" s="107"/>
      <c r="C242" s="107"/>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row>
    <row r="243" spans="1:25" ht="15.5">
      <c r="A243" s="107"/>
      <c r="B243" s="107"/>
      <c r="C243" s="107"/>
      <c r="D243" s="107"/>
      <c r="E243" s="107"/>
      <c r="F243" s="107"/>
      <c r="G243" s="107"/>
      <c r="H243" s="107"/>
      <c r="I243" s="107"/>
      <c r="J243" s="107"/>
      <c r="K243" s="107"/>
      <c r="L243" s="107"/>
      <c r="M243" s="107"/>
      <c r="N243" s="107"/>
      <c r="O243" s="107"/>
      <c r="P243" s="107"/>
      <c r="Q243" s="107"/>
      <c r="R243" s="107"/>
      <c r="S243" s="107"/>
      <c r="T243" s="107"/>
      <c r="U243" s="107"/>
      <c r="V243" s="107"/>
      <c r="W243" s="107"/>
      <c r="X243" s="107"/>
      <c r="Y243" s="107"/>
    </row>
    <row r="244" spans="1:25" ht="15.5">
      <c r="A244" s="107"/>
      <c r="B244" s="107"/>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row>
    <row r="245" spans="1:25" ht="15.5">
      <c r="A245" s="107"/>
      <c r="B245" s="107"/>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row>
    <row r="246" spans="1:25" ht="15.5">
      <c r="A246" s="107"/>
      <c r="B246" s="107"/>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row>
    <row r="247" spans="1:25" ht="15.5">
      <c r="A247" s="107"/>
      <c r="B247" s="107"/>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row>
    <row r="248" spans="1:25" ht="15.5">
      <c r="A248" s="107"/>
      <c r="B248" s="107"/>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row>
    <row r="249" spans="1:25" ht="15.5">
      <c r="A249" s="107"/>
      <c r="B249" s="107"/>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row>
    <row r="250" spans="1:25" ht="15.5">
      <c r="A250" s="107"/>
      <c r="B250" s="107"/>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row>
    <row r="251" spans="1:25" ht="15.5">
      <c r="A251" s="107"/>
      <c r="B251" s="107"/>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row>
    <row r="252" spans="1:25" ht="15.5">
      <c r="A252" s="107"/>
      <c r="B252" s="107"/>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row>
    <row r="253" spans="1:25" ht="15.5">
      <c r="A253" s="107"/>
      <c r="B253" s="107"/>
      <c r="C253" s="107"/>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row>
    <row r="254" spans="1:25" ht="15.5">
      <c r="A254" s="107"/>
      <c r="B254" s="107"/>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row>
    <row r="255" spans="1:25" ht="15.5">
      <c r="A255" s="107"/>
      <c r="B255" s="107"/>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row>
    <row r="256" spans="1:25" ht="15.5">
      <c r="A256" s="107"/>
      <c r="B256" s="107"/>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row>
    <row r="257" spans="1:25" ht="15.5">
      <c r="A257" s="107"/>
      <c r="B257" s="107"/>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row>
    <row r="258" spans="1:25" ht="15.5">
      <c r="A258" s="107"/>
      <c r="B258" s="107"/>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row>
    <row r="259" spans="1:25" ht="15.5">
      <c r="A259" s="107"/>
      <c r="B259" s="107"/>
      <c r="C259" s="107"/>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row>
    <row r="260" spans="1:25" ht="15.5">
      <c r="A260" s="107"/>
      <c r="B260" s="107"/>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row>
    <row r="261" spans="1:25" ht="15.5">
      <c r="A261" s="107"/>
      <c r="B261" s="107"/>
      <c r="C261" s="107"/>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row>
    <row r="262" spans="1:25" ht="15.5">
      <c r="A262" s="107"/>
      <c r="B262" s="107"/>
      <c r="C262" s="107"/>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row>
    <row r="263" spans="1:25" ht="15.5">
      <c r="A263" s="107"/>
      <c r="B263" s="107"/>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row>
    <row r="264" spans="1:25" ht="15.5">
      <c r="A264" s="107"/>
      <c r="B264" s="107"/>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row>
    <row r="265" spans="1:25" ht="15.5">
      <c r="A265" s="107"/>
      <c r="B265" s="107"/>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row>
    <row r="266" spans="1:25" ht="15.5">
      <c r="A266" s="107"/>
      <c r="B266" s="107"/>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row>
    <row r="267" spans="1:25" ht="15.5">
      <c r="A267" s="107"/>
      <c r="B267" s="107"/>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row>
    <row r="268" spans="1:25" ht="15.5">
      <c r="A268" s="107"/>
      <c r="B268" s="107"/>
      <c r="C268" s="107"/>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row>
    <row r="269" spans="1:25" ht="15.5">
      <c r="A269" s="107"/>
      <c r="B269" s="107"/>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row>
    <row r="270" spans="1:25" ht="15.5">
      <c r="A270" s="107"/>
      <c r="B270" s="107"/>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row>
    <row r="271" spans="1:25" ht="15.5">
      <c r="A271" s="107"/>
      <c r="B271" s="107"/>
      <c r="C271" s="107"/>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row>
    <row r="272" spans="1:25" ht="15.5">
      <c r="A272" s="107"/>
      <c r="B272" s="107"/>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row>
    <row r="273" spans="1:25" ht="15.5">
      <c r="A273" s="107"/>
      <c r="B273" s="107"/>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row>
    <row r="274" spans="1:25" ht="15.5">
      <c r="A274" s="107"/>
      <c r="B274" s="107"/>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row>
    <row r="275" spans="1:25" ht="15.5">
      <c r="A275" s="107"/>
      <c r="B275" s="107"/>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row>
    <row r="276" spans="1:25" ht="15.5">
      <c r="A276" s="107"/>
      <c r="B276" s="107"/>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row>
    <row r="277" spans="1:25" ht="15.5">
      <c r="A277" s="107"/>
      <c r="B277" s="107"/>
      <c r="C277" s="107"/>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row>
    <row r="278" spans="1:25" ht="15.5">
      <c r="A278" s="107"/>
      <c r="B278" s="107"/>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row>
    <row r="279" spans="1:25" ht="15.5">
      <c r="A279" s="107"/>
      <c r="B279" s="107"/>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row>
    <row r="280" spans="1:25" ht="15.5">
      <c r="A280" s="107"/>
      <c r="B280" s="107"/>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row>
    <row r="281" spans="1:25" ht="15.5">
      <c r="A281" s="107"/>
      <c r="B281" s="107"/>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row>
    <row r="282" spans="1:25" ht="15.5">
      <c r="A282" s="107"/>
      <c r="B282" s="107"/>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row>
    <row r="283" spans="1:25" ht="15.5">
      <c r="A283" s="107"/>
      <c r="B283" s="107"/>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row>
    <row r="284" spans="1:25" ht="15.5">
      <c r="A284" s="107"/>
      <c r="B284" s="107"/>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row>
    <row r="285" spans="1:25" ht="15.5">
      <c r="A285" s="107"/>
      <c r="B285" s="107"/>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row>
    <row r="286" spans="1:25" ht="15.5">
      <c r="A286" s="107"/>
      <c r="B286" s="107"/>
      <c r="C286" s="107"/>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row>
    <row r="287" spans="1:25" ht="15.5">
      <c r="A287" s="107"/>
      <c r="B287" s="107"/>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row>
    <row r="288" spans="1:25" ht="15.5">
      <c r="A288" s="107"/>
      <c r="B288" s="107"/>
      <c r="C288" s="107"/>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row>
    <row r="289" spans="1:25" ht="15.5">
      <c r="A289" s="107"/>
      <c r="B289" s="107"/>
      <c r="C289" s="107"/>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row>
    <row r="290" spans="1:25" ht="15.5">
      <c r="A290" s="107"/>
      <c r="B290" s="107"/>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row>
    <row r="291" spans="1:25" ht="15.5">
      <c r="A291" s="107"/>
      <c r="B291" s="107"/>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row>
    <row r="292" spans="1:25" ht="15.5">
      <c r="A292" s="107"/>
      <c r="B292" s="107"/>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row>
    <row r="293" spans="1:25" ht="15.5">
      <c r="A293" s="107"/>
      <c r="B293" s="107"/>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row>
    <row r="294" spans="1:25" ht="15.5">
      <c r="A294" s="107"/>
      <c r="B294" s="107"/>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row>
    <row r="295" spans="1:25" ht="15.5">
      <c r="A295" s="107"/>
      <c r="B295" s="107"/>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row>
    <row r="296" spans="1:25" ht="15.5">
      <c r="A296" s="107"/>
      <c r="B296" s="107"/>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row>
    <row r="297" spans="1:25" ht="15.5">
      <c r="A297" s="107"/>
      <c r="B297" s="107"/>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row>
    <row r="298" spans="1:25" ht="15.5">
      <c r="A298" s="107"/>
      <c r="B298" s="107"/>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row>
    <row r="299" spans="1:25" ht="15.5">
      <c r="A299" s="107"/>
      <c r="B299" s="107"/>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row>
    <row r="300" spans="1:25" ht="15.5">
      <c r="A300" s="107"/>
      <c r="B300" s="107"/>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row>
    <row r="301" spans="1:25" ht="15.5">
      <c r="A301" s="107"/>
      <c r="B301" s="107"/>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row>
    <row r="302" spans="1:25" ht="15.5">
      <c r="A302" s="107"/>
      <c r="B302" s="107"/>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row>
    <row r="303" spans="1:25" ht="15.5">
      <c r="A303" s="107"/>
      <c r="B303" s="107"/>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row>
    <row r="304" spans="1:25" ht="15.5">
      <c r="A304" s="107"/>
      <c r="B304" s="107"/>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row>
    <row r="305" spans="1:25" ht="15.5">
      <c r="A305" s="107"/>
      <c r="B305" s="107"/>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row>
    <row r="306" spans="1:25" ht="15.5">
      <c r="A306" s="107"/>
      <c r="B306" s="107"/>
      <c r="C306" s="107"/>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row>
    <row r="307" spans="1:25" ht="15.5">
      <c r="A307" s="107"/>
      <c r="B307" s="107"/>
      <c r="C307" s="107"/>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row>
    <row r="308" spans="1:25" ht="15.5">
      <c r="A308" s="107"/>
      <c r="B308" s="107"/>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row>
    <row r="309" spans="1:25" ht="15.5">
      <c r="A309" s="107"/>
      <c r="B309" s="107"/>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row>
    <row r="310" spans="1:25" ht="15.5">
      <c r="A310" s="107"/>
      <c r="B310" s="107"/>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row>
    <row r="311" spans="1:25" ht="15.5">
      <c r="A311" s="107"/>
      <c r="B311" s="107"/>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row>
    <row r="312" spans="1:25" ht="15.5">
      <c r="A312" s="107"/>
      <c r="B312" s="107"/>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row>
    <row r="313" spans="1:25" ht="15.5">
      <c r="A313" s="107"/>
      <c r="B313" s="107"/>
      <c r="C313" s="107"/>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row>
    <row r="314" spans="1:25" ht="15.5">
      <c r="A314" s="107"/>
      <c r="B314" s="107"/>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row>
    <row r="315" spans="1:25" ht="15.5">
      <c r="A315" s="107"/>
      <c r="B315" s="107"/>
      <c r="C315" s="107"/>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row>
    <row r="316" spans="1:25" ht="15.5">
      <c r="A316" s="107"/>
      <c r="B316" s="107"/>
      <c r="C316" s="107"/>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row>
    <row r="317" spans="1:25" ht="15.5">
      <c r="A317" s="107"/>
      <c r="B317" s="107"/>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row>
    <row r="318" spans="1:25" ht="15.5">
      <c r="A318" s="107"/>
      <c r="B318" s="107"/>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row>
    <row r="319" spans="1:25" ht="15.5">
      <c r="A319" s="107"/>
      <c r="B319" s="107"/>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row>
    <row r="320" spans="1:25" ht="15.5">
      <c r="A320" s="107"/>
      <c r="B320" s="107"/>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row>
    <row r="321" spans="1:25" ht="15.5">
      <c r="A321" s="107"/>
      <c r="B321" s="107"/>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row>
    <row r="322" spans="1:25" ht="15.5">
      <c r="A322" s="107"/>
      <c r="B322" s="107"/>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row>
    <row r="323" spans="1:25" ht="15.5">
      <c r="A323" s="107"/>
      <c r="B323" s="107"/>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row>
    <row r="324" spans="1:25" ht="15.5">
      <c r="A324" s="107"/>
      <c r="B324" s="107"/>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row>
    <row r="325" spans="1:25" ht="15.5">
      <c r="A325" s="107"/>
      <c r="B325" s="107"/>
      <c r="C325" s="107"/>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row>
    <row r="326" spans="1:25" ht="15.5">
      <c r="A326" s="107"/>
      <c r="B326" s="107"/>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row>
    <row r="327" spans="1:25" ht="15.5">
      <c r="A327" s="107"/>
      <c r="B327" s="107"/>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row>
    <row r="328" spans="1:25" ht="15.5">
      <c r="A328" s="107"/>
      <c r="B328" s="107"/>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row>
    <row r="329" spans="1:25" ht="15.5">
      <c r="A329" s="107"/>
      <c r="B329" s="107"/>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row>
    <row r="330" spans="1:25" ht="15.5">
      <c r="A330" s="107"/>
      <c r="B330" s="107"/>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row>
    <row r="331" spans="1:25" ht="15.5">
      <c r="A331" s="107"/>
      <c r="B331" s="107"/>
      <c r="C331" s="107"/>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row>
    <row r="332" spans="1:25" ht="15.5">
      <c r="A332" s="107"/>
      <c r="B332" s="107"/>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row>
    <row r="333" spans="1:25" ht="15.5">
      <c r="A333" s="107"/>
      <c r="B333" s="107"/>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row>
    <row r="334" spans="1:25" ht="15.5">
      <c r="A334" s="107"/>
      <c r="B334" s="107"/>
      <c r="C334" s="107"/>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row>
    <row r="335" spans="1:25" ht="15.5">
      <c r="A335" s="107"/>
      <c r="B335" s="107"/>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row>
    <row r="336" spans="1:25" ht="15.5">
      <c r="A336" s="107"/>
      <c r="B336" s="107"/>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row>
    <row r="337" spans="1:25" ht="15.5">
      <c r="A337" s="107"/>
      <c r="B337" s="107"/>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row>
    <row r="338" spans="1:25" ht="15.5">
      <c r="A338" s="107"/>
      <c r="B338" s="107"/>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row>
    <row r="339" spans="1:25" ht="15.5">
      <c r="A339" s="107"/>
      <c r="B339" s="107"/>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row>
    <row r="340" spans="1:25" ht="15.5">
      <c r="A340" s="107"/>
      <c r="B340" s="107"/>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row>
    <row r="341" spans="1:25" ht="15.5">
      <c r="A341" s="107"/>
      <c r="B341" s="107"/>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row>
    <row r="342" spans="1:25" ht="15.5">
      <c r="A342" s="107"/>
      <c r="B342" s="107"/>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row>
    <row r="343" spans="1:25" ht="15.5">
      <c r="A343" s="107"/>
      <c r="B343" s="107"/>
      <c r="C343" s="107"/>
      <c r="D343" s="107"/>
      <c r="E343" s="107"/>
      <c r="F343" s="107"/>
      <c r="G343" s="107"/>
      <c r="H343" s="107"/>
      <c r="I343" s="107"/>
      <c r="J343" s="107"/>
      <c r="K343" s="107"/>
      <c r="L343" s="107"/>
      <c r="M343" s="107"/>
      <c r="N343" s="107"/>
      <c r="O343" s="107"/>
      <c r="P343" s="107"/>
      <c r="Q343" s="107"/>
      <c r="R343" s="107"/>
      <c r="S343" s="107"/>
      <c r="T343" s="107"/>
      <c r="U343" s="107"/>
      <c r="V343" s="107"/>
      <c r="W343" s="107"/>
      <c r="X343" s="107"/>
      <c r="Y343" s="107"/>
    </row>
    <row r="344" spans="1:25" ht="15.5">
      <c r="A344" s="107"/>
      <c r="B344" s="107"/>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row>
    <row r="345" spans="1:25" ht="15.5">
      <c r="A345" s="107"/>
      <c r="B345" s="107"/>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row>
    <row r="346" spans="1:25" ht="15.5">
      <c r="A346" s="107"/>
      <c r="B346" s="107"/>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row>
    <row r="347" spans="1:25" ht="15.5">
      <c r="A347" s="107"/>
      <c r="B347" s="107"/>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row>
    <row r="348" spans="1:25" ht="15.5">
      <c r="A348" s="107"/>
      <c r="B348" s="107"/>
      <c r="C348" s="107"/>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row>
    <row r="349" spans="1:25" ht="15.5">
      <c r="A349" s="107"/>
      <c r="B349" s="107"/>
      <c r="C349" s="107"/>
      <c r="D349" s="107"/>
      <c r="E349" s="107"/>
      <c r="F349" s="107"/>
      <c r="G349" s="107"/>
      <c r="H349" s="107"/>
      <c r="I349" s="107"/>
      <c r="J349" s="107"/>
      <c r="K349" s="107"/>
      <c r="L349" s="107"/>
      <c r="M349" s="107"/>
      <c r="N349" s="107"/>
      <c r="O349" s="107"/>
      <c r="P349" s="107"/>
      <c r="Q349" s="107"/>
      <c r="R349" s="107"/>
      <c r="S349" s="107"/>
      <c r="T349" s="107"/>
      <c r="U349" s="107"/>
      <c r="V349" s="107"/>
      <c r="W349" s="107"/>
      <c r="X349" s="107"/>
      <c r="Y349" s="107"/>
    </row>
    <row r="350" spans="1:25" ht="15.5">
      <c r="A350" s="107"/>
      <c r="B350" s="107"/>
      <c r="C350" s="107"/>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row>
    <row r="351" spans="1:25" ht="15.5">
      <c r="A351" s="107"/>
      <c r="B351" s="107"/>
      <c r="C351" s="107"/>
      <c r="D351" s="107"/>
      <c r="E351" s="107"/>
      <c r="F351" s="107"/>
      <c r="G351" s="107"/>
      <c r="H351" s="107"/>
      <c r="I351" s="107"/>
      <c r="J351" s="107"/>
      <c r="K351" s="107"/>
      <c r="L351" s="107"/>
      <c r="M351" s="107"/>
      <c r="N351" s="107"/>
      <c r="O351" s="107"/>
      <c r="P351" s="107"/>
      <c r="Q351" s="107"/>
      <c r="R351" s="107"/>
      <c r="S351" s="107"/>
      <c r="T351" s="107"/>
      <c r="U351" s="107"/>
      <c r="V351" s="107"/>
      <c r="W351" s="107"/>
      <c r="X351" s="107"/>
      <c r="Y351" s="107"/>
    </row>
    <row r="352" spans="1:25" ht="15.5">
      <c r="A352" s="107"/>
      <c r="B352" s="107"/>
      <c r="C352" s="107"/>
      <c r="D352" s="107"/>
      <c r="E352" s="107"/>
      <c r="F352" s="107"/>
      <c r="G352" s="107"/>
      <c r="H352" s="107"/>
      <c r="I352" s="107"/>
      <c r="J352" s="107"/>
      <c r="K352" s="107"/>
      <c r="L352" s="107"/>
      <c r="M352" s="107"/>
      <c r="N352" s="107"/>
      <c r="O352" s="107"/>
      <c r="P352" s="107"/>
      <c r="Q352" s="107"/>
      <c r="R352" s="107"/>
      <c r="S352" s="107"/>
      <c r="T352" s="107"/>
      <c r="U352" s="107"/>
      <c r="V352" s="107"/>
      <c r="W352" s="107"/>
      <c r="X352" s="107"/>
      <c r="Y352" s="107"/>
    </row>
    <row r="353" spans="1:25" ht="15.5">
      <c r="A353" s="107"/>
      <c r="B353" s="107"/>
      <c r="C353" s="107"/>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row>
    <row r="354" spans="1:25" ht="15.5">
      <c r="A354" s="107"/>
      <c r="B354" s="107"/>
      <c r="C354" s="107"/>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row>
    <row r="355" spans="1:25" ht="15.5">
      <c r="A355" s="107"/>
      <c r="B355" s="107"/>
      <c r="C355" s="107"/>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row>
    <row r="356" spans="1:25" ht="15.5">
      <c r="A356" s="107"/>
      <c r="B356" s="107"/>
      <c r="C356" s="107"/>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row>
    <row r="357" spans="1:25" ht="15.5">
      <c r="A357" s="107"/>
      <c r="B357" s="107"/>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row>
    <row r="358" spans="1:25" ht="15.5">
      <c r="A358" s="107"/>
      <c r="B358" s="107"/>
      <c r="C358" s="107"/>
      <c r="D358" s="107"/>
      <c r="E358" s="107"/>
      <c r="F358" s="107"/>
      <c r="G358" s="107"/>
      <c r="H358" s="107"/>
      <c r="I358" s="107"/>
      <c r="J358" s="107"/>
      <c r="K358" s="107"/>
      <c r="L358" s="107"/>
      <c r="M358" s="107"/>
      <c r="N358" s="107"/>
      <c r="O358" s="107"/>
      <c r="P358" s="107"/>
      <c r="Q358" s="107"/>
      <c r="R358" s="107"/>
      <c r="S358" s="107"/>
      <c r="T358" s="107"/>
      <c r="U358" s="107"/>
      <c r="V358" s="107"/>
      <c r="W358" s="107"/>
      <c r="X358" s="107"/>
      <c r="Y358" s="107"/>
    </row>
    <row r="359" spans="1:25" ht="15.5">
      <c r="A359" s="107"/>
      <c r="B359" s="107"/>
      <c r="C359" s="107"/>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row>
    <row r="360" spans="1:25" ht="15.5">
      <c r="A360" s="107"/>
      <c r="B360" s="107"/>
      <c r="C360" s="107"/>
      <c r="D360" s="107"/>
      <c r="E360" s="107"/>
      <c r="F360" s="107"/>
      <c r="G360" s="107"/>
      <c r="H360" s="107"/>
      <c r="I360" s="107"/>
      <c r="J360" s="107"/>
      <c r="K360" s="107"/>
      <c r="L360" s="107"/>
      <c r="M360" s="107"/>
      <c r="N360" s="107"/>
      <c r="O360" s="107"/>
      <c r="P360" s="107"/>
      <c r="Q360" s="107"/>
      <c r="R360" s="107"/>
      <c r="S360" s="107"/>
      <c r="T360" s="107"/>
      <c r="U360" s="107"/>
      <c r="V360" s="107"/>
      <c r="W360" s="107"/>
      <c r="X360" s="107"/>
      <c r="Y360" s="107"/>
    </row>
    <row r="361" spans="1:25" ht="15.5">
      <c r="A361" s="107"/>
      <c r="B361" s="107"/>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row>
    <row r="362" spans="1:25" ht="15.5">
      <c r="A362" s="107"/>
      <c r="B362" s="107"/>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row>
    <row r="363" spans="1:25" ht="15.5">
      <c r="A363" s="107"/>
      <c r="B363" s="107"/>
      <c r="C363" s="107"/>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row>
    <row r="364" spans="1:25" ht="15.5">
      <c r="A364" s="107"/>
      <c r="B364" s="107"/>
      <c r="C364" s="107"/>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row>
    <row r="365" spans="1:25" ht="15.5">
      <c r="A365" s="107"/>
      <c r="B365" s="107"/>
      <c r="C365" s="107"/>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row>
    <row r="366" spans="1:25" ht="15.5">
      <c r="A366" s="107"/>
      <c r="B366" s="107"/>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row>
    <row r="367" spans="1:25" ht="15.5">
      <c r="A367" s="107"/>
      <c r="B367" s="107"/>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row>
    <row r="368" spans="1:25" ht="15.5">
      <c r="A368" s="107"/>
      <c r="B368" s="107"/>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row>
    <row r="369" spans="1:25" ht="15.5">
      <c r="A369" s="107"/>
      <c r="B369" s="107"/>
      <c r="C369" s="107"/>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row>
    <row r="370" spans="1:25" ht="15.5">
      <c r="A370" s="107"/>
      <c r="B370" s="107"/>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row>
    <row r="371" spans="1:25" ht="15.5">
      <c r="A371" s="107"/>
      <c r="B371" s="107"/>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row>
    <row r="372" spans="1:25" ht="15.5">
      <c r="A372" s="107"/>
      <c r="B372" s="107"/>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row>
    <row r="373" spans="1:25" ht="15.5">
      <c r="A373" s="107"/>
      <c r="B373" s="107"/>
      <c r="C373" s="107"/>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row>
    <row r="374" spans="1:25" ht="15.5">
      <c r="A374" s="107"/>
      <c r="B374" s="107"/>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row>
    <row r="375" spans="1:25" ht="15.5">
      <c r="A375" s="107"/>
      <c r="B375" s="107"/>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row>
    <row r="376" spans="1:25" ht="15.5">
      <c r="A376" s="107"/>
      <c r="B376" s="107"/>
      <c r="C376" s="107"/>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row>
    <row r="377" spans="1:25" ht="15.5">
      <c r="A377" s="107"/>
      <c r="B377" s="107"/>
      <c r="C377" s="107"/>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row>
    <row r="378" spans="1:25" ht="15.5">
      <c r="A378" s="107"/>
      <c r="B378" s="107"/>
      <c r="C378" s="107"/>
      <c r="D378" s="107"/>
      <c r="E378" s="107"/>
      <c r="F378" s="107"/>
      <c r="G378" s="107"/>
      <c r="H378" s="107"/>
      <c r="I378" s="107"/>
      <c r="J378" s="107"/>
      <c r="K378" s="107"/>
      <c r="L378" s="107"/>
      <c r="M378" s="107"/>
      <c r="N378" s="107"/>
      <c r="O378" s="107"/>
      <c r="P378" s="107"/>
      <c r="Q378" s="107"/>
      <c r="R378" s="107"/>
      <c r="S378" s="107"/>
      <c r="T378" s="107"/>
      <c r="U378" s="107"/>
      <c r="V378" s="107"/>
      <c r="W378" s="107"/>
      <c r="X378" s="107"/>
      <c r="Y378" s="107"/>
    </row>
    <row r="379" spans="1:25" ht="15.5">
      <c r="A379" s="107"/>
      <c r="B379" s="107"/>
      <c r="C379" s="107"/>
      <c r="D379" s="107"/>
      <c r="E379" s="107"/>
      <c r="F379" s="107"/>
      <c r="G379" s="107"/>
      <c r="H379" s="107"/>
      <c r="I379" s="107"/>
      <c r="J379" s="107"/>
      <c r="K379" s="107"/>
      <c r="L379" s="107"/>
      <c r="M379" s="107"/>
      <c r="N379" s="107"/>
      <c r="O379" s="107"/>
      <c r="P379" s="107"/>
      <c r="Q379" s="107"/>
      <c r="R379" s="107"/>
      <c r="S379" s="107"/>
      <c r="T379" s="107"/>
      <c r="U379" s="107"/>
      <c r="V379" s="107"/>
      <c r="W379" s="107"/>
      <c r="X379" s="107"/>
      <c r="Y379" s="107"/>
    </row>
    <row r="380" spans="1:25" ht="15.5">
      <c r="A380" s="107"/>
      <c r="B380" s="107"/>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row>
    <row r="381" spans="1:25" ht="15.5">
      <c r="A381" s="107"/>
      <c r="B381" s="107"/>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row>
    <row r="382" spans="1:25" ht="15.5">
      <c r="A382" s="107"/>
      <c r="B382" s="107"/>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row>
    <row r="383" spans="1:25" ht="15.5">
      <c r="A383" s="107"/>
      <c r="B383" s="107"/>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row>
    <row r="384" spans="1:25" ht="15.5">
      <c r="A384" s="107"/>
      <c r="B384" s="107"/>
      <c r="C384" s="107"/>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row>
    <row r="385" spans="1:25" ht="15.5">
      <c r="A385" s="107"/>
      <c r="B385" s="107"/>
      <c r="C385" s="107"/>
      <c r="D385" s="107"/>
      <c r="E385" s="107"/>
      <c r="F385" s="107"/>
      <c r="G385" s="107"/>
      <c r="H385" s="107"/>
      <c r="I385" s="107"/>
      <c r="J385" s="107"/>
      <c r="K385" s="107"/>
      <c r="L385" s="107"/>
      <c r="M385" s="107"/>
      <c r="N385" s="107"/>
      <c r="O385" s="107"/>
      <c r="P385" s="107"/>
      <c r="Q385" s="107"/>
      <c r="R385" s="107"/>
      <c r="S385" s="107"/>
      <c r="T385" s="107"/>
      <c r="U385" s="107"/>
      <c r="V385" s="107"/>
      <c r="W385" s="107"/>
      <c r="X385" s="107"/>
      <c r="Y385" s="107"/>
    </row>
    <row r="386" spans="1:25" ht="15.5">
      <c r="A386" s="107"/>
      <c r="B386" s="107"/>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row>
    <row r="387" spans="1:25" ht="15.5">
      <c r="A387" s="107"/>
      <c r="B387" s="107"/>
      <c r="C387" s="107"/>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row>
    <row r="388" spans="1:25" ht="15.5">
      <c r="A388" s="107"/>
      <c r="B388" s="107"/>
      <c r="C388" s="107"/>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row>
    <row r="389" spans="1:25" ht="15.5">
      <c r="A389" s="107"/>
      <c r="B389" s="107"/>
      <c r="C389" s="107"/>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row>
    <row r="390" spans="1:25" ht="15.5">
      <c r="A390" s="107"/>
      <c r="B390" s="107"/>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row>
    <row r="391" spans="1:25" ht="15.5">
      <c r="A391" s="107"/>
      <c r="B391" s="107"/>
      <c r="C391" s="107"/>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row>
    <row r="392" spans="1:25" ht="15.5">
      <c r="A392" s="107"/>
      <c r="B392" s="107"/>
      <c r="C392" s="107"/>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row>
    <row r="393" spans="1:25" ht="15.5">
      <c r="A393" s="107"/>
      <c r="B393" s="107"/>
      <c r="C393" s="107"/>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row>
    <row r="394" spans="1:25" ht="15.5">
      <c r="A394" s="107"/>
      <c r="B394" s="107"/>
      <c r="C394" s="107"/>
      <c r="D394" s="107"/>
      <c r="E394" s="107"/>
      <c r="F394" s="107"/>
      <c r="G394" s="107"/>
      <c r="H394" s="107"/>
      <c r="I394" s="107"/>
      <c r="J394" s="107"/>
      <c r="K394" s="107"/>
      <c r="L394" s="107"/>
      <c r="M394" s="107"/>
      <c r="N394" s="107"/>
      <c r="O394" s="107"/>
      <c r="P394" s="107"/>
      <c r="Q394" s="107"/>
      <c r="R394" s="107"/>
      <c r="S394" s="107"/>
      <c r="T394" s="107"/>
      <c r="U394" s="107"/>
      <c r="V394" s="107"/>
      <c r="W394" s="107"/>
      <c r="X394" s="107"/>
      <c r="Y394" s="107"/>
    </row>
    <row r="395" spans="1:25" ht="15.5">
      <c r="A395" s="107"/>
      <c r="B395" s="107"/>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row>
    <row r="396" spans="1:25" ht="15.5">
      <c r="A396" s="107"/>
      <c r="B396" s="107"/>
      <c r="C396" s="107"/>
      <c r="D396" s="107"/>
      <c r="E396" s="107"/>
      <c r="F396" s="107"/>
      <c r="G396" s="107"/>
      <c r="H396" s="107"/>
      <c r="I396" s="107"/>
      <c r="J396" s="107"/>
      <c r="K396" s="107"/>
      <c r="L396" s="107"/>
      <c r="M396" s="107"/>
      <c r="N396" s="107"/>
      <c r="O396" s="107"/>
      <c r="P396" s="107"/>
      <c r="Q396" s="107"/>
      <c r="R396" s="107"/>
      <c r="S396" s="107"/>
      <c r="T396" s="107"/>
      <c r="U396" s="107"/>
      <c r="V396" s="107"/>
      <c r="W396" s="107"/>
      <c r="X396" s="107"/>
      <c r="Y396" s="107"/>
    </row>
    <row r="397" spans="1:25" ht="15.5">
      <c r="A397" s="107"/>
      <c r="B397" s="107"/>
      <c r="C397" s="107"/>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row>
    <row r="398" spans="1:25" ht="15.5">
      <c r="A398" s="107"/>
      <c r="B398" s="107"/>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row>
    <row r="399" spans="1:25" ht="15.5">
      <c r="A399" s="107"/>
      <c r="B399" s="107"/>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row>
    <row r="400" spans="1:25" ht="15.5">
      <c r="A400" s="107"/>
      <c r="B400" s="107"/>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row>
    <row r="401" spans="1:25" ht="15.5">
      <c r="A401" s="107"/>
      <c r="B401" s="107"/>
      <c r="C401" s="107"/>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row>
    <row r="402" spans="1:25" ht="15.5">
      <c r="A402" s="107"/>
      <c r="B402" s="107"/>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row>
    <row r="403" spans="1:25" ht="15.5">
      <c r="A403" s="107"/>
      <c r="B403" s="107"/>
      <c r="C403" s="107"/>
      <c r="D403" s="107"/>
      <c r="E403" s="107"/>
      <c r="F403" s="107"/>
      <c r="G403" s="107"/>
      <c r="H403" s="107"/>
      <c r="I403" s="107"/>
      <c r="J403" s="107"/>
      <c r="K403" s="107"/>
      <c r="L403" s="107"/>
      <c r="M403" s="107"/>
      <c r="N403" s="107"/>
      <c r="O403" s="107"/>
      <c r="P403" s="107"/>
      <c r="Q403" s="107"/>
      <c r="R403" s="107"/>
      <c r="S403" s="107"/>
      <c r="T403" s="107"/>
      <c r="U403" s="107"/>
      <c r="V403" s="107"/>
      <c r="W403" s="107"/>
      <c r="X403" s="107"/>
      <c r="Y403" s="107"/>
    </row>
    <row r="404" spans="1:25" ht="15.5">
      <c r="A404" s="107"/>
      <c r="B404" s="107"/>
      <c r="C404" s="107"/>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row>
    <row r="405" spans="1:25" ht="15.5">
      <c r="A405" s="107"/>
      <c r="B405" s="107"/>
      <c r="C405" s="107"/>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row>
    <row r="406" spans="1:25" ht="15.5">
      <c r="A406" s="107"/>
      <c r="B406" s="107"/>
      <c r="C406" s="107"/>
      <c r="D406" s="107"/>
      <c r="E406" s="107"/>
      <c r="F406" s="107"/>
      <c r="G406" s="107"/>
      <c r="H406" s="107"/>
      <c r="I406" s="107"/>
      <c r="J406" s="107"/>
      <c r="K406" s="107"/>
      <c r="L406" s="107"/>
      <c r="M406" s="107"/>
      <c r="N406" s="107"/>
      <c r="O406" s="107"/>
      <c r="P406" s="107"/>
      <c r="Q406" s="107"/>
      <c r="R406" s="107"/>
      <c r="S406" s="107"/>
      <c r="T406" s="107"/>
      <c r="U406" s="107"/>
      <c r="V406" s="107"/>
      <c r="W406" s="107"/>
      <c r="X406" s="107"/>
      <c r="Y406" s="107"/>
    </row>
    <row r="407" spans="1:25" ht="15.5">
      <c r="A407" s="107"/>
      <c r="B407" s="107"/>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row>
    <row r="408" spans="1:25" ht="15.5">
      <c r="A408" s="107"/>
      <c r="B408" s="107"/>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row>
    <row r="409" spans="1:25" ht="15.5">
      <c r="A409" s="107"/>
      <c r="B409" s="107"/>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row>
    <row r="410" spans="1:25" ht="15.5">
      <c r="A410" s="107"/>
      <c r="B410" s="107"/>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row>
    <row r="411" spans="1:25" ht="15.5">
      <c r="A411" s="107"/>
      <c r="B411" s="107"/>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row>
    <row r="412" spans="1:25" ht="15.5">
      <c r="A412" s="107"/>
      <c r="B412" s="107"/>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row>
    <row r="413" spans="1:25" ht="15.5">
      <c r="A413" s="107"/>
      <c r="B413" s="107"/>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row>
    <row r="414" spans="1:25" ht="15.5">
      <c r="A414" s="107"/>
      <c r="B414" s="107"/>
      <c r="C414" s="107"/>
      <c r="D414" s="107"/>
      <c r="E414" s="107"/>
      <c r="F414" s="107"/>
      <c r="G414" s="107"/>
      <c r="H414" s="107"/>
      <c r="I414" s="107"/>
      <c r="J414" s="107"/>
      <c r="K414" s="107"/>
      <c r="L414" s="107"/>
      <c r="M414" s="107"/>
      <c r="N414" s="107"/>
      <c r="O414" s="107"/>
      <c r="P414" s="107"/>
      <c r="Q414" s="107"/>
      <c r="R414" s="107"/>
      <c r="S414" s="107"/>
      <c r="T414" s="107"/>
      <c r="U414" s="107"/>
      <c r="V414" s="107"/>
      <c r="W414" s="107"/>
      <c r="X414" s="107"/>
      <c r="Y414" s="107"/>
    </row>
    <row r="415" spans="1:25" ht="15.5">
      <c r="A415" s="107"/>
      <c r="B415" s="107"/>
      <c r="C415" s="107"/>
      <c r="D415" s="107"/>
      <c r="E415" s="107"/>
      <c r="F415" s="107"/>
      <c r="G415" s="107"/>
      <c r="H415" s="107"/>
      <c r="I415" s="107"/>
      <c r="J415" s="107"/>
      <c r="K415" s="107"/>
      <c r="L415" s="107"/>
      <c r="M415" s="107"/>
      <c r="N415" s="107"/>
      <c r="O415" s="107"/>
      <c r="P415" s="107"/>
      <c r="Q415" s="107"/>
      <c r="R415" s="107"/>
      <c r="S415" s="107"/>
      <c r="T415" s="107"/>
      <c r="U415" s="107"/>
      <c r="V415" s="107"/>
      <c r="W415" s="107"/>
      <c r="X415" s="107"/>
      <c r="Y415" s="107"/>
    </row>
    <row r="416" spans="1:25" ht="15.5">
      <c r="A416" s="107"/>
      <c r="B416" s="107"/>
      <c r="C416" s="107"/>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row>
    <row r="417" spans="1:25" ht="15.5">
      <c r="A417" s="107"/>
      <c r="B417" s="107"/>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row>
    <row r="418" spans="1:25" ht="15.5">
      <c r="A418" s="107"/>
      <c r="B418" s="107"/>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row>
    <row r="419" spans="1:25" ht="15.5">
      <c r="A419" s="107"/>
      <c r="B419" s="107"/>
      <c r="C419" s="107"/>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row>
    <row r="420" spans="1:25" ht="15.5">
      <c r="A420" s="107"/>
      <c r="B420" s="107"/>
      <c r="C420" s="107"/>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row>
    <row r="421" spans="1:25" ht="15.5">
      <c r="A421" s="107"/>
      <c r="B421" s="107"/>
      <c r="C421" s="107"/>
      <c r="D421" s="107"/>
      <c r="E421" s="107"/>
      <c r="F421" s="107"/>
      <c r="G421" s="107"/>
      <c r="H421" s="107"/>
      <c r="I421" s="107"/>
      <c r="J421" s="107"/>
      <c r="K421" s="107"/>
      <c r="L421" s="107"/>
      <c r="M421" s="107"/>
      <c r="N421" s="107"/>
      <c r="O421" s="107"/>
      <c r="P421" s="107"/>
      <c r="Q421" s="107"/>
      <c r="R421" s="107"/>
      <c r="S421" s="107"/>
      <c r="T421" s="107"/>
      <c r="U421" s="107"/>
      <c r="V421" s="107"/>
      <c r="W421" s="107"/>
      <c r="X421" s="107"/>
      <c r="Y421" s="107"/>
    </row>
    <row r="422" spans="1:25" ht="15.5">
      <c r="A422" s="107"/>
      <c r="B422" s="107"/>
      <c r="C422" s="107"/>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row>
    <row r="423" spans="1:25" ht="15.5">
      <c r="A423" s="107"/>
      <c r="B423" s="107"/>
      <c r="C423" s="107"/>
      <c r="D423" s="107"/>
      <c r="E423" s="107"/>
      <c r="F423" s="107"/>
      <c r="G423" s="107"/>
      <c r="H423" s="107"/>
      <c r="I423" s="107"/>
      <c r="J423" s="107"/>
      <c r="K423" s="107"/>
      <c r="L423" s="107"/>
      <c r="M423" s="107"/>
      <c r="N423" s="107"/>
      <c r="O423" s="107"/>
      <c r="P423" s="107"/>
      <c r="Q423" s="107"/>
      <c r="R423" s="107"/>
      <c r="S423" s="107"/>
      <c r="T423" s="107"/>
      <c r="U423" s="107"/>
      <c r="V423" s="107"/>
      <c r="W423" s="107"/>
      <c r="X423" s="107"/>
      <c r="Y423" s="107"/>
    </row>
    <row r="424" spans="1:25" ht="15.5">
      <c r="A424" s="107"/>
      <c r="B424" s="107"/>
      <c r="C424" s="107"/>
      <c r="D424" s="107"/>
      <c r="E424" s="107"/>
      <c r="F424" s="107"/>
      <c r="G424" s="107"/>
      <c r="H424" s="107"/>
      <c r="I424" s="107"/>
      <c r="J424" s="107"/>
      <c r="K424" s="107"/>
      <c r="L424" s="107"/>
      <c r="M424" s="107"/>
      <c r="N424" s="107"/>
      <c r="O424" s="107"/>
      <c r="P424" s="107"/>
      <c r="Q424" s="107"/>
      <c r="R424" s="107"/>
      <c r="S424" s="107"/>
      <c r="T424" s="107"/>
      <c r="U424" s="107"/>
      <c r="V424" s="107"/>
      <c r="W424" s="107"/>
      <c r="X424" s="107"/>
      <c r="Y424" s="107"/>
    </row>
    <row r="425" spans="1:25" ht="15.5">
      <c r="A425" s="107"/>
      <c r="B425" s="107"/>
      <c r="C425" s="107"/>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row>
    <row r="426" spans="1:25" ht="15.5">
      <c r="A426" s="107"/>
      <c r="B426" s="107"/>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row>
    <row r="427" spans="1:25" ht="15.5">
      <c r="A427" s="107"/>
      <c r="B427" s="107"/>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row>
    <row r="428" spans="1:25" ht="15.5">
      <c r="A428" s="107"/>
      <c r="B428" s="107"/>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row>
    <row r="429" spans="1:25" ht="15.5">
      <c r="A429" s="107"/>
      <c r="B429" s="107"/>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row>
    <row r="430" spans="1:25" ht="15.5">
      <c r="A430" s="107"/>
      <c r="B430" s="107"/>
      <c r="C430" s="107"/>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row>
    <row r="431" spans="1:25" ht="15.5">
      <c r="A431" s="107"/>
      <c r="B431" s="107"/>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row>
    <row r="432" spans="1:25" ht="15.5">
      <c r="A432" s="107"/>
      <c r="B432" s="107"/>
      <c r="C432" s="107"/>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row>
    <row r="433" spans="1:25" ht="15.5">
      <c r="A433" s="107"/>
      <c r="B433" s="107"/>
      <c r="C433" s="107"/>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row>
    <row r="434" spans="1:25" ht="15.5">
      <c r="A434" s="107"/>
      <c r="B434" s="107"/>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row>
    <row r="435" spans="1:25" ht="15.5">
      <c r="A435" s="107"/>
      <c r="B435" s="107"/>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row>
    <row r="436" spans="1:25" ht="15.5">
      <c r="A436" s="107"/>
      <c r="B436" s="107"/>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row>
    <row r="437" spans="1:25" ht="15.5">
      <c r="A437" s="107"/>
      <c r="B437" s="107"/>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row>
    <row r="438" spans="1:25" ht="15.5">
      <c r="A438" s="107"/>
      <c r="B438" s="107"/>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row>
    <row r="439" spans="1:25" ht="15.5">
      <c r="A439" s="107"/>
      <c r="B439" s="107"/>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row>
    <row r="440" spans="1:25" ht="15.5">
      <c r="A440" s="107"/>
      <c r="B440" s="107"/>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row>
    <row r="441" spans="1:25" ht="15.5">
      <c r="A441" s="107"/>
      <c r="B441" s="107"/>
      <c r="C441" s="107"/>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row>
    <row r="442" spans="1:25" ht="15.5">
      <c r="A442" s="107"/>
      <c r="B442" s="107"/>
      <c r="C442" s="107"/>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row>
    <row r="443" spans="1:25" ht="15.5">
      <c r="A443" s="107"/>
      <c r="B443" s="107"/>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row>
    <row r="444" spans="1:25" ht="15.5">
      <c r="A444" s="107"/>
      <c r="B444" s="107"/>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row>
    <row r="445" spans="1:25" ht="15.5">
      <c r="A445" s="107"/>
      <c r="B445" s="107"/>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row>
    <row r="446" spans="1:25" ht="15.5">
      <c r="A446" s="107"/>
      <c r="B446" s="107"/>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row>
    <row r="447" spans="1:25" ht="15.5">
      <c r="A447" s="107"/>
      <c r="B447" s="107"/>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row>
    <row r="448" spans="1:25" ht="15.5">
      <c r="A448" s="107"/>
      <c r="B448" s="107"/>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row>
    <row r="449" spans="1:25" ht="15.5">
      <c r="A449" s="107"/>
      <c r="B449" s="107"/>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row>
    <row r="450" spans="1:25" ht="15.5">
      <c r="A450" s="107"/>
      <c r="B450" s="107"/>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row>
    <row r="451" spans="1:25" ht="15.5">
      <c r="A451" s="107"/>
      <c r="B451" s="107"/>
      <c r="C451" s="107"/>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row>
    <row r="452" spans="1:25" ht="15.5">
      <c r="A452" s="107"/>
      <c r="B452" s="107"/>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row>
    <row r="453" spans="1:25" ht="15.5">
      <c r="A453" s="107"/>
      <c r="B453" s="107"/>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row>
    <row r="454" spans="1:25" ht="15.5">
      <c r="A454" s="107"/>
      <c r="B454" s="107"/>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row>
    <row r="455" spans="1:25" ht="15.5">
      <c r="A455" s="107"/>
      <c r="B455" s="107"/>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row>
    <row r="456" spans="1:25" ht="15.5">
      <c r="A456" s="107"/>
      <c r="B456" s="107"/>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row>
    <row r="457" spans="1:25" ht="15.5">
      <c r="A457" s="107"/>
      <c r="B457" s="107"/>
      <c r="C457" s="107"/>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row>
    <row r="458" spans="1:25" ht="15.5">
      <c r="A458" s="107"/>
      <c r="B458" s="107"/>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row>
    <row r="459" spans="1:25" ht="15.5">
      <c r="A459" s="107"/>
      <c r="B459" s="107"/>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row>
    <row r="460" spans="1:25" ht="15.5">
      <c r="A460" s="107"/>
      <c r="B460" s="107"/>
      <c r="C460" s="107"/>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row>
    <row r="461" spans="1:25" ht="15.5">
      <c r="A461" s="107"/>
      <c r="B461" s="107"/>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row>
    <row r="462" spans="1:25" ht="15.5">
      <c r="A462" s="107"/>
      <c r="B462" s="107"/>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row>
    <row r="463" spans="1:25" ht="15.5">
      <c r="A463" s="107"/>
      <c r="B463" s="107"/>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row>
    <row r="464" spans="1:25" ht="15.5">
      <c r="A464" s="107"/>
      <c r="B464" s="107"/>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row>
    <row r="465" spans="1:25" ht="15.5">
      <c r="A465" s="107"/>
      <c r="B465" s="107"/>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row>
    <row r="466" spans="1:25" ht="15.5">
      <c r="A466" s="107"/>
      <c r="B466" s="107"/>
      <c r="C466" s="107"/>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row>
    <row r="467" spans="1:25" ht="15.5">
      <c r="A467" s="107"/>
      <c r="B467" s="107"/>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row>
    <row r="468" spans="1:25" ht="15.5">
      <c r="A468" s="107"/>
      <c r="B468" s="107"/>
      <c r="C468" s="107"/>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row>
    <row r="469" spans="1:25" ht="15.5">
      <c r="A469" s="107"/>
      <c r="B469" s="107"/>
      <c r="C469" s="107"/>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row>
    <row r="470" spans="1:25" ht="15.5">
      <c r="A470" s="107"/>
      <c r="B470" s="107"/>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row>
    <row r="471" spans="1:25" ht="15.5">
      <c r="A471" s="107"/>
      <c r="B471" s="107"/>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row>
    <row r="472" spans="1:25" ht="15.5">
      <c r="A472" s="107"/>
      <c r="B472" s="107"/>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row>
    <row r="473" spans="1:25" ht="15.5">
      <c r="A473" s="107"/>
      <c r="B473" s="107"/>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row>
    <row r="474" spans="1:25" ht="15.5">
      <c r="A474" s="107"/>
      <c r="B474" s="107"/>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row>
    <row r="475" spans="1:25" ht="15.5">
      <c r="A475" s="107"/>
      <c r="B475" s="107"/>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row>
    <row r="476" spans="1:25" ht="15.5">
      <c r="A476" s="107"/>
      <c r="B476" s="107"/>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row>
    <row r="477" spans="1:25" ht="15.5">
      <c r="A477" s="107"/>
      <c r="B477" s="107"/>
      <c r="C477" s="107"/>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row>
    <row r="478" spans="1:25" ht="15.5">
      <c r="A478" s="107"/>
      <c r="B478" s="107"/>
      <c r="C478" s="107"/>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row>
    <row r="479" spans="1:25" ht="15.5">
      <c r="A479" s="107"/>
      <c r="B479" s="107"/>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row>
    <row r="480" spans="1:25" ht="15.5">
      <c r="A480" s="107"/>
      <c r="B480" s="107"/>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row>
    <row r="481" spans="1:25" ht="15.5">
      <c r="A481" s="107"/>
      <c r="B481" s="107"/>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row>
    <row r="482" spans="1:25" ht="15.5">
      <c r="A482" s="107"/>
      <c r="B482" s="107"/>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row>
    <row r="483" spans="1:25" ht="15.5">
      <c r="A483" s="107"/>
      <c r="B483" s="107"/>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row>
    <row r="484" spans="1:25" ht="15.5">
      <c r="A484" s="107"/>
      <c r="B484" s="107"/>
      <c r="C484" s="107"/>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row>
    <row r="485" spans="1:25" ht="15.5">
      <c r="A485" s="107"/>
      <c r="B485" s="107"/>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row>
    <row r="486" spans="1:25" ht="15.5">
      <c r="A486" s="107"/>
      <c r="B486" s="107"/>
      <c r="C486" s="107"/>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row>
    <row r="487" spans="1:25" ht="15.5">
      <c r="A487" s="107"/>
      <c r="B487" s="107"/>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row>
    <row r="488" spans="1:25" ht="15.5">
      <c r="A488" s="107"/>
      <c r="B488" s="107"/>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row>
    <row r="489" spans="1:25" ht="15.5">
      <c r="A489" s="107"/>
      <c r="B489" s="107"/>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row>
    <row r="490" spans="1:25" ht="15.5">
      <c r="A490" s="107"/>
      <c r="B490" s="107"/>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row>
    <row r="491" spans="1:25" ht="15.5">
      <c r="A491" s="107"/>
      <c r="B491" s="107"/>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row>
    <row r="492" spans="1:25" ht="15.5">
      <c r="A492" s="107"/>
      <c r="B492" s="107"/>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row>
    <row r="493" spans="1:25" ht="15.5">
      <c r="A493" s="107"/>
      <c r="B493" s="107"/>
      <c r="C493" s="107"/>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row>
    <row r="494" spans="1:25" ht="15.5">
      <c r="A494" s="107"/>
      <c r="B494" s="107"/>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row>
    <row r="495" spans="1:25" ht="15.5">
      <c r="A495" s="107"/>
      <c r="B495" s="107"/>
      <c r="C495" s="107"/>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row>
    <row r="496" spans="1:25" ht="15.5">
      <c r="A496" s="107"/>
      <c r="B496" s="107"/>
      <c r="C496" s="107"/>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row>
    <row r="497" spans="1:25" ht="15.5">
      <c r="A497" s="107"/>
      <c r="B497" s="107"/>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row>
    <row r="498" spans="1:25" ht="15.5">
      <c r="A498" s="107"/>
      <c r="B498" s="107"/>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row>
    <row r="499" spans="1:25" ht="15.5">
      <c r="A499" s="107"/>
      <c r="B499" s="107"/>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row>
    <row r="500" spans="1:25" ht="15.5">
      <c r="A500" s="107"/>
      <c r="B500" s="107"/>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row>
    <row r="501" spans="1:25" ht="15.5">
      <c r="A501" s="107"/>
      <c r="B501" s="107"/>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row>
    <row r="502" spans="1:25" ht="15.5">
      <c r="A502" s="107"/>
      <c r="B502" s="107"/>
      <c r="C502" s="107"/>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row>
    <row r="503" spans="1:25" ht="15.5">
      <c r="A503" s="107"/>
      <c r="B503" s="107"/>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row>
    <row r="504" spans="1:25" ht="15.5">
      <c r="A504" s="107"/>
      <c r="B504" s="107"/>
      <c r="C504" s="107"/>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row>
    <row r="505" spans="1:25" ht="15.5">
      <c r="A505" s="107"/>
      <c r="B505" s="107"/>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row>
    <row r="506" spans="1:25" ht="15.5">
      <c r="A506" s="107"/>
      <c r="B506" s="107"/>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row>
    <row r="507" spans="1:25" ht="15.5">
      <c r="A507" s="107"/>
      <c r="B507" s="107"/>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row>
    <row r="508" spans="1:25" ht="15.5">
      <c r="A508" s="107"/>
      <c r="B508" s="107"/>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row>
    <row r="509" spans="1:25" ht="15.5">
      <c r="A509" s="107"/>
      <c r="B509" s="107"/>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row>
    <row r="510" spans="1:25" ht="15.5">
      <c r="A510" s="107"/>
      <c r="B510" s="107"/>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row>
    <row r="511" spans="1:25" ht="15.5">
      <c r="A511" s="107"/>
      <c r="B511" s="107"/>
      <c r="C511" s="107"/>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row>
    <row r="512" spans="1:25" ht="15.5">
      <c r="A512" s="107"/>
      <c r="B512" s="107"/>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row>
    <row r="513" spans="1:25" ht="15.5">
      <c r="A513" s="107"/>
      <c r="B513" s="107"/>
      <c r="C513" s="107"/>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row>
    <row r="514" spans="1:25" ht="15.5">
      <c r="A514" s="107"/>
      <c r="B514" s="107"/>
      <c r="C514" s="107"/>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row>
    <row r="515" spans="1:25" ht="15.5">
      <c r="A515" s="107"/>
      <c r="B515" s="107"/>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row>
    <row r="516" spans="1:25" ht="15.5">
      <c r="A516" s="107"/>
      <c r="B516" s="107"/>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row>
    <row r="517" spans="1:25" ht="15.5">
      <c r="A517" s="107"/>
      <c r="B517" s="107"/>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row>
    <row r="518" spans="1:25" ht="15.5">
      <c r="A518" s="107"/>
      <c r="B518" s="107"/>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row>
    <row r="519" spans="1:25" ht="15.5">
      <c r="A519" s="107"/>
      <c r="B519" s="107"/>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row>
    <row r="520" spans="1:25" ht="15.5">
      <c r="A520" s="107"/>
      <c r="B520" s="107"/>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row>
    <row r="521" spans="1:25" ht="15.5">
      <c r="A521" s="107"/>
      <c r="B521" s="107"/>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row>
    <row r="522" spans="1:25" ht="15.5">
      <c r="A522" s="107"/>
      <c r="B522" s="107"/>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row>
    <row r="523" spans="1:25" ht="15.5">
      <c r="A523" s="107"/>
      <c r="B523" s="107"/>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row>
    <row r="524" spans="1:25" ht="15.5">
      <c r="A524" s="107"/>
      <c r="B524" s="107"/>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row>
    <row r="525" spans="1:25" ht="15.5">
      <c r="A525" s="107"/>
      <c r="B525" s="107"/>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row>
    <row r="526" spans="1:25" ht="15.5">
      <c r="A526" s="107"/>
      <c r="B526" s="107"/>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row>
    <row r="527" spans="1:25" ht="15.5">
      <c r="A527" s="107"/>
      <c r="B527" s="107"/>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row>
    <row r="528" spans="1:25" ht="15.5">
      <c r="A528" s="107"/>
      <c r="B528" s="107"/>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row>
    <row r="529" spans="1:25" ht="15.5">
      <c r="A529" s="107"/>
      <c r="B529" s="107"/>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row>
    <row r="530" spans="1:25" ht="15.5">
      <c r="A530" s="107"/>
      <c r="B530" s="107"/>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row>
    <row r="531" spans="1:25" ht="15.5">
      <c r="A531" s="107"/>
      <c r="B531" s="107"/>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row>
    <row r="532" spans="1:25" ht="15.5">
      <c r="A532" s="107"/>
      <c r="B532" s="107"/>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row>
    <row r="533" spans="1:25" ht="15.5">
      <c r="A533" s="107"/>
      <c r="B533" s="107"/>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row>
    <row r="534" spans="1:25" ht="15.5">
      <c r="A534" s="107"/>
      <c r="B534" s="107"/>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row>
    <row r="535" spans="1:25" ht="15.5">
      <c r="A535" s="107"/>
      <c r="B535" s="107"/>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row>
    <row r="536" spans="1:25" ht="15.5">
      <c r="A536" s="107"/>
      <c r="B536" s="107"/>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row>
    <row r="537" spans="1:25" ht="15.5">
      <c r="A537" s="107"/>
      <c r="B537" s="107"/>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row>
    <row r="538" spans="1:25" ht="15.5">
      <c r="A538" s="107"/>
      <c r="B538" s="107"/>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row>
    <row r="539" spans="1:25" ht="15.5">
      <c r="A539" s="107"/>
      <c r="B539" s="107"/>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row>
    <row r="540" spans="1:25" ht="15.5">
      <c r="A540" s="107"/>
      <c r="B540" s="107"/>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row>
    <row r="541" spans="1:25" ht="15.5">
      <c r="A541" s="107"/>
      <c r="B541" s="107"/>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row>
    <row r="542" spans="1:25" ht="15.5">
      <c r="A542" s="107"/>
      <c r="B542" s="107"/>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row>
    <row r="543" spans="1:25" ht="15.5">
      <c r="A543" s="107"/>
      <c r="B543" s="107"/>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row>
    <row r="544" spans="1:25" ht="15.5">
      <c r="A544" s="107"/>
      <c r="B544" s="107"/>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row>
    <row r="545" spans="1:25" ht="15.5">
      <c r="A545" s="107"/>
      <c r="B545" s="107"/>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row>
    <row r="546" spans="1:25" ht="15.5">
      <c r="A546" s="107"/>
      <c r="B546" s="107"/>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row>
    <row r="547" spans="1:25" ht="15.5">
      <c r="A547" s="107"/>
      <c r="B547" s="107"/>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row>
    <row r="548" spans="1:25" ht="15.5">
      <c r="A548" s="107"/>
      <c r="B548" s="107"/>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row>
    <row r="549" spans="1:25" ht="15.5">
      <c r="A549" s="107"/>
      <c r="B549" s="107"/>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row>
    <row r="550" spans="1:25" ht="15.5">
      <c r="A550" s="107"/>
      <c r="B550" s="107"/>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row>
    <row r="551" spans="1:25" ht="15.5">
      <c r="A551" s="107"/>
      <c r="B551" s="107"/>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row>
    <row r="552" spans="1:25" ht="15.5">
      <c r="A552" s="107"/>
      <c r="B552" s="107"/>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row>
    <row r="553" spans="1:25" ht="15.5">
      <c r="A553" s="107"/>
      <c r="B553" s="107"/>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row>
    <row r="554" spans="1:25" ht="15.5">
      <c r="A554" s="107"/>
      <c r="B554" s="107"/>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row>
    <row r="555" spans="1:25" ht="15.5">
      <c r="A555" s="107"/>
      <c r="B555" s="107"/>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row>
    <row r="556" spans="1:25" ht="15.5">
      <c r="A556" s="107"/>
      <c r="B556" s="107"/>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row>
    <row r="557" spans="1:25" ht="15.5">
      <c r="A557" s="107"/>
      <c r="B557" s="107"/>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row>
    <row r="558" spans="1:25" ht="15.5">
      <c r="A558" s="107"/>
      <c r="B558" s="107"/>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row>
    <row r="559" spans="1:25" ht="15.5">
      <c r="A559" s="107"/>
      <c r="B559" s="107"/>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row>
    <row r="560" spans="1:25" ht="15.5">
      <c r="A560" s="107"/>
      <c r="B560" s="107"/>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row>
    <row r="561" spans="1:25" ht="15.5">
      <c r="A561" s="107"/>
      <c r="B561" s="107"/>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row>
    <row r="562" spans="1:25" ht="15.5">
      <c r="A562" s="107"/>
      <c r="B562" s="107"/>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row>
    <row r="563" spans="1:25" ht="15.5">
      <c r="A563" s="107"/>
      <c r="B563" s="107"/>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row>
    <row r="564" spans="1:25" ht="15.5">
      <c r="A564" s="107"/>
      <c r="B564" s="107"/>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row>
    <row r="565" spans="1:25" ht="15.5">
      <c r="A565" s="107"/>
      <c r="B565" s="107"/>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row>
    <row r="566" spans="1:25" ht="15.5">
      <c r="A566" s="107"/>
      <c r="B566" s="107"/>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row>
    <row r="567" spans="1:25" ht="15.5">
      <c r="A567" s="107"/>
      <c r="B567" s="107"/>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row>
    <row r="568" spans="1:25" ht="15.5">
      <c r="A568" s="107"/>
      <c r="B568" s="107"/>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row>
    <row r="569" spans="1:25" ht="15.5">
      <c r="A569" s="107"/>
      <c r="B569" s="107"/>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row>
    <row r="570" spans="1:25" ht="15.5">
      <c r="A570" s="107"/>
      <c r="B570" s="107"/>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row>
    <row r="571" spans="1:25" ht="15.5">
      <c r="A571" s="107"/>
      <c r="B571" s="107"/>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row>
    <row r="572" spans="1:25" ht="15.5">
      <c r="A572" s="107"/>
      <c r="B572" s="107"/>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row>
    <row r="573" spans="1:25" ht="15.5">
      <c r="A573" s="107"/>
      <c r="B573" s="107"/>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row>
    <row r="574" spans="1:25" ht="15.5">
      <c r="A574" s="107"/>
      <c r="B574" s="107"/>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row>
    <row r="575" spans="1:25" ht="15.5">
      <c r="A575" s="107"/>
      <c r="B575" s="107"/>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row>
    <row r="576" spans="1:25" ht="15.5">
      <c r="A576" s="107"/>
      <c r="B576" s="107"/>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row>
    <row r="577" spans="1:25" ht="15.5">
      <c r="A577" s="107"/>
      <c r="B577" s="107"/>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row>
    <row r="578" spans="1:25" ht="15.5">
      <c r="A578" s="107"/>
      <c r="B578" s="107"/>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row>
    <row r="579" spans="1:25" ht="15.5">
      <c r="A579" s="107"/>
      <c r="B579" s="107"/>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row>
    <row r="580" spans="1:25" ht="15.5">
      <c r="A580" s="107"/>
      <c r="B580" s="107"/>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row>
    <row r="581" spans="1:25" ht="15.5">
      <c r="A581" s="107"/>
      <c r="B581" s="107"/>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row>
    <row r="582" spans="1:25" ht="15.5">
      <c r="A582" s="107"/>
      <c r="B582" s="107"/>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row>
    <row r="583" spans="1:25" ht="15.5">
      <c r="A583" s="107"/>
      <c r="B583" s="107"/>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row>
    <row r="584" spans="1:25" ht="15.5">
      <c r="A584" s="107"/>
      <c r="B584" s="107"/>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row>
    <row r="585" spans="1:25" ht="15.5">
      <c r="A585" s="107"/>
      <c r="B585" s="107"/>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row>
    <row r="586" spans="1:25" ht="15.5">
      <c r="A586" s="107"/>
      <c r="B586" s="107"/>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row>
    <row r="587" spans="1:25" ht="15.5">
      <c r="A587" s="107"/>
      <c r="B587" s="107"/>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row>
    <row r="588" spans="1:25" ht="15.5">
      <c r="A588" s="107"/>
      <c r="B588" s="107"/>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row>
    <row r="589" spans="1:25" ht="15.5">
      <c r="A589" s="107"/>
      <c r="B589" s="107"/>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row>
    <row r="590" spans="1:25" ht="15.5">
      <c r="A590" s="107"/>
      <c r="B590" s="107"/>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row>
    <row r="591" spans="1:25" ht="15.5">
      <c r="A591" s="107"/>
      <c r="B591" s="107"/>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row>
    <row r="592" spans="1:25" ht="15.5">
      <c r="A592" s="107"/>
      <c r="B592" s="107"/>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row>
    <row r="593" spans="1:25" ht="15.5">
      <c r="A593" s="107"/>
      <c r="B593" s="107"/>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row>
    <row r="594" spans="1:25" ht="15.5">
      <c r="A594" s="107"/>
      <c r="B594" s="107"/>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row>
    <row r="595" spans="1:25" ht="15.5">
      <c r="A595" s="107"/>
      <c r="B595" s="107"/>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row>
    <row r="596" spans="1:25" ht="15.5">
      <c r="A596" s="107"/>
      <c r="B596" s="107"/>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row>
    <row r="597" spans="1:25" ht="15.5">
      <c r="A597" s="107"/>
      <c r="B597" s="107"/>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row>
    <row r="598" spans="1:25" ht="15.5">
      <c r="A598" s="107"/>
      <c r="B598" s="107"/>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row>
    <row r="599" spans="1:25" ht="15.5">
      <c r="A599" s="107"/>
      <c r="B599" s="107"/>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row>
    <row r="600" spans="1:25" ht="15.5">
      <c r="A600" s="107"/>
      <c r="B600" s="107"/>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row>
    <row r="601" spans="1:25" ht="15.5">
      <c r="A601" s="107"/>
      <c r="B601" s="107"/>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row>
    <row r="602" spans="1:25" ht="15.5">
      <c r="A602" s="107"/>
      <c r="B602" s="107"/>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row>
    <row r="603" spans="1:25" ht="15.5">
      <c r="A603" s="107"/>
      <c r="B603" s="107"/>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row>
    <row r="604" spans="1:25" ht="15.5">
      <c r="A604" s="107"/>
      <c r="B604" s="107"/>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row>
    <row r="605" spans="1:25" ht="15.5">
      <c r="A605" s="107"/>
      <c r="B605" s="107"/>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row>
    <row r="606" spans="1:25" ht="15.5">
      <c r="A606" s="107"/>
      <c r="B606" s="107"/>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row>
    <row r="607" spans="1:25" ht="15.5">
      <c r="A607" s="107"/>
      <c r="B607" s="107"/>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row>
    <row r="608" spans="1:25" ht="15.5">
      <c r="A608" s="107"/>
      <c r="B608" s="107"/>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row>
    <row r="609" spans="1:25" ht="15.5">
      <c r="A609" s="107"/>
      <c r="B609" s="107"/>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row>
    <row r="610" spans="1:25" ht="15.5">
      <c r="A610" s="107"/>
      <c r="B610" s="107"/>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row>
    <row r="611" spans="1:25" ht="15.5">
      <c r="A611" s="107"/>
      <c r="B611" s="107"/>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row>
    <row r="612" spans="1:25" ht="15.5">
      <c r="A612" s="107"/>
      <c r="B612" s="107"/>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row>
    <row r="613" spans="1:25" ht="15.5">
      <c r="A613" s="107"/>
      <c r="B613" s="107"/>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row>
    <row r="614" spans="1:25" ht="15.5">
      <c r="A614" s="107"/>
      <c r="B614" s="107"/>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row>
    <row r="615" spans="1:25" ht="15.5">
      <c r="A615" s="107"/>
      <c r="B615" s="107"/>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row>
    <row r="616" spans="1:25" ht="15.5">
      <c r="A616" s="107"/>
      <c r="B616" s="107"/>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row>
    <row r="617" spans="1:25" ht="15.5">
      <c r="A617" s="107"/>
      <c r="B617" s="107"/>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row>
    <row r="618" spans="1:25" ht="15.5">
      <c r="A618" s="107"/>
      <c r="B618" s="107"/>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row>
    <row r="619" spans="1:25" ht="15.5">
      <c r="A619" s="107"/>
      <c r="B619" s="107"/>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row>
    <row r="620" spans="1:25" ht="15.5">
      <c r="A620" s="107"/>
      <c r="B620" s="107"/>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row>
    <row r="621" spans="1:25" ht="15.5">
      <c r="A621" s="107"/>
      <c r="B621" s="107"/>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row>
    <row r="622" spans="1:25" ht="15.5">
      <c r="A622" s="107"/>
      <c r="B622" s="107"/>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row>
    <row r="623" spans="1:25" ht="15.5">
      <c r="A623" s="107"/>
      <c r="B623" s="107"/>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row>
    <row r="624" spans="1:25" ht="15.5">
      <c r="A624" s="107"/>
      <c r="B624" s="107"/>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row>
    <row r="625" spans="1:25" ht="15.5">
      <c r="A625" s="107"/>
      <c r="B625" s="107"/>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row>
    <row r="626" spans="1:25" ht="15.5">
      <c r="A626" s="107"/>
      <c r="B626" s="107"/>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row>
    <row r="627" spans="1:25" ht="15.5">
      <c r="A627" s="107"/>
      <c r="B627" s="107"/>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row>
    <row r="628" spans="1:25" ht="15.5">
      <c r="A628" s="107"/>
      <c r="B628" s="107"/>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row>
    <row r="629" spans="1:25" ht="15.5">
      <c r="A629" s="107"/>
      <c r="B629" s="107"/>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row>
    <row r="630" spans="1:25" ht="15.5">
      <c r="A630" s="107"/>
      <c r="B630" s="107"/>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row>
    <row r="631" spans="1:25" ht="15.5">
      <c r="A631" s="107"/>
      <c r="B631" s="107"/>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row>
    <row r="632" spans="1:25" ht="15.5">
      <c r="A632" s="107"/>
      <c r="B632" s="107"/>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row>
    <row r="633" spans="1:25" ht="15.5">
      <c r="A633" s="107"/>
      <c r="B633" s="107"/>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row>
    <row r="634" spans="1:25" ht="15.5">
      <c r="A634" s="107"/>
      <c r="B634" s="107"/>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row>
    <row r="635" spans="1:25" ht="15.5">
      <c r="A635" s="107"/>
      <c r="B635" s="107"/>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row>
    <row r="636" spans="1:25" ht="15.5">
      <c r="A636" s="107"/>
      <c r="B636" s="107"/>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row>
    <row r="637" spans="1:25" ht="15.5">
      <c r="A637" s="107"/>
      <c r="B637" s="107"/>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row>
    <row r="638" spans="1:25" ht="15.5">
      <c r="A638" s="107"/>
      <c r="B638" s="107"/>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row>
    <row r="639" spans="1:25" ht="15.5">
      <c r="A639" s="107"/>
      <c r="B639" s="107"/>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row>
    <row r="640" spans="1:25" ht="15.5">
      <c r="A640" s="107"/>
      <c r="B640" s="107"/>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row>
    <row r="641" spans="1:25" ht="15.5">
      <c r="A641" s="107"/>
      <c r="B641" s="107"/>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row>
    <row r="642" spans="1:25" ht="15.5">
      <c r="A642" s="107"/>
      <c r="B642" s="107"/>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row>
    <row r="643" spans="1:25" ht="15.5">
      <c r="A643" s="107"/>
      <c r="B643" s="107"/>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row>
    <row r="644" spans="1:25" ht="15.5">
      <c r="A644" s="107"/>
      <c r="B644" s="107"/>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row>
    <row r="645" spans="1:25" ht="15.5">
      <c r="A645" s="107"/>
      <c r="B645" s="107"/>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row>
    <row r="646" spans="1:25" ht="15.5">
      <c r="A646" s="107"/>
      <c r="B646" s="107"/>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row>
    <row r="647" spans="1:25" ht="15.5">
      <c r="A647" s="107"/>
      <c r="B647" s="107"/>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row>
    <row r="648" spans="1:25" ht="15.5">
      <c r="A648" s="107"/>
      <c r="B648" s="107"/>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row>
    <row r="649" spans="1:25" ht="15.5">
      <c r="A649" s="107"/>
      <c r="B649" s="107"/>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row>
    <row r="650" spans="1:25" ht="15.5">
      <c r="A650" s="107"/>
      <c r="B650" s="107"/>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row>
    <row r="651" spans="1:25" ht="15.5">
      <c r="A651" s="107"/>
      <c r="B651" s="107"/>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row>
    <row r="652" spans="1:25" ht="15.5">
      <c r="A652" s="107"/>
      <c r="B652" s="107"/>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row>
    <row r="653" spans="1:25" ht="15.5">
      <c r="A653" s="107"/>
      <c r="B653" s="107"/>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row>
    <row r="654" spans="1:25" ht="15.5">
      <c r="A654" s="107"/>
      <c r="B654" s="107"/>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row>
    <row r="655" spans="1:25" ht="15.5">
      <c r="A655" s="107"/>
      <c r="B655" s="107"/>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row>
    <row r="656" spans="1:25" ht="15.5">
      <c r="A656" s="107"/>
      <c r="B656" s="107"/>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row>
    <row r="657" spans="1:25" ht="15.5">
      <c r="A657" s="107"/>
      <c r="B657" s="107"/>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row>
    <row r="658" spans="1:25" ht="15.5">
      <c r="A658" s="107"/>
      <c r="B658" s="107"/>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row>
    <row r="659" spans="1:25" ht="15.5">
      <c r="A659" s="107"/>
      <c r="B659" s="107"/>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row>
    <row r="660" spans="1:25" ht="15.5">
      <c r="A660" s="107"/>
      <c r="B660" s="107"/>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row>
    <row r="661" spans="1:25" ht="15.5">
      <c r="A661" s="107"/>
      <c r="B661" s="107"/>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row>
    <row r="662" spans="1:25" ht="15.5">
      <c r="A662" s="107"/>
      <c r="B662" s="107"/>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row>
    <row r="663" spans="1:25" ht="15.5">
      <c r="A663" s="107"/>
      <c r="B663" s="107"/>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row>
    <row r="664" spans="1:25" ht="15.5">
      <c r="A664" s="107"/>
      <c r="B664" s="107"/>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row>
    <row r="665" spans="1:25" ht="15.5">
      <c r="A665" s="107"/>
      <c r="B665" s="107"/>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row>
    <row r="666" spans="1:25" ht="15.5">
      <c r="A666" s="107"/>
      <c r="B666" s="107"/>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row>
    <row r="667" spans="1:25" ht="15.5">
      <c r="A667" s="107"/>
      <c r="B667" s="107"/>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row>
    <row r="668" spans="1:25" ht="15.5">
      <c r="A668" s="107"/>
      <c r="B668" s="107"/>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row>
    <row r="669" spans="1:25" ht="15.5">
      <c r="A669" s="107"/>
      <c r="B669" s="107"/>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row>
    <row r="670" spans="1:25" ht="15.5">
      <c r="A670" s="107"/>
      <c r="B670" s="107"/>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row>
    <row r="671" spans="1:25" ht="15.5">
      <c r="A671" s="107"/>
      <c r="B671" s="107"/>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row>
    <row r="672" spans="1:25" ht="15.5">
      <c r="A672" s="107"/>
      <c r="B672" s="107"/>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row>
    <row r="673" spans="1:25" ht="15.5">
      <c r="A673" s="107"/>
      <c r="B673" s="107"/>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row>
    <row r="674" spans="1:25" ht="15.5">
      <c r="A674" s="107"/>
      <c r="B674" s="107"/>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row>
    <row r="675" spans="1:25" ht="15.5">
      <c r="A675" s="107"/>
      <c r="B675" s="107"/>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row>
    <row r="676" spans="1:25" ht="15.5">
      <c r="A676" s="107"/>
      <c r="B676" s="107"/>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row>
    <row r="677" spans="1:25" ht="15.5">
      <c r="A677" s="107"/>
      <c r="B677" s="107"/>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row>
    <row r="678" spans="1:25" ht="15.5">
      <c r="A678" s="107"/>
      <c r="B678" s="107"/>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row>
    <row r="679" spans="1:25" ht="15.5">
      <c r="A679" s="107"/>
      <c r="B679" s="107"/>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row>
    <row r="680" spans="1:25" ht="15.5">
      <c r="A680" s="107"/>
      <c r="B680" s="107"/>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row>
    <row r="681" spans="1:25" ht="15.5">
      <c r="A681" s="107"/>
      <c r="B681" s="107"/>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row>
    <row r="682" spans="1:25" ht="15.5">
      <c r="A682" s="107"/>
      <c r="B682" s="107"/>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row>
    <row r="683" spans="1:25" ht="15.5">
      <c r="A683" s="107"/>
      <c r="B683" s="107"/>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row>
    <row r="684" spans="1:25" ht="15.5">
      <c r="A684" s="107"/>
      <c r="B684" s="107"/>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row>
    <row r="685" spans="1:25" ht="15.5">
      <c r="A685" s="107"/>
      <c r="B685" s="107"/>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row>
    <row r="686" spans="1:25" ht="15.5">
      <c r="A686" s="107"/>
      <c r="B686" s="107"/>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row>
    <row r="687" spans="1:25" ht="15.5">
      <c r="A687" s="107"/>
      <c r="B687" s="107"/>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row>
    <row r="688" spans="1:25" ht="15.5">
      <c r="A688" s="107"/>
      <c r="B688" s="107"/>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row>
    <row r="689" spans="1:25" ht="15.5">
      <c r="A689" s="107"/>
      <c r="B689" s="107"/>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row>
    <row r="690" spans="1:25" ht="15.5">
      <c r="A690" s="107"/>
      <c r="B690" s="107"/>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row>
    <row r="691" spans="1:25" ht="15.5">
      <c r="A691" s="107"/>
      <c r="B691" s="107"/>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row>
    <row r="692" spans="1:25" ht="15.5">
      <c r="A692" s="107"/>
      <c r="B692" s="107"/>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row>
    <row r="693" spans="1:25" ht="15.5">
      <c r="A693" s="107"/>
      <c r="B693" s="107"/>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row>
    <row r="694" spans="1:25" ht="15.5">
      <c r="A694" s="107"/>
      <c r="B694" s="107"/>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row>
    <row r="695" spans="1:25" ht="15.5">
      <c r="A695" s="107"/>
      <c r="B695" s="107"/>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row>
    <row r="696" spans="1:25" ht="15.5">
      <c r="A696" s="107"/>
      <c r="B696" s="107"/>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row>
    <row r="697" spans="1:25" ht="15.5">
      <c r="A697" s="107"/>
      <c r="B697" s="107"/>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row>
    <row r="698" spans="1:25" ht="15.5">
      <c r="A698" s="107"/>
      <c r="B698" s="107"/>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row>
    <row r="699" spans="1:25" ht="15.5">
      <c r="A699" s="107"/>
      <c r="B699" s="107"/>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row>
    <row r="700" spans="1:25" ht="15.5">
      <c r="A700" s="107"/>
      <c r="B700" s="107"/>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row>
    <row r="701" spans="1:25" ht="15.5">
      <c r="A701" s="107"/>
      <c r="B701" s="107"/>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row>
    <row r="702" spans="1:25" ht="15.5">
      <c r="A702" s="107"/>
      <c r="B702" s="107"/>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row>
    <row r="703" spans="1:25" ht="15.5">
      <c r="A703" s="107"/>
      <c r="B703" s="107"/>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row>
    <row r="704" spans="1:25" ht="15.5">
      <c r="A704" s="107"/>
      <c r="B704" s="107"/>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row>
    <row r="705" spans="1:25" ht="15.5">
      <c r="A705" s="107"/>
      <c r="B705" s="107"/>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row>
    <row r="706" spans="1:25" ht="15.5">
      <c r="A706" s="107"/>
      <c r="B706" s="107"/>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row>
    <row r="707" spans="1:25" ht="15.5">
      <c r="A707" s="107"/>
      <c r="B707" s="107"/>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row>
    <row r="708" spans="1:25" ht="15.5">
      <c r="A708" s="107"/>
      <c r="B708" s="107"/>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row>
    <row r="709" spans="1:25" ht="15.5">
      <c r="A709" s="107"/>
      <c r="B709" s="107"/>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row>
    <row r="710" spans="1:25" ht="15.5">
      <c r="A710" s="107"/>
      <c r="B710" s="107"/>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row>
    <row r="711" spans="1:25" ht="15.5">
      <c r="A711" s="107"/>
      <c r="B711" s="107"/>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row>
    <row r="712" spans="1:25" ht="15.5">
      <c r="A712" s="107"/>
      <c r="B712" s="107"/>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row>
    <row r="713" spans="1:25" ht="15.5">
      <c r="A713" s="107"/>
      <c r="B713" s="107"/>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row>
    <row r="714" spans="1:25" ht="15.5">
      <c r="A714" s="107"/>
      <c r="B714" s="107"/>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row>
    <row r="715" spans="1:25" ht="15.5">
      <c r="A715" s="107"/>
      <c r="B715" s="107"/>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row>
    <row r="716" spans="1:25" ht="15.5">
      <c r="A716" s="107"/>
      <c r="B716" s="107"/>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row>
    <row r="717" spans="1:25" ht="15.5">
      <c r="A717" s="107"/>
      <c r="B717" s="107"/>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row>
    <row r="718" spans="1:25" ht="15.5">
      <c r="A718" s="107"/>
      <c r="B718" s="107"/>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row>
    <row r="719" spans="1:25" ht="15.5">
      <c r="A719" s="107"/>
      <c r="B719" s="107"/>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row>
    <row r="720" spans="1:25" ht="15.5">
      <c r="A720" s="107"/>
      <c r="B720" s="107"/>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row>
    <row r="721" spans="1:25" ht="15.5">
      <c r="A721" s="107"/>
      <c r="B721" s="107"/>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row>
    <row r="722" spans="1:25" ht="15.5">
      <c r="A722" s="107"/>
      <c r="B722" s="107"/>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row>
    <row r="723" spans="1:25" ht="15.5">
      <c r="A723" s="107"/>
      <c r="B723" s="107"/>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row>
    <row r="724" spans="1:25" ht="15.5">
      <c r="A724" s="107"/>
      <c r="B724" s="107"/>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row>
    <row r="725" spans="1:25" ht="15.5">
      <c r="A725" s="107"/>
      <c r="B725" s="107"/>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row>
    <row r="726" spans="1:25" ht="15.5">
      <c r="A726" s="107"/>
      <c r="B726" s="107"/>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row>
    <row r="727" spans="1:25" ht="15.5">
      <c r="A727" s="107"/>
      <c r="B727" s="107"/>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row>
    <row r="728" spans="1:25" ht="15.5">
      <c r="A728" s="107"/>
      <c r="B728" s="107"/>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row>
    <row r="729" spans="1:25" ht="15.5">
      <c r="A729" s="107"/>
      <c r="B729" s="107"/>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row>
    <row r="730" spans="1:25" ht="15.5">
      <c r="A730" s="107"/>
      <c r="B730" s="107"/>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row>
    <row r="731" spans="1:25" ht="15.5">
      <c r="A731" s="107"/>
      <c r="B731" s="107"/>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row>
    <row r="732" spans="1:25" ht="15.5">
      <c r="A732" s="107"/>
      <c r="B732" s="107"/>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row>
    <row r="733" spans="1:25" ht="15.5">
      <c r="A733" s="107"/>
      <c r="B733" s="107"/>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row>
    <row r="734" spans="1:25" ht="15.5">
      <c r="A734" s="107"/>
      <c r="B734" s="107"/>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row>
    <row r="735" spans="1:25" ht="15.5">
      <c r="A735" s="107"/>
      <c r="B735" s="107"/>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row>
    <row r="736" spans="1:25" ht="15.5">
      <c r="A736" s="107"/>
      <c r="B736" s="107"/>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row>
    <row r="737" spans="1:25" ht="15.5">
      <c r="A737" s="107"/>
      <c r="B737" s="107"/>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row>
    <row r="738" spans="1:25" ht="15.5">
      <c r="A738" s="107"/>
      <c r="B738" s="107"/>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row>
    <row r="739" spans="1:25" ht="15.5">
      <c r="A739" s="107"/>
      <c r="B739" s="107"/>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row>
    <row r="740" spans="1:25" ht="15.5">
      <c r="A740" s="107"/>
      <c r="B740" s="107"/>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row>
    <row r="741" spans="1:25" ht="15.5">
      <c r="A741" s="107"/>
      <c r="B741" s="107"/>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row>
    <row r="742" spans="1:25" ht="15.5">
      <c r="A742" s="107"/>
      <c r="B742" s="107"/>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row>
    <row r="743" spans="1:25" ht="15.5">
      <c r="A743" s="107"/>
      <c r="B743" s="107"/>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row>
    <row r="744" spans="1:25" ht="15.5">
      <c r="A744" s="107"/>
      <c r="B744" s="107"/>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row>
    <row r="745" spans="1:25" ht="15.5">
      <c r="A745" s="107"/>
      <c r="B745" s="107"/>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row>
    <row r="746" spans="1:25" ht="15.5">
      <c r="A746" s="107"/>
      <c r="B746" s="107"/>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row>
    <row r="747" spans="1:25" ht="15.5">
      <c r="A747" s="107"/>
      <c r="B747" s="107"/>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row>
    <row r="748" spans="1:25" ht="15.5">
      <c r="A748" s="107"/>
      <c r="B748" s="107"/>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row>
    <row r="749" spans="1:25" ht="15.5">
      <c r="A749" s="107"/>
      <c r="B749" s="107"/>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row>
    <row r="750" spans="1:25" ht="15.5">
      <c r="A750" s="107"/>
      <c r="B750" s="107"/>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row>
    <row r="751" spans="1:25" ht="15.5">
      <c r="A751" s="107"/>
      <c r="B751" s="107"/>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row>
    <row r="752" spans="1:25" ht="15.5">
      <c r="A752" s="107"/>
      <c r="B752" s="107"/>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row>
    <row r="753" spans="1:25" ht="15.5">
      <c r="A753" s="107"/>
      <c r="B753" s="107"/>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row>
    <row r="754" spans="1:25" ht="15.5">
      <c r="A754" s="107"/>
      <c r="B754" s="107"/>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row>
    <row r="755" spans="1:25" ht="15.5">
      <c r="A755" s="107"/>
      <c r="B755" s="107"/>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row>
    <row r="756" spans="1:25" ht="15.5">
      <c r="A756" s="107"/>
      <c r="B756" s="107"/>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row>
    <row r="757" spans="1:25" ht="15.5">
      <c r="A757" s="107"/>
      <c r="B757" s="107"/>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row>
    <row r="758" spans="1:25" ht="15.5">
      <c r="A758" s="107"/>
      <c r="B758" s="107"/>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row>
    <row r="759" spans="1:25" ht="15.5">
      <c r="A759" s="107"/>
      <c r="B759" s="107"/>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row>
    <row r="760" spans="1:25" ht="15.5">
      <c r="A760" s="107"/>
      <c r="B760" s="107"/>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row>
    <row r="761" spans="1:25" ht="15.5">
      <c r="A761" s="107"/>
      <c r="B761" s="107"/>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row>
    <row r="762" spans="1:25" ht="15.5">
      <c r="A762" s="107"/>
      <c r="B762" s="107"/>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row>
    <row r="763" spans="1:25" ht="15.5">
      <c r="A763" s="107"/>
      <c r="B763" s="107"/>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row>
    <row r="764" spans="1:25" ht="15.5">
      <c r="A764" s="107"/>
      <c r="B764" s="107"/>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row>
    <row r="765" spans="1:25" ht="15.5">
      <c r="A765" s="107"/>
      <c r="B765" s="107"/>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row>
    <row r="766" spans="1:25" ht="15.5">
      <c r="A766" s="107"/>
      <c r="B766" s="107"/>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row>
    <row r="767" spans="1:25" ht="15.5">
      <c r="A767" s="107"/>
      <c r="B767" s="107"/>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row>
    <row r="768" spans="1:25" ht="15.5">
      <c r="A768" s="107"/>
      <c r="B768" s="107"/>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row>
    <row r="769" spans="1:25" ht="15.5">
      <c r="A769" s="107"/>
      <c r="B769" s="107"/>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row>
    <row r="770" spans="1:25" ht="15.5">
      <c r="A770" s="107"/>
      <c r="B770" s="107"/>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row>
    <row r="771" spans="1:25" ht="15.5">
      <c r="A771" s="107"/>
      <c r="B771" s="107"/>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row>
    <row r="772" spans="1:25" ht="15.5">
      <c r="A772" s="107"/>
      <c r="B772" s="107"/>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row>
    <row r="773" spans="1:25" ht="15.5">
      <c r="A773" s="107"/>
      <c r="B773" s="107"/>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row>
    <row r="774" spans="1:25" ht="15.5">
      <c r="A774" s="107"/>
      <c r="B774" s="107"/>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row>
    <row r="775" spans="1:25" ht="15.5">
      <c r="A775" s="107"/>
      <c r="B775" s="107"/>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row>
    <row r="776" spans="1:25" ht="15.5">
      <c r="A776" s="107"/>
      <c r="B776" s="107"/>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row>
    <row r="777" spans="1:25" ht="15.5">
      <c r="A777" s="107"/>
      <c r="B777" s="107"/>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row>
    <row r="778" spans="1:25" ht="15.5">
      <c r="A778" s="107"/>
      <c r="B778" s="107"/>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row>
    <row r="779" spans="1:25" ht="15.5">
      <c r="A779" s="107"/>
      <c r="B779" s="107"/>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row>
    <row r="780" spans="1:25" ht="15.5">
      <c r="A780" s="107"/>
      <c r="B780" s="107"/>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row>
    <row r="781" spans="1:25" ht="15.5">
      <c r="A781" s="107"/>
      <c r="B781" s="107"/>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row>
    <row r="782" spans="1:25" ht="15.5">
      <c r="A782" s="107"/>
      <c r="B782" s="107"/>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row>
    <row r="783" spans="1:25" ht="15.5">
      <c r="A783" s="107"/>
      <c r="B783" s="107"/>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row>
    <row r="784" spans="1:25" ht="15.5">
      <c r="A784" s="107"/>
      <c r="B784" s="107"/>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row>
    <row r="785" spans="1:25" ht="15.5">
      <c r="A785" s="107"/>
      <c r="B785" s="107"/>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row>
    <row r="786" spans="1:25" ht="15.5">
      <c r="A786" s="107"/>
      <c r="B786" s="107"/>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row>
    <row r="787" spans="1:25" ht="15.5">
      <c r="A787" s="107"/>
      <c r="B787" s="107"/>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row>
    <row r="788" spans="1:25" ht="15.5">
      <c r="A788" s="107"/>
      <c r="B788" s="107"/>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row>
    <row r="789" spans="1:25" ht="15.5">
      <c r="A789" s="107"/>
      <c r="B789" s="107"/>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row>
    <row r="790" spans="1:25" ht="15.5">
      <c r="A790" s="107"/>
      <c r="B790" s="107"/>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row>
    <row r="791" spans="1:25" ht="15.5">
      <c r="A791" s="107"/>
      <c r="B791" s="107"/>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row>
    <row r="792" spans="1:25" ht="15.5">
      <c r="A792" s="107"/>
      <c r="B792" s="107"/>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row>
    <row r="793" spans="1:25" ht="15.5">
      <c r="A793" s="107"/>
      <c r="B793" s="107"/>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row>
    <row r="794" spans="1:25" ht="15.5">
      <c r="A794" s="107"/>
      <c r="B794" s="107"/>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row>
    <row r="795" spans="1:25" ht="15.5">
      <c r="A795" s="107"/>
      <c r="B795" s="107"/>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row>
    <row r="796" spans="1:25" ht="15.5">
      <c r="A796" s="107"/>
      <c r="B796" s="107"/>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row>
    <row r="797" spans="1:25" ht="15.5">
      <c r="A797" s="107"/>
      <c r="B797" s="107"/>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row>
    <row r="798" spans="1:25" ht="15.5">
      <c r="A798" s="107"/>
      <c r="B798" s="107"/>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row>
    <row r="799" spans="1:25" ht="15.5">
      <c r="A799" s="107"/>
      <c r="B799" s="107"/>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row>
    <row r="800" spans="1:25" ht="15.5">
      <c r="A800" s="107"/>
      <c r="B800" s="107"/>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row>
    <row r="801" spans="1:25" ht="15.5">
      <c r="A801" s="107"/>
      <c r="B801" s="107"/>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row>
    <row r="802" spans="1:25" ht="15.5">
      <c r="A802" s="107"/>
      <c r="B802" s="107"/>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row>
    <row r="803" spans="1:25" ht="15.5">
      <c r="A803" s="107"/>
      <c r="B803" s="107"/>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row>
    <row r="804" spans="1:25" ht="15.5">
      <c r="A804" s="107"/>
      <c r="B804" s="107"/>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row>
    <row r="805" spans="1:25" ht="15.5">
      <c r="A805" s="107"/>
      <c r="B805" s="107"/>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row>
    <row r="806" spans="1:25" ht="15.5">
      <c r="A806" s="107"/>
      <c r="B806" s="107"/>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row>
    <row r="807" spans="1:25" ht="15.5">
      <c r="A807" s="107"/>
      <c r="B807" s="107"/>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row>
    <row r="808" spans="1:25" ht="15.5">
      <c r="A808" s="107"/>
      <c r="B808" s="107"/>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row>
    <row r="809" spans="1:25" ht="15.5">
      <c r="A809" s="107"/>
      <c r="B809" s="107"/>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row>
    <row r="810" spans="1:25" ht="15.5">
      <c r="A810" s="107"/>
      <c r="B810" s="107"/>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row>
    <row r="811" spans="1:25" ht="15.5">
      <c r="A811" s="107"/>
      <c r="B811" s="107"/>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row>
    <row r="812" spans="1:25" ht="15.5">
      <c r="A812" s="107"/>
      <c r="B812" s="107"/>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row>
    <row r="813" spans="1:25" ht="15.5">
      <c r="A813" s="107"/>
      <c r="B813" s="107"/>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row>
    <row r="814" spans="1:25" ht="15.5">
      <c r="A814" s="107"/>
      <c r="B814" s="107"/>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row>
    <row r="815" spans="1:25" ht="15.5">
      <c r="A815" s="107"/>
      <c r="B815" s="107"/>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row>
    <row r="816" spans="1:25" ht="15.5">
      <c r="A816" s="107"/>
      <c r="B816" s="107"/>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row>
    <row r="817" spans="1:25" ht="15.5">
      <c r="A817" s="107"/>
      <c r="B817" s="107"/>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row>
    <row r="818" spans="1:25" ht="15.5">
      <c r="A818" s="107"/>
      <c r="B818" s="107"/>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row>
    <row r="819" spans="1:25" ht="15.5">
      <c r="A819" s="107"/>
      <c r="B819" s="107"/>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row>
    <row r="820" spans="1:25" ht="15.5">
      <c r="A820" s="107"/>
      <c r="B820" s="107"/>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row>
    <row r="821" spans="1:25" ht="15.5">
      <c r="A821" s="107"/>
      <c r="B821" s="107"/>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row>
    <row r="822" spans="1:25" ht="15.5">
      <c r="A822" s="107"/>
      <c r="B822" s="107"/>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row>
    <row r="823" spans="1:25" ht="15.5">
      <c r="A823" s="107"/>
      <c r="B823" s="107"/>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row>
    <row r="824" spans="1:25" ht="15.5">
      <c r="A824" s="107"/>
      <c r="B824" s="107"/>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row>
    <row r="825" spans="1:25" ht="15.5">
      <c r="A825" s="107"/>
      <c r="B825" s="107"/>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row>
    <row r="826" spans="1:25" ht="15.5">
      <c r="A826" s="107"/>
      <c r="B826" s="107"/>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row>
    <row r="827" spans="1:25" ht="15.5">
      <c r="A827" s="107"/>
      <c r="B827" s="107"/>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row>
    <row r="828" spans="1:25" ht="15.5">
      <c r="A828" s="107"/>
      <c r="B828" s="107"/>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row>
    <row r="829" spans="1:25" ht="15.5">
      <c r="A829" s="107"/>
      <c r="B829" s="107"/>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row>
    <row r="830" spans="1:25" ht="15.5">
      <c r="A830" s="107"/>
      <c r="B830" s="107"/>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row>
    <row r="831" spans="1:25" ht="15.5">
      <c r="A831" s="107"/>
      <c r="B831" s="107"/>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row>
    <row r="832" spans="1:25" ht="15.5">
      <c r="A832" s="107"/>
      <c r="B832" s="107"/>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row>
    <row r="833" spans="1:25" ht="15.5">
      <c r="A833" s="107"/>
      <c r="B833" s="107"/>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row>
    <row r="834" spans="1:25" ht="15.5">
      <c r="A834" s="107"/>
      <c r="B834" s="107"/>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row>
    <row r="835" spans="1:25" ht="15.5">
      <c r="A835" s="107"/>
      <c r="B835" s="107"/>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row>
    <row r="836" spans="1:25" ht="15.5">
      <c r="A836" s="107"/>
      <c r="B836" s="107"/>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row>
    <row r="837" spans="1:25" ht="15.5">
      <c r="A837" s="107"/>
      <c r="B837" s="107"/>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row>
    <row r="838" spans="1:25" ht="15.5">
      <c r="A838" s="107"/>
      <c r="B838" s="107"/>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row>
    <row r="839" spans="1:25" ht="15.5">
      <c r="A839" s="107"/>
      <c r="B839" s="107"/>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row>
    <row r="840" spans="1:25" ht="15.5">
      <c r="A840" s="107"/>
      <c r="B840" s="107"/>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row>
    <row r="841" spans="1:25" ht="15.5">
      <c r="A841" s="107"/>
      <c r="B841" s="107"/>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row>
    <row r="842" spans="1:25" ht="15.5">
      <c r="A842" s="107"/>
      <c r="B842" s="107"/>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row>
    <row r="843" spans="1:25" ht="15.5">
      <c r="A843" s="107"/>
      <c r="B843" s="107"/>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row>
    <row r="844" spans="1:25" ht="15.5">
      <c r="A844" s="107"/>
      <c r="B844" s="107"/>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row>
    <row r="845" spans="1:25" ht="15.5">
      <c r="A845" s="107"/>
      <c r="B845" s="107"/>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row>
    <row r="846" spans="1:25" ht="15.5">
      <c r="A846" s="107"/>
      <c r="B846" s="107"/>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row>
    <row r="847" spans="1:25" ht="15.5">
      <c r="A847" s="107"/>
      <c r="B847" s="107"/>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row>
    <row r="848" spans="1:25" ht="15.5">
      <c r="A848" s="107"/>
      <c r="B848" s="107"/>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row>
    <row r="849" spans="1:25" ht="15.5">
      <c r="A849" s="107"/>
      <c r="B849" s="107"/>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row>
    <row r="850" spans="1:25" ht="15.5">
      <c r="A850" s="107"/>
      <c r="B850" s="107"/>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row>
    <row r="851" spans="1:25" ht="15.5">
      <c r="A851" s="107"/>
      <c r="B851" s="107"/>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row>
    <row r="852" spans="1:25" ht="15.5">
      <c r="A852" s="107"/>
      <c r="B852" s="107"/>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row>
    <row r="853" spans="1:25" ht="15.5">
      <c r="A853" s="107"/>
      <c r="B853" s="107"/>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row>
    <row r="854" spans="1:25" ht="15.5">
      <c r="A854" s="107"/>
      <c r="B854" s="107"/>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row>
    <row r="855" spans="1:25" ht="15.5">
      <c r="A855" s="107"/>
      <c r="B855" s="107"/>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row>
    <row r="856" spans="1:25" ht="15.5">
      <c r="A856" s="107"/>
      <c r="B856" s="107"/>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row>
    <row r="857" spans="1:25" ht="15.5">
      <c r="A857" s="107"/>
      <c r="B857" s="107"/>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row>
    <row r="858" spans="1:25" ht="15.5">
      <c r="A858" s="107"/>
      <c r="B858" s="107"/>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row>
    <row r="859" spans="1:25" ht="15.5">
      <c r="A859" s="107"/>
      <c r="B859" s="107"/>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row>
    <row r="860" spans="1:25" ht="15.5">
      <c r="A860" s="107"/>
      <c r="B860" s="107"/>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row>
    <row r="861" spans="1:25" ht="15.5">
      <c r="A861" s="107"/>
      <c r="B861" s="107"/>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row>
    <row r="862" spans="1:25" ht="15.5">
      <c r="A862" s="107"/>
      <c r="B862" s="107"/>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row>
    <row r="863" spans="1:25" ht="15.5">
      <c r="A863" s="107"/>
      <c r="B863" s="107"/>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row>
    <row r="864" spans="1:25" ht="15.5">
      <c r="A864" s="107"/>
      <c r="B864" s="107"/>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row>
    <row r="865" spans="1:25" ht="15.5">
      <c r="A865" s="107"/>
      <c r="B865" s="107"/>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row>
    <row r="866" spans="1:25" ht="15.5">
      <c r="A866" s="107"/>
      <c r="B866" s="107"/>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row>
    <row r="867" spans="1:25" ht="15.5">
      <c r="A867" s="107"/>
      <c r="B867" s="107"/>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row>
    <row r="868" spans="1:25" ht="15.5">
      <c r="A868" s="107"/>
      <c r="B868" s="107"/>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row>
    <row r="869" spans="1:25" ht="15.5">
      <c r="A869" s="107"/>
      <c r="B869" s="107"/>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row>
    <row r="870" spans="1:25" ht="15.5">
      <c r="A870" s="107"/>
      <c r="B870" s="107"/>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row>
    <row r="871" spans="1:25" ht="15.5">
      <c r="A871" s="107"/>
      <c r="B871" s="107"/>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row>
    <row r="872" spans="1:25" ht="15.5">
      <c r="A872" s="107"/>
      <c r="B872" s="107"/>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row>
    <row r="873" spans="1:25" ht="15.5">
      <c r="A873" s="107"/>
      <c r="B873" s="107"/>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row>
    <row r="874" spans="1:25" ht="15.5">
      <c r="A874" s="107"/>
      <c r="B874" s="107"/>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row>
    <row r="875" spans="1:25" ht="15.5">
      <c r="A875" s="107"/>
      <c r="B875" s="107"/>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row>
    <row r="876" spans="1:25" ht="15.5">
      <c r="A876" s="107"/>
      <c r="B876" s="107"/>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row>
    <row r="877" spans="1:25" ht="15.5">
      <c r="A877" s="107"/>
      <c r="B877" s="107"/>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row>
    <row r="878" spans="1:25" ht="15.5">
      <c r="A878" s="107"/>
      <c r="B878" s="107"/>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row>
    <row r="879" spans="1:25" ht="15.5">
      <c r="A879" s="107"/>
      <c r="B879" s="107"/>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row>
    <row r="880" spans="1:25" ht="15.5">
      <c r="A880" s="107"/>
      <c r="B880" s="107"/>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row>
    <row r="881" spans="1:25" ht="15.5">
      <c r="A881" s="107"/>
      <c r="B881" s="107"/>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row>
    <row r="882" spans="1:25" ht="15.5">
      <c r="A882" s="107"/>
      <c r="B882" s="107"/>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row>
    <row r="883" spans="1:25" ht="15.5">
      <c r="A883" s="107"/>
      <c r="B883" s="107"/>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row>
    <row r="884" spans="1:25" ht="15.5">
      <c r="A884" s="107"/>
      <c r="B884" s="107"/>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row>
    <row r="885" spans="1:25" ht="15.5">
      <c r="A885" s="107"/>
      <c r="B885" s="107"/>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row>
    <row r="886" spans="1:25" ht="15.5">
      <c r="A886" s="107"/>
      <c r="B886" s="107"/>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row>
    <row r="887" spans="1:25" ht="15.5">
      <c r="A887" s="107"/>
      <c r="B887" s="107"/>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row>
    <row r="888" spans="1:25" ht="15.5">
      <c r="A888" s="107"/>
      <c r="B888" s="107"/>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row>
    <row r="889" spans="1:25" ht="15.5">
      <c r="A889" s="107"/>
      <c r="B889" s="107"/>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row>
    <row r="890" spans="1:25" ht="15.5">
      <c r="A890" s="107"/>
      <c r="B890" s="107"/>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row>
    <row r="891" spans="1:25" ht="15.5">
      <c r="A891" s="107"/>
      <c r="B891" s="107"/>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row>
    <row r="892" spans="1:25" ht="15.5">
      <c r="A892" s="107"/>
      <c r="B892" s="107"/>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row>
    <row r="893" spans="1:25" ht="15.5">
      <c r="A893" s="107"/>
      <c r="B893" s="107"/>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row>
    <row r="894" spans="1:25" ht="15.5">
      <c r="A894" s="107"/>
      <c r="B894" s="107"/>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row>
    <row r="895" spans="1:25" ht="15.5">
      <c r="A895" s="107"/>
      <c r="B895" s="107"/>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row>
    <row r="896" spans="1:25" ht="15.5">
      <c r="A896" s="107"/>
      <c r="B896" s="107"/>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row>
    <row r="897" spans="1:25" ht="15.5">
      <c r="A897" s="107"/>
      <c r="B897" s="107"/>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row>
    <row r="898" spans="1:25" ht="15.5">
      <c r="A898" s="107"/>
      <c r="B898" s="107"/>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row>
    <row r="899" spans="1:25" ht="15.5">
      <c r="A899" s="107"/>
      <c r="B899" s="107"/>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row>
    <row r="900" spans="1:25" ht="15.5">
      <c r="A900" s="107"/>
      <c r="B900" s="107"/>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row>
    <row r="901" spans="1:25" ht="15.5">
      <c r="A901" s="107"/>
      <c r="B901" s="107"/>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row>
    <row r="902" spans="1:25" ht="15.5">
      <c r="A902" s="107"/>
      <c r="B902" s="107"/>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row>
    <row r="903" spans="1:25" ht="15.5">
      <c r="A903" s="107"/>
      <c r="B903" s="107"/>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row>
    <row r="904" spans="1:25" ht="15.5">
      <c r="A904" s="107"/>
      <c r="B904" s="107"/>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row>
    <row r="905" spans="1:25" ht="15.5">
      <c r="A905" s="107"/>
      <c r="B905" s="107"/>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row>
    <row r="906" spans="1:25" ht="15.5">
      <c r="A906" s="107"/>
      <c r="B906" s="107"/>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row>
    <row r="907" spans="1:25" ht="15.5">
      <c r="A907" s="107"/>
      <c r="B907" s="107"/>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row>
    <row r="908" spans="1:25" ht="15.5">
      <c r="A908" s="107"/>
      <c r="B908" s="107"/>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row>
    <row r="909" spans="1:25" ht="15.5">
      <c r="A909" s="107"/>
      <c r="B909" s="107"/>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row>
    <row r="910" spans="1:25" ht="15.5">
      <c r="A910" s="107"/>
      <c r="B910" s="107"/>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row>
    <row r="911" spans="1:25" ht="15.5">
      <c r="A911" s="107"/>
      <c r="B911" s="107"/>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row>
    <row r="912" spans="1:25" ht="15.5">
      <c r="A912" s="107"/>
      <c r="B912" s="107"/>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row>
    <row r="913" spans="1:25" ht="15.5">
      <c r="A913" s="107"/>
      <c r="B913" s="107"/>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row>
    <row r="914" spans="1:25" ht="15.5">
      <c r="A914" s="107"/>
      <c r="B914" s="107"/>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row>
    <row r="915" spans="1:25" ht="15.5">
      <c r="A915" s="107"/>
      <c r="B915" s="107"/>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row>
    <row r="916" spans="1:25" ht="15.5">
      <c r="A916" s="107"/>
      <c r="B916" s="107"/>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row>
    <row r="917" spans="1:25" ht="15.5">
      <c r="A917" s="107"/>
      <c r="B917" s="107"/>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row>
    <row r="918" spans="1:25" ht="15.5">
      <c r="A918" s="107"/>
      <c r="B918" s="107"/>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row>
    <row r="919" spans="1:25" ht="15.5">
      <c r="A919" s="107"/>
      <c r="B919" s="107"/>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row>
    <row r="920" spans="1:25" ht="15.5">
      <c r="A920" s="107"/>
      <c r="B920" s="107"/>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row>
    <row r="921" spans="1:25" ht="15.5">
      <c r="A921" s="107"/>
      <c r="B921" s="107"/>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row>
    <row r="922" spans="1:25" ht="15.5">
      <c r="A922" s="107"/>
      <c r="B922" s="107"/>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row>
    <row r="923" spans="1:25" ht="15.5">
      <c r="A923" s="107"/>
      <c r="B923" s="107"/>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row>
    <row r="924" spans="1:25" ht="15.5">
      <c r="A924" s="107"/>
      <c r="B924" s="107"/>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row>
    <row r="925" spans="1:25" ht="15.5">
      <c r="A925" s="107"/>
      <c r="B925" s="107"/>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row>
    <row r="926" spans="1:25" ht="15.5">
      <c r="A926" s="107"/>
      <c r="B926" s="107"/>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row>
    <row r="927" spans="1:25" ht="15.5">
      <c r="A927" s="107"/>
      <c r="B927" s="107"/>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row>
    <row r="928" spans="1:25" ht="15.5">
      <c r="A928" s="107"/>
      <c r="B928" s="107"/>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row>
    <row r="929" spans="1:25" ht="15.5">
      <c r="A929" s="107"/>
      <c r="B929" s="107"/>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row>
    <row r="930" spans="1:25" ht="15.5">
      <c r="A930" s="107"/>
      <c r="B930" s="107"/>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row>
    <row r="931" spans="1:25" ht="15.5">
      <c r="A931" s="107"/>
      <c r="B931" s="107"/>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row>
    <row r="932" spans="1:25" ht="15.5">
      <c r="A932" s="107"/>
      <c r="B932" s="107"/>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row>
    <row r="933" spans="1:25" ht="15.5">
      <c r="A933" s="107"/>
      <c r="B933" s="107"/>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row>
    <row r="934" spans="1:25" ht="15.5">
      <c r="A934" s="107"/>
      <c r="B934" s="107"/>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row>
    <row r="935" spans="1:25" ht="15.5">
      <c r="A935" s="107"/>
      <c r="B935" s="107"/>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row>
    <row r="936" spans="1:25" ht="15.5">
      <c r="A936" s="107"/>
      <c r="B936" s="107"/>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row>
    <row r="937" spans="1:25" ht="15.5">
      <c r="A937" s="107"/>
      <c r="B937" s="107"/>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row>
    <row r="938" spans="1:25" ht="15.5">
      <c r="A938" s="107"/>
      <c r="B938" s="107"/>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row>
    <row r="939" spans="1:25" ht="15.5">
      <c r="A939" s="107"/>
      <c r="B939" s="107"/>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row>
    <row r="940" spans="1:25" ht="15.5">
      <c r="A940" s="107"/>
      <c r="B940" s="107"/>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row>
    <row r="941" spans="1:25" ht="15.5">
      <c r="A941" s="107"/>
      <c r="B941" s="107"/>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row>
    <row r="942" spans="1:25" ht="15.5">
      <c r="A942" s="107"/>
      <c r="B942" s="107"/>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row>
    <row r="943" spans="1:25" ht="15.5">
      <c r="A943" s="107"/>
      <c r="B943" s="107"/>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row>
    <row r="944" spans="1:25" ht="15.5">
      <c r="A944" s="107"/>
      <c r="B944" s="107"/>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row>
    <row r="945" spans="1:25" ht="15.5">
      <c r="A945" s="107"/>
      <c r="B945" s="107"/>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row>
    <row r="946" spans="1:25" ht="15.5">
      <c r="A946" s="107"/>
      <c r="B946" s="107"/>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row>
    <row r="947" spans="1:25" ht="15.5">
      <c r="A947" s="107"/>
      <c r="B947" s="107"/>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row>
    <row r="948" spans="1:25" ht="15.5">
      <c r="A948" s="107"/>
      <c r="B948" s="107"/>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row>
    <row r="949" spans="1:25" ht="15.5">
      <c r="A949" s="107"/>
      <c r="B949" s="107"/>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row>
    <row r="950" spans="1:25" ht="15.5">
      <c r="A950" s="107"/>
      <c r="B950" s="107"/>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row>
    <row r="951" spans="1:25" ht="15.5">
      <c r="A951" s="107"/>
      <c r="B951" s="107"/>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row>
    <row r="952" spans="1:25" ht="15.5">
      <c r="A952" s="107"/>
      <c r="B952" s="107"/>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row>
    <row r="953" spans="1:25" ht="15.5">
      <c r="A953" s="107"/>
      <c r="B953" s="107"/>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row>
    <row r="954" spans="1:25" ht="15.5">
      <c r="A954" s="107"/>
      <c r="B954" s="107"/>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row>
    <row r="955" spans="1:25" ht="15.5">
      <c r="A955" s="107"/>
      <c r="B955" s="107"/>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row>
    <row r="956" spans="1:25" ht="15.5">
      <c r="A956" s="107"/>
      <c r="B956" s="107"/>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row>
    <row r="957" spans="1:25" ht="15.5">
      <c r="A957" s="107"/>
      <c r="B957" s="107"/>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row>
    <row r="958" spans="1:25" ht="15.5">
      <c r="A958" s="107"/>
      <c r="B958" s="107"/>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row>
    <row r="959" spans="1:25" ht="15.5">
      <c r="A959" s="107"/>
      <c r="B959" s="107"/>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row>
    <row r="960" spans="1:25" ht="15.5">
      <c r="A960" s="107"/>
      <c r="B960" s="107"/>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row>
    <row r="961" spans="1:25" ht="15.5">
      <c r="A961" s="107"/>
      <c r="B961" s="107"/>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row>
    <row r="962" spans="1:25" ht="15.5">
      <c r="A962" s="107"/>
      <c r="B962" s="107"/>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row>
    <row r="963" spans="1:25" ht="15.5">
      <c r="A963" s="107"/>
      <c r="B963" s="107"/>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row>
    <row r="964" spans="1:25" ht="15.5">
      <c r="A964" s="107"/>
      <c r="B964" s="107"/>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row>
    <row r="965" spans="1:25" ht="15.5">
      <c r="A965" s="107"/>
      <c r="B965" s="107"/>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row>
    <row r="966" spans="1:25" ht="15.5">
      <c r="A966" s="107"/>
      <c r="B966" s="107"/>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row>
    <row r="967" spans="1:25" ht="15.5">
      <c r="A967" s="107"/>
      <c r="B967" s="107"/>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row>
    <row r="968" spans="1:25" ht="15.5">
      <c r="A968" s="107"/>
      <c r="B968" s="107"/>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row>
    <row r="969" spans="1:25" ht="15.5">
      <c r="A969" s="107"/>
      <c r="B969" s="107"/>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row>
    <row r="970" spans="1:25" ht="15.5">
      <c r="A970" s="107"/>
      <c r="B970" s="107"/>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row>
    <row r="971" spans="1:25" ht="15.5">
      <c r="A971" s="107"/>
      <c r="B971" s="107"/>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row>
    <row r="972" spans="1:25" ht="15.5">
      <c r="A972" s="107"/>
      <c r="B972" s="107"/>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row>
    <row r="973" spans="1:25" ht="15.5">
      <c r="A973" s="107"/>
      <c r="B973" s="107"/>
      <c r="C973" s="107"/>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row>
    <row r="974" spans="1:25" ht="15.5">
      <c r="A974" s="107"/>
      <c r="B974" s="107"/>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row>
    <row r="975" spans="1:25" ht="15.5">
      <c r="A975" s="107"/>
      <c r="B975" s="107"/>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row>
    <row r="976" spans="1:25" ht="15.5">
      <c r="A976" s="107"/>
      <c r="B976" s="107"/>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row>
    <row r="977" spans="1:25" ht="15.5">
      <c r="A977" s="107"/>
      <c r="B977" s="107"/>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row>
    <row r="978" spans="1:25" ht="15.5">
      <c r="A978" s="107"/>
      <c r="B978" s="107"/>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row>
    <row r="979" spans="1:25" ht="15.5">
      <c r="A979" s="107"/>
      <c r="B979" s="107"/>
      <c r="C979" s="107"/>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row>
    <row r="980" spans="1:25" ht="15.5">
      <c r="A980" s="107"/>
      <c r="B980" s="107"/>
      <c r="C980" s="107"/>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row>
    <row r="981" spans="1:25" ht="15.5">
      <c r="A981" s="107"/>
      <c r="B981" s="107"/>
      <c r="C981" s="107"/>
      <c r="D981" s="107"/>
      <c r="E981" s="107"/>
      <c r="F981" s="107"/>
      <c r="G981" s="107"/>
      <c r="H981" s="107"/>
      <c r="I981" s="107"/>
      <c r="J981" s="107"/>
      <c r="K981" s="107"/>
      <c r="L981" s="107"/>
      <c r="M981" s="107"/>
      <c r="N981" s="107"/>
      <c r="O981" s="107"/>
      <c r="P981" s="107"/>
      <c r="Q981" s="107"/>
      <c r="R981" s="107"/>
      <c r="S981" s="107"/>
      <c r="T981" s="107"/>
      <c r="U981" s="107"/>
      <c r="V981" s="107"/>
      <c r="W981" s="107"/>
      <c r="X981" s="107"/>
      <c r="Y981" s="107"/>
    </row>
    <row r="982" spans="1:25" ht="15.5">
      <c r="A982" s="107"/>
      <c r="B982" s="107"/>
      <c r="C982" s="107"/>
      <c r="D982" s="107"/>
      <c r="E982" s="107"/>
      <c r="F982" s="107"/>
      <c r="G982" s="107"/>
      <c r="H982" s="107"/>
      <c r="I982" s="107"/>
      <c r="J982" s="107"/>
      <c r="K982" s="107"/>
      <c r="L982" s="107"/>
      <c r="M982" s="107"/>
      <c r="N982" s="107"/>
      <c r="O982" s="107"/>
      <c r="P982" s="107"/>
      <c r="Q982" s="107"/>
      <c r="R982" s="107"/>
      <c r="S982" s="107"/>
      <c r="T982" s="107"/>
      <c r="U982" s="107"/>
      <c r="V982" s="107"/>
      <c r="W982" s="107"/>
      <c r="X982" s="107"/>
      <c r="Y982" s="107"/>
    </row>
    <row r="983" spans="1:25" ht="15.5">
      <c r="A983" s="107"/>
      <c r="B983" s="107"/>
      <c r="C983" s="107"/>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row>
    <row r="984" spans="1:25" ht="15.5">
      <c r="A984" s="107"/>
      <c r="B984" s="107"/>
      <c r="C984" s="107"/>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row>
    <row r="985" spans="1:25" ht="15.5">
      <c r="A985" s="107"/>
      <c r="B985" s="107"/>
      <c r="C985" s="107"/>
      <c r="D985" s="107"/>
      <c r="E985" s="107"/>
      <c r="F985" s="107"/>
      <c r="G985" s="107"/>
      <c r="H985" s="107"/>
      <c r="I985" s="107"/>
      <c r="J985" s="107"/>
      <c r="K985" s="107"/>
      <c r="L985" s="107"/>
      <c r="M985" s="107"/>
      <c r="N985" s="107"/>
      <c r="O985" s="107"/>
      <c r="P985" s="107"/>
      <c r="Q985" s="107"/>
      <c r="R985" s="107"/>
      <c r="S985" s="107"/>
      <c r="T985" s="107"/>
      <c r="U985" s="107"/>
      <c r="V985" s="107"/>
      <c r="W985" s="107"/>
      <c r="X985" s="107"/>
      <c r="Y985" s="107"/>
    </row>
    <row r="986" spans="1:25" ht="15.5">
      <c r="A986" s="107"/>
      <c r="B986" s="107"/>
      <c r="C986" s="107"/>
      <c r="D986" s="107"/>
      <c r="E986" s="107"/>
      <c r="F986" s="107"/>
      <c r="G986" s="107"/>
      <c r="H986" s="107"/>
      <c r="I986" s="107"/>
      <c r="J986" s="107"/>
      <c r="K986" s="107"/>
      <c r="L986" s="107"/>
      <c r="M986" s="107"/>
      <c r="N986" s="107"/>
      <c r="O986" s="107"/>
      <c r="P986" s="107"/>
      <c r="Q986" s="107"/>
      <c r="R986" s="107"/>
      <c r="S986" s="107"/>
      <c r="T986" s="107"/>
      <c r="U986" s="107"/>
      <c r="V986" s="107"/>
      <c r="W986" s="107"/>
      <c r="X986" s="107"/>
      <c r="Y986" s="107"/>
    </row>
    <row r="987" spans="1:25" ht="15.5">
      <c r="A987" s="107"/>
      <c r="B987" s="107"/>
      <c r="C987" s="107"/>
      <c r="D987" s="107"/>
      <c r="E987" s="107"/>
      <c r="F987" s="107"/>
      <c r="G987" s="107"/>
      <c r="H987" s="107"/>
      <c r="I987" s="107"/>
      <c r="J987" s="107"/>
      <c r="K987" s="107"/>
      <c r="L987" s="107"/>
      <c r="M987" s="107"/>
      <c r="N987" s="107"/>
      <c r="O987" s="107"/>
      <c r="P987" s="107"/>
      <c r="Q987" s="107"/>
      <c r="R987" s="107"/>
      <c r="S987" s="107"/>
      <c r="T987" s="107"/>
      <c r="U987" s="107"/>
      <c r="V987" s="107"/>
      <c r="W987" s="107"/>
      <c r="X987" s="107"/>
      <c r="Y987" s="107"/>
    </row>
    <row r="988" spans="1:25" ht="15.5">
      <c r="A988" s="107"/>
      <c r="B988" s="107"/>
      <c r="C988" s="107"/>
      <c r="D988" s="107"/>
      <c r="E988" s="107"/>
      <c r="F988" s="107"/>
      <c r="G988" s="107"/>
      <c r="H988" s="107"/>
      <c r="I988" s="107"/>
      <c r="J988" s="107"/>
      <c r="K988" s="107"/>
      <c r="L988" s="107"/>
      <c r="M988" s="107"/>
      <c r="N988" s="107"/>
      <c r="O988" s="107"/>
      <c r="P988" s="107"/>
      <c r="Q988" s="107"/>
      <c r="R988" s="107"/>
      <c r="S988" s="107"/>
      <c r="T988" s="107"/>
      <c r="U988" s="107"/>
      <c r="V988" s="107"/>
      <c r="W988" s="107"/>
      <c r="X988" s="107"/>
      <c r="Y988" s="107"/>
    </row>
    <row r="989" spans="1:25" ht="15.5">
      <c r="A989" s="107"/>
      <c r="B989" s="107"/>
      <c r="C989" s="107"/>
      <c r="D989" s="107"/>
      <c r="E989" s="107"/>
      <c r="F989" s="107"/>
      <c r="G989" s="107"/>
      <c r="H989" s="107"/>
      <c r="I989" s="107"/>
      <c r="J989" s="107"/>
      <c r="K989" s="107"/>
      <c r="L989" s="107"/>
      <c r="M989" s="107"/>
      <c r="N989" s="107"/>
      <c r="O989" s="107"/>
      <c r="P989" s="107"/>
      <c r="Q989" s="107"/>
      <c r="R989" s="107"/>
      <c r="S989" s="107"/>
      <c r="T989" s="107"/>
      <c r="U989" s="107"/>
      <c r="V989" s="107"/>
      <c r="W989" s="107"/>
      <c r="X989" s="107"/>
      <c r="Y989" s="107"/>
    </row>
    <row r="990" spans="1:25" ht="15.5">
      <c r="A990" s="107"/>
      <c r="B990" s="107"/>
      <c r="C990" s="107"/>
      <c r="D990" s="107"/>
      <c r="E990" s="107"/>
      <c r="F990" s="107"/>
      <c r="G990" s="107"/>
      <c r="H990" s="107"/>
      <c r="I990" s="107"/>
      <c r="J990" s="107"/>
      <c r="K990" s="107"/>
      <c r="L990" s="107"/>
      <c r="M990" s="107"/>
      <c r="N990" s="107"/>
      <c r="O990" s="107"/>
      <c r="P990" s="107"/>
      <c r="Q990" s="107"/>
      <c r="R990" s="107"/>
      <c r="S990" s="107"/>
      <c r="T990" s="107"/>
      <c r="U990" s="107"/>
      <c r="V990" s="107"/>
      <c r="W990" s="107"/>
      <c r="X990" s="107"/>
      <c r="Y990" s="107"/>
    </row>
    <row r="991" spans="1:25" ht="15.5">
      <c r="A991" s="107"/>
      <c r="B991" s="107"/>
      <c r="C991" s="107"/>
      <c r="D991" s="107"/>
      <c r="E991" s="107"/>
      <c r="F991" s="107"/>
      <c r="G991" s="107"/>
      <c r="H991" s="107"/>
      <c r="I991" s="107"/>
      <c r="J991" s="107"/>
      <c r="K991" s="107"/>
      <c r="L991" s="107"/>
      <c r="M991" s="107"/>
      <c r="N991" s="107"/>
      <c r="O991" s="107"/>
      <c r="P991" s="107"/>
      <c r="Q991" s="107"/>
      <c r="R991" s="107"/>
      <c r="S991" s="107"/>
      <c r="T991" s="107"/>
      <c r="U991" s="107"/>
      <c r="V991" s="107"/>
      <c r="W991" s="107"/>
      <c r="X991" s="107"/>
      <c r="Y991" s="107"/>
    </row>
    <row r="992" spans="1:25" ht="15.5">
      <c r="A992" s="107"/>
      <c r="B992" s="107"/>
      <c r="C992" s="107"/>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row>
    <row r="993" spans="1:25" ht="15.5">
      <c r="A993" s="107"/>
      <c r="B993" s="107"/>
      <c r="C993" s="107"/>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row>
    <row r="994" spans="1:25" ht="15.5">
      <c r="A994" s="107"/>
      <c r="B994" s="107"/>
      <c r="C994" s="107"/>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row>
    <row r="995" spans="1:25" ht="15.5">
      <c r="A995" s="107"/>
      <c r="B995" s="107"/>
      <c r="C995" s="107"/>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row>
    <row r="996" spans="1:25" ht="15.5">
      <c r="A996" s="107"/>
      <c r="B996" s="107"/>
      <c r="C996" s="107"/>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row>
    <row r="997" spans="1:25" ht="15.5">
      <c r="A997" s="107"/>
      <c r="B997" s="107"/>
      <c r="C997" s="107"/>
      <c r="D997" s="107"/>
      <c r="E997" s="107"/>
      <c r="F997" s="107"/>
      <c r="G997" s="107"/>
      <c r="H997" s="107"/>
      <c r="I997" s="107"/>
      <c r="J997" s="107"/>
      <c r="K997" s="107"/>
      <c r="L997" s="107"/>
      <c r="M997" s="107"/>
      <c r="N997" s="107"/>
      <c r="O997" s="107"/>
      <c r="P997" s="107"/>
      <c r="Q997" s="107"/>
      <c r="R997" s="107"/>
      <c r="S997" s="107"/>
      <c r="T997" s="107"/>
      <c r="U997" s="107"/>
      <c r="V997" s="107"/>
      <c r="W997" s="107"/>
      <c r="X997" s="107"/>
      <c r="Y997" s="107"/>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139"/>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1.20703125" defaultRowHeight="15" customHeight="1"/>
  <cols>
    <col min="1" max="1" width="4.20703125" customWidth="1"/>
    <col min="2" max="2" width="77.875" customWidth="1"/>
    <col min="3" max="3" width="33.4140625" customWidth="1"/>
    <col min="4" max="4" width="8.20703125" customWidth="1"/>
    <col min="5" max="5" width="5" customWidth="1"/>
    <col min="6" max="6" width="17.20703125" customWidth="1"/>
    <col min="7" max="7" width="17.4140625" customWidth="1"/>
    <col min="8" max="8" width="16.20703125" customWidth="1"/>
    <col min="9" max="9" width="15.20703125" customWidth="1"/>
    <col min="10" max="13" width="8.7890625" customWidth="1"/>
    <col min="14" max="14" width="26.33203125" customWidth="1"/>
    <col min="15" max="18" width="8.7890625" customWidth="1"/>
    <col min="19" max="19" width="12.125" customWidth="1"/>
    <col min="20" max="29" width="8.7890625" customWidth="1"/>
  </cols>
  <sheetData>
    <row r="1" spans="1:29" ht="19.5" customHeight="1">
      <c r="A1" s="1" t="s">
        <v>1404</v>
      </c>
      <c r="B1" s="109" t="s">
        <v>1</v>
      </c>
      <c r="C1" s="109" t="s">
        <v>2</v>
      </c>
      <c r="D1" s="110" t="s">
        <v>3</v>
      </c>
      <c r="E1" s="111"/>
      <c r="F1" s="112" t="s">
        <v>1405</v>
      </c>
      <c r="G1" s="113" t="s">
        <v>1406</v>
      </c>
      <c r="H1" s="113" t="s">
        <v>1407</v>
      </c>
      <c r="I1" s="113" t="s">
        <v>1408</v>
      </c>
      <c r="J1" s="33" t="s">
        <v>1409</v>
      </c>
      <c r="K1" s="33" t="s">
        <v>1410</v>
      </c>
      <c r="L1" s="33" t="s">
        <v>1411</v>
      </c>
      <c r="M1" s="33" t="s">
        <v>1412</v>
      </c>
      <c r="N1" s="114" t="s">
        <v>1413</v>
      </c>
      <c r="O1" s="32" t="s">
        <v>1414</v>
      </c>
      <c r="P1" s="32"/>
      <c r="Q1" s="32"/>
      <c r="R1" s="32"/>
      <c r="S1" s="32"/>
      <c r="T1" s="32"/>
      <c r="U1" s="32"/>
      <c r="V1" s="32"/>
      <c r="W1" s="32"/>
      <c r="X1" s="32"/>
      <c r="Y1" s="32"/>
      <c r="Z1" s="32"/>
      <c r="AA1" s="32"/>
      <c r="AB1" s="32"/>
      <c r="AC1" s="32"/>
    </row>
    <row r="2" spans="1:29" ht="19.5" customHeight="1">
      <c r="A2" s="4" t="s">
        <v>5</v>
      </c>
      <c r="B2" s="115" t="s">
        <v>6</v>
      </c>
      <c r="C2" s="28" t="s">
        <v>7</v>
      </c>
      <c r="D2" s="116">
        <v>2015</v>
      </c>
      <c r="E2" s="117"/>
      <c r="F2" s="118" t="s">
        <v>1415</v>
      </c>
      <c r="G2" s="119" t="s">
        <v>1416</v>
      </c>
      <c r="H2" s="119" t="s">
        <v>1417</v>
      </c>
      <c r="I2" s="119" t="s">
        <v>1418</v>
      </c>
      <c r="J2" s="120">
        <f>IF(ISTEXT(F2), 1, 0)</f>
        <v>1</v>
      </c>
      <c r="K2" s="121"/>
      <c r="L2" s="122"/>
      <c r="M2" s="123"/>
      <c r="N2" s="124" t="s">
        <v>1419</v>
      </c>
      <c r="O2" s="42" t="e">
        <f>VLOOKUP(A2, citation_data!A:E, 6, FALSE)</f>
        <v>#REF!</v>
      </c>
    </row>
    <row r="3" spans="1:29" ht="19.5" customHeight="1">
      <c r="A3" s="4" t="s">
        <v>9</v>
      </c>
      <c r="B3" s="125" t="s">
        <v>10</v>
      </c>
      <c r="C3" s="28" t="s">
        <v>11</v>
      </c>
      <c r="D3" s="116">
        <v>2015</v>
      </c>
      <c r="E3" s="117"/>
      <c r="F3" s="118" t="s">
        <v>1420</v>
      </c>
      <c r="G3" s="119" t="s">
        <v>1416</v>
      </c>
      <c r="H3" s="126"/>
      <c r="I3" s="119" t="s">
        <v>1421</v>
      </c>
      <c r="J3" s="120"/>
      <c r="K3" s="121"/>
      <c r="L3" s="122"/>
      <c r="M3" s="123">
        <f>IF(ISTEXT(I3), 1, 0)</f>
        <v>1</v>
      </c>
      <c r="N3" s="124" t="s">
        <v>1422</v>
      </c>
      <c r="O3" s="42" t="e">
        <f>VLOOKUP(A3, citation_data!A:E, 6, FALSE)</f>
        <v>#REF!</v>
      </c>
    </row>
    <row r="4" spans="1:29" ht="19.5" customHeight="1">
      <c r="A4" s="4" t="s">
        <v>13</v>
      </c>
      <c r="B4" s="115" t="s">
        <v>14</v>
      </c>
      <c r="C4" s="28" t="s">
        <v>15</v>
      </c>
      <c r="D4" s="116">
        <v>2015</v>
      </c>
      <c r="E4" s="117"/>
      <c r="F4" s="118" t="s">
        <v>1423</v>
      </c>
      <c r="G4" s="119" t="s">
        <v>1424</v>
      </c>
      <c r="H4" s="119" t="s">
        <v>1425</v>
      </c>
      <c r="I4" s="126" t="s">
        <v>1426</v>
      </c>
      <c r="J4" s="120">
        <f>IF(ISTEXT(F4), 1, 0)</f>
        <v>1</v>
      </c>
      <c r="K4" s="121"/>
      <c r="L4" s="122"/>
      <c r="M4" s="123"/>
      <c r="N4" s="124" t="s">
        <v>1427</v>
      </c>
      <c r="O4" s="42" t="e">
        <f>VLOOKUP(A4, citation_data!A:E, 6, FALSE)</f>
        <v>#REF!</v>
      </c>
    </row>
    <row r="5" spans="1:29" ht="19.5" customHeight="1">
      <c r="A5" s="4" t="s">
        <v>17</v>
      </c>
      <c r="B5" s="125" t="s">
        <v>18</v>
      </c>
      <c r="C5" s="28" t="s">
        <v>19</v>
      </c>
      <c r="D5" s="116">
        <v>2015</v>
      </c>
      <c r="E5" s="117"/>
      <c r="F5" s="118" t="s">
        <v>1428</v>
      </c>
      <c r="G5" s="119" t="s">
        <v>1416</v>
      </c>
      <c r="H5" s="126"/>
      <c r="I5" s="126"/>
      <c r="J5" s="120"/>
      <c r="K5" s="121"/>
      <c r="L5" s="122"/>
      <c r="M5" s="123">
        <v>1</v>
      </c>
      <c r="N5" s="124" t="s">
        <v>1429</v>
      </c>
      <c r="O5" s="42" t="e">
        <f>VLOOKUP(A5, citation_data!A:E, 6, FALSE)</f>
        <v>#REF!</v>
      </c>
    </row>
    <row r="6" spans="1:29" ht="19.5" customHeight="1">
      <c r="A6" s="4" t="s">
        <v>21</v>
      </c>
      <c r="B6" s="115" t="s">
        <v>22</v>
      </c>
      <c r="C6" s="28" t="s">
        <v>23</v>
      </c>
      <c r="D6" s="116">
        <v>2015</v>
      </c>
      <c r="E6" s="127"/>
      <c r="F6" s="128"/>
      <c r="G6" s="119" t="s">
        <v>1424</v>
      </c>
      <c r="H6" s="119" t="s">
        <v>1417</v>
      </c>
      <c r="I6" s="119" t="s">
        <v>1430</v>
      </c>
      <c r="J6" s="120"/>
      <c r="K6" s="121"/>
      <c r="L6" s="122"/>
      <c r="M6" s="123">
        <f t="shared" ref="M6:M7" si="0">IF(ISTEXT(I6), 1, 0)</f>
        <v>1</v>
      </c>
      <c r="N6" s="124" t="s">
        <v>1431</v>
      </c>
      <c r="O6" s="42" t="e">
        <f>VLOOKUP(A6, citation_data!A:E, 6, FALSE)</f>
        <v>#REF!</v>
      </c>
    </row>
    <row r="7" spans="1:29" ht="19.5" customHeight="1">
      <c r="A7" s="4" t="s">
        <v>25</v>
      </c>
      <c r="B7" s="125" t="s">
        <v>26</v>
      </c>
      <c r="C7" s="28" t="s">
        <v>27</v>
      </c>
      <c r="D7" s="116">
        <v>2015</v>
      </c>
      <c r="E7" s="117"/>
      <c r="F7" s="118" t="s">
        <v>1423</v>
      </c>
      <c r="G7" s="119" t="s">
        <v>1424</v>
      </c>
      <c r="H7" s="129"/>
      <c r="I7" s="126" t="s">
        <v>1432</v>
      </c>
      <c r="J7" s="120"/>
      <c r="K7" s="121"/>
      <c r="L7" s="122"/>
      <c r="M7" s="123">
        <f t="shared" si="0"/>
        <v>1</v>
      </c>
      <c r="N7" s="124" t="s">
        <v>1433</v>
      </c>
      <c r="O7" s="42" t="e">
        <f>VLOOKUP(A7, citation_data!A:E, 6, FALSE)</f>
        <v>#REF!</v>
      </c>
    </row>
    <row r="8" spans="1:29" ht="19.5" customHeight="1">
      <c r="A8" s="4" t="s">
        <v>29</v>
      </c>
      <c r="B8" s="115" t="s">
        <v>30</v>
      </c>
      <c r="C8" s="28" t="s">
        <v>31</v>
      </c>
      <c r="D8" s="116">
        <v>2015</v>
      </c>
      <c r="E8" s="117"/>
      <c r="F8" s="118" t="s">
        <v>1423</v>
      </c>
      <c r="G8" s="119" t="s">
        <v>1424</v>
      </c>
      <c r="H8" s="126" t="s">
        <v>1434</v>
      </c>
      <c r="I8" s="126"/>
      <c r="J8" s="120">
        <f>IF(ISTEXT(F8), 1, 0)</f>
        <v>1</v>
      </c>
      <c r="K8" s="121"/>
      <c r="L8" s="122"/>
      <c r="M8" s="123"/>
      <c r="N8" s="124" t="s">
        <v>1435</v>
      </c>
      <c r="O8" s="42" t="e">
        <f>VLOOKUP(A8, citation_data!A:E, 6, FALSE)</f>
        <v>#REF!</v>
      </c>
    </row>
    <row r="9" spans="1:29" ht="19.5" customHeight="1">
      <c r="A9" s="4" t="s">
        <v>32</v>
      </c>
      <c r="B9" s="125" t="s">
        <v>33</v>
      </c>
      <c r="C9" s="28" t="s">
        <v>34</v>
      </c>
      <c r="D9" s="116">
        <v>2015</v>
      </c>
      <c r="E9" s="117"/>
      <c r="F9" s="118" t="s">
        <v>1436</v>
      </c>
      <c r="G9" s="126"/>
      <c r="H9" s="126"/>
      <c r="I9" s="119" t="s">
        <v>1437</v>
      </c>
      <c r="J9" s="120"/>
      <c r="K9" s="121"/>
      <c r="L9" s="122"/>
      <c r="M9" s="123">
        <f t="shared" ref="M9:M11" si="1">IF(ISTEXT(I9), 1, 0)</f>
        <v>1</v>
      </c>
      <c r="N9" s="124" t="s">
        <v>1438</v>
      </c>
      <c r="O9" s="42" t="e">
        <f>VLOOKUP(A9, citation_data!A:E, 6, FALSE)</f>
        <v>#REF!</v>
      </c>
    </row>
    <row r="10" spans="1:29" ht="19.5" customHeight="1">
      <c r="A10" s="4" t="s">
        <v>36</v>
      </c>
      <c r="B10" s="115" t="s">
        <v>37</v>
      </c>
      <c r="C10" s="28" t="s">
        <v>38</v>
      </c>
      <c r="D10" s="116">
        <v>2015</v>
      </c>
      <c r="E10" s="117"/>
      <c r="F10" s="118" t="s">
        <v>1423</v>
      </c>
      <c r="G10" s="119" t="s">
        <v>1424</v>
      </c>
      <c r="H10" s="126"/>
      <c r="I10" s="126" t="s">
        <v>1439</v>
      </c>
      <c r="J10" s="120"/>
      <c r="K10" s="121"/>
      <c r="L10" s="122"/>
      <c r="M10" s="123">
        <f t="shared" si="1"/>
        <v>1</v>
      </c>
      <c r="N10" s="124" t="s">
        <v>1433</v>
      </c>
      <c r="O10" s="42" t="e">
        <f>VLOOKUP(A10, citation_data!A:E, 6, FALSE)</f>
        <v>#REF!</v>
      </c>
    </row>
    <row r="11" spans="1:29" ht="19.5" customHeight="1">
      <c r="A11" s="4" t="s">
        <v>40</v>
      </c>
      <c r="B11" s="125" t="s">
        <v>41</v>
      </c>
      <c r="C11" s="28" t="s">
        <v>42</v>
      </c>
      <c r="D11" s="116">
        <v>2015</v>
      </c>
      <c r="E11" s="130"/>
      <c r="F11" s="128" t="s">
        <v>1440</v>
      </c>
      <c r="G11" s="119" t="s">
        <v>1441</v>
      </c>
      <c r="H11" s="126"/>
      <c r="I11" s="119" t="s">
        <v>1442</v>
      </c>
      <c r="J11" s="120"/>
      <c r="K11" s="121"/>
      <c r="L11" s="122"/>
      <c r="M11" s="123">
        <f t="shared" si="1"/>
        <v>1</v>
      </c>
      <c r="N11" s="124" t="s">
        <v>1443</v>
      </c>
      <c r="O11" s="42" t="e">
        <f>VLOOKUP(A11, citation_data!A:E, 6, FALSE)</f>
        <v>#REF!</v>
      </c>
    </row>
    <row r="12" spans="1:29" ht="19.5" customHeight="1">
      <c r="A12" s="131" t="s">
        <v>44</v>
      </c>
      <c r="B12" s="132" t="s">
        <v>45</v>
      </c>
      <c r="C12" s="133" t="s">
        <v>46</v>
      </c>
      <c r="D12" s="134">
        <v>2015</v>
      </c>
      <c r="E12" s="135"/>
      <c r="F12" s="136" t="s">
        <v>1444</v>
      </c>
      <c r="G12" s="137"/>
      <c r="H12" s="137"/>
      <c r="I12" s="137"/>
      <c r="J12" s="138">
        <f>IF(ISTEXT(F12), 1, 0)</f>
        <v>1</v>
      </c>
      <c r="K12" s="139"/>
      <c r="L12" s="140"/>
      <c r="M12" s="141"/>
      <c r="N12" s="124" t="s">
        <v>1445</v>
      </c>
      <c r="O12" s="42" t="e">
        <f>VLOOKUP(A12, citation_data!A:E, 6, FALSE)</f>
        <v>#REF!</v>
      </c>
    </row>
    <row r="13" spans="1:29" ht="19.5" customHeight="1">
      <c r="A13" s="4" t="s">
        <v>48</v>
      </c>
      <c r="B13" s="142" t="s">
        <v>49</v>
      </c>
      <c r="C13" s="142" t="s">
        <v>50</v>
      </c>
      <c r="D13" s="143">
        <v>2016</v>
      </c>
      <c r="E13" s="127"/>
      <c r="F13" s="144"/>
      <c r="G13" s="145" t="s">
        <v>1434</v>
      </c>
      <c r="H13" s="145" t="s">
        <v>1417</v>
      </c>
      <c r="I13" s="146"/>
      <c r="J13" s="147"/>
      <c r="K13" s="148"/>
      <c r="L13" s="149"/>
      <c r="M13" s="150">
        <v>1</v>
      </c>
      <c r="N13" s="124" t="s">
        <v>1446</v>
      </c>
      <c r="O13" s="42" t="e">
        <f>VLOOKUP(A13, citation_data!A:E, 6, FALSE)</f>
        <v>#REF!</v>
      </c>
    </row>
    <row r="14" spans="1:29" ht="19.5" customHeight="1">
      <c r="A14" s="4" t="s">
        <v>52</v>
      </c>
      <c r="B14" s="142" t="s">
        <v>53</v>
      </c>
      <c r="C14" s="142" t="s">
        <v>54</v>
      </c>
      <c r="D14" s="143">
        <v>2016</v>
      </c>
      <c r="E14" s="127"/>
      <c r="F14" s="128"/>
      <c r="G14" s="119" t="s">
        <v>1447</v>
      </c>
      <c r="H14" s="126" t="s">
        <v>1434</v>
      </c>
      <c r="I14" s="126"/>
      <c r="J14" s="120">
        <v>1</v>
      </c>
      <c r="K14" s="121"/>
      <c r="L14" s="122"/>
      <c r="M14" s="123"/>
      <c r="N14" s="124" t="s">
        <v>1448</v>
      </c>
      <c r="O14" s="42" t="e">
        <f>VLOOKUP(A14, citation_data!A:E, 6, FALSE)</f>
        <v>#REF!</v>
      </c>
    </row>
    <row r="15" spans="1:29" ht="19.5" customHeight="1">
      <c r="A15" s="4" t="s">
        <v>56</v>
      </c>
      <c r="B15" s="142" t="s">
        <v>57</v>
      </c>
      <c r="C15" s="142" t="s">
        <v>58</v>
      </c>
      <c r="D15" s="143">
        <v>2016</v>
      </c>
      <c r="E15" s="117"/>
      <c r="F15" s="118" t="s">
        <v>1449</v>
      </c>
      <c r="G15" s="119" t="s">
        <v>1424</v>
      </c>
      <c r="H15" s="119" t="s">
        <v>1417</v>
      </c>
      <c r="I15" s="119" t="s">
        <v>1450</v>
      </c>
      <c r="J15" s="120"/>
      <c r="K15" s="121"/>
      <c r="L15" s="122"/>
      <c r="M15" s="123">
        <f t="shared" ref="M15:M16" si="2">IF(ISTEXT(I15), 1, 0)</f>
        <v>1</v>
      </c>
      <c r="N15" s="124" t="s">
        <v>1451</v>
      </c>
      <c r="O15" s="42" t="e">
        <f>VLOOKUP(A15, citation_data!A:E, 6, FALSE)</f>
        <v>#REF!</v>
      </c>
    </row>
    <row r="16" spans="1:29" ht="19.5" customHeight="1">
      <c r="A16" s="4" t="s">
        <v>60</v>
      </c>
      <c r="B16" s="142" t="s">
        <v>61</v>
      </c>
      <c r="C16" s="142" t="s">
        <v>62</v>
      </c>
      <c r="D16" s="143">
        <v>2016</v>
      </c>
      <c r="E16" s="117"/>
      <c r="F16" s="118" t="s">
        <v>1428</v>
      </c>
      <c r="G16" s="119" t="s">
        <v>1452</v>
      </c>
      <c r="H16" s="126"/>
      <c r="I16" s="126" t="s">
        <v>1432</v>
      </c>
      <c r="J16" s="120"/>
      <c r="K16" s="121"/>
      <c r="L16" s="122"/>
      <c r="M16" s="123">
        <f t="shared" si="2"/>
        <v>1</v>
      </c>
      <c r="N16" s="124" t="s">
        <v>1433</v>
      </c>
      <c r="O16" s="42" t="e">
        <f>VLOOKUP(A16, citation_data!A:E, 6, FALSE)</f>
        <v>#REF!</v>
      </c>
    </row>
    <row r="17" spans="1:15" ht="19.5" customHeight="1">
      <c r="A17" s="4" t="s">
        <v>64</v>
      </c>
      <c r="B17" s="142" t="s">
        <v>65</v>
      </c>
      <c r="C17" s="142" t="s">
        <v>66</v>
      </c>
      <c r="D17" s="143">
        <v>2016</v>
      </c>
      <c r="E17" s="127"/>
      <c r="F17" s="128"/>
      <c r="G17" s="119" t="s">
        <v>1453</v>
      </c>
      <c r="H17" s="126"/>
      <c r="I17" s="126"/>
      <c r="J17" s="120">
        <v>1</v>
      </c>
      <c r="K17" s="121"/>
      <c r="L17" s="122"/>
      <c r="M17" s="123"/>
      <c r="N17" s="124" t="s">
        <v>1454</v>
      </c>
      <c r="O17" s="42" t="e">
        <f>VLOOKUP(A17, citation_data!A:E, 6, FALSE)</f>
        <v>#REF!</v>
      </c>
    </row>
    <row r="18" spans="1:15" ht="19.5" customHeight="1">
      <c r="A18" s="4" t="s">
        <v>68</v>
      </c>
      <c r="B18" s="142" t="s">
        <v>69</v>
      </c>
      <c r="C18" s="142" t="s">
        <v>70</v>
      </c>
      <c r="D18" s="143">
        <v>2016</v>
      </c>
      <c r="E18" s="117"/>
      <c r="F18" s="118" t="s">
        <v>1423</v>
      </c>
      <c r="G18" s="119" t="s">
        <v>1455</v>
      </c>
      <c r="H18" s="126"/>
      <c r="I18" s="119" t="s">
        <v>1456</v>
      </c>
      <c r="J18" s="120"/>
      <c r="K18" s="121"/>
      <c r="L18" s="122"/>
      <c r="M18" s="123">
        <f>IF(ISTEXT(I18), 1, 0)</f>
        <v>1</v>
      </c>
      <c r="N18" s="124" t="s">
        <v>1457</v>
      </c>
      <c r="O18" s="42" t="e">
        <f>VLOOKUP(A18, citation_data!A:E, 6, FALSE)</f>
        <v>#REF!</v>
      </c>
    </row>
    <row r="19" spans="1:15" ht="19.5" customHeight="1">
      <c r="A19" s="131" t="s">
        <v>72</v>
      </c>
      <c r="B19" s="151" t="s">
        <v>73</v>
      </c>
      <c r="C19" s="151" t="s">
        <v>74</v>
      </c>
      <c r="D19" s="152">
        <v>2016</v>
      </c>
      <c r="E19" s="135"/>
      <c r="F19" s="136" t="s">
        <v>1458</v>
      </c>
      <c r="G19" s="153" t="s">
        <v>1459</v>
      </c>
      <c r="H19" s="153" t="s">
        <v>1460</v>
      </c>
      <c r="I19" s="137"/>
      <c r="J19" s="138"/>
      <c r="K19" s="139"/>
      <c r="L19" s="140"/>
      <c r="M19" s="141">
        <v>1</v>
      </c>
      <c r="N19" s="124" t="s">
        <v>1461</v>
      </c>
      <c r="O19" s="42" t="e">
        <f>VLOOKUP(A19, citation_data!A:E, 6, FALSE)</f>
        <v>#REF!</v>
      </c>
    </row>
    <row r="20" spans="1:15" ht="19.5" customHeight="1">
      <c r="A20" s="4" t="s">
        <v>76</v>
      </c>
      <c r="B20" s="115" t="s">
        <v>77</v>
      </c>
      <c r="C20" s="28" t="s">
        <v>78</v>
      </c>
      <c r="D20" s="116">
        <v>2017</v>
      </c>
      <c r="E20" s="117"/>
      <c r="F20" s="154" t="s">
        <v>1462</v>
      </c>
      <c r="G20" s="145" t="s">
        <v>1416</v>
      </c>
      <c r="H20" s="145" t="s">
        <v>1417</v>
      </c>
      <c r="I20" s="145" t="s">
        <v>1450</v>
      </c>
      <c r="J20" s="147"/>
      <c r="K20" s="148"/>
      <c r="L20" s="149"/>
      <c r="M20" s="150">
        <f t="shared" ref="M20:M23" si="3">IF(ISTEXT(I20), 1, 0)</f>
        <v>1</v>
      </c>
      <c r="N20" s="124" t="s">
        <v>1463</v>
      </c>
      <c r="O20" s="42" t="e">
        <f>VLOOKUP(A20, citation_data!A:E, 6, FALSE)</f>
        <v>#REF!</v>
      </c>
    </row>
    <row r="21" spans="1:15" ht="19.5" customHeight="1">
      <c r="A21" s="4" t="s">
        <v>80</v>
      </c>
      <c r="B21" s="125" t="s">
        <v>81</v>
      </c>
      <c r="C21" s="28" t="s">
        <v>82</v>
      </c>
      <c r="D21" s="116">
        <v>2017</v>
      </c>
      <c r="E21" s="117"/>
      <c r="F21" s="118" t="s">
        <v>1462</v>
      </c>
      <c r="G21" s="128"/>
      <c r="H21" s="126"/>
      <c r="I21" s="119" t="s">
        <v>1450</v>
      </c>
      <c r="J21" s="120"/>
      <c r="K21" s="121"/>
      <c r="L21" s="122"/>
      <c r="M21" s="123">
        <f t="shared" si="3"/>
        <v>1</v>
      </c>
      <c r="N21" s="124" t="s">
        <v>1464</v>
      </c>
      <c r="O21" s="42" t="e">
        <f>VLOOKUP(A21, citation_data!A:E, 6, FALSE)</f>
        <v>#REF!</v>
      </c>
    </row>
    <row r="22" spans="1:15" ht="19.5" customHeight="1">
      <c r="A22" s="4" t="s">
        <v>84</v>
      </c>
      <c r="B22" s="115" t="s">
        <v>85</v>
      </c>
      <c r="C22" s="28" t="s">
        <v>86</v>
      </c>
      <c r="D22" s="116">
        <v>2017</v>
      </c>
      <c r="E22" s="155"/>
      <c r="F22" s="156" t="s">
        <v>1465</v>
      </c>
      <c r="G22" s="128"/>
      <c r="H22" s="126"/>
      <c r="I22" s="119" t="s">
        <v>1450</v>
      </c>
      <c r="J22" s="120"/>
      <c r="K22" s="121"/>
      <c r="L22" s="122"/>
      <c r="M22" s="123">
        <f t="shared" si="3"/>
        <v>1</v>
      </c>
      <c r="N22" s="124" t="s">
        <v>1433</v>
      </c>
      <c r="O22" s="42" t="e">
        <f>VLOOKUP(A22, citation_data!A:E, 6, FALSE)</f>
        <v>#REF!</v>
      </c>
    </row>
    <row r="23" spans="1:15" ht="19.5" customHeight="1">
      <c r="A23" s="4" t="s">
        <v>88</v>
      </c>
      <c r="B23" s="125" t="s">
        <v>89</v>
      </c>
      <c r="C23" s="28" t="s">
        <v>90</v>
      </c>
      <c r="D23" s="116">
        <v>2017</v>
      </c>
      <c r="E23" s="117"/>
      <c r="F23" s="118" t="s">
        <v>1466</v>
      </c>
      <c r="G23" s="128"/>
      <c r="H23" s="126"/>
      <c r="I23" s="119" t="s">
        <v>1450</v>
      </c>
      <c r="J23" s="120"/>
      <c r="K23" s="121"/>
      <c r="L23" s="122"/>
      <c r="M23" s="123">
        <f t="shared" si="3"/>
        <v>1</v>
      </c>
      <c r="N23" s="124" t="s">
        <v>1467</v>
      </c>
      <c r="O23" s="42" t="e">
        <f>VLOOKUP(A23, citation_data!A:E, 6, FALSE)</f>
        <v>#REF!</v>
      </c>
    </row>
    <row r="24" spans="1:15" ht="19.5" customHeight="1">
      <c r="A24" s="4" t="s">
        <v>92</v>
      </c>
      <c r="B24" s="115" t="s">
        <v>93</v>
      </c>
      <c r="C24" s="28" t="s">
        <v>94</v>
      </c>
      <c r="D24" s="116">
        <v>2017</v>
      </c>
      <c r="E24" s="117"/>
      <c r="F24" s="118" t="s">
        <v>1468</v>
      </c>
      <c r="G24" s="119" t="s">
        <v>1416</v>
      </c>
      <c r="H24" s="126"/>
      <c r="I24" s="126"/>
      <c r="J24" s="120"/>
      <c r="K24" s="121"/>
      <c r="L24" s="122"/>
      <c r="M24" s="123">
        <v>1</v>
      </c>
      <c r="N24" s="124" t="s">
        <v>1469</v>
      </c>
      <c r="O24" s="42" t="e">
        <f>VLOOKUP(A24, citation_data!A:E, 6, FALSE)</f>
        <v>#REF!</v>
      </c>
    </row>
    <row r="25" spans="1:15" ht="19.5" customHeight="1">
      <c r="A25" s="4" t="s">
        <v>96</v>
      </c>
      <c r="B25" s="125" t="s">
        <v>97</v>
      </c>
      <c r="C25" s="28" t="s">
        <v>98</v>
      </c>
      <c r="D25" s="116">
        <v>2017</v>
      </c>
      <c r="E25" s="117"/>
      <c r="F25" s="118" t="s">
        <v>1466</v>
      </c>
      <c r="G25" s="119" t="s">
        <v>1416</v>
      </c>
      <c r="H25" s="126"/>
      <c r="I25" s="119" t="s">
        <v>1450</v>
      </c>
      <c r="J25" s="120"/>
      <c r="K25" s="121"/>
      <c r="L25" s="122"/>
      <c r="M25" s="123">
        <f t="shared" ref="M25:M26" si="4">IF(ISTEXT(I25), 1, 0)</f>
        <v>1</v>
      </c>
      <c r="N25" s="124" t="s">
        <v>1470</v>
      </c>
      <c r="O25" s="42" t="e">
        <f>VLOOKUP(A25, citation_data!A:E, 6, FALSE)</f>
        <v>#REF!</v>
      </c>
    </row>
    <row r="26" spans="1:15" ht="19.5" customHeight="1">
      <c r="A26" s="4" t="s">
        <v>100</v>
      </c>
      <c r="B26" s="115" t="s">
        <v>101</v>
      </c>
      <c r="C26" s="28" t="s">
        <v>102</v>
      </c>
      <c r="D26" s="116">
        <v>2017</v>
      </c>
      <c r="E26" s="117"/>
      <c r="F26" s="118" t="s">
        <v>1466</v>
      </c>
      <c r="G26" s="113"/>
      <c r="H26" s="126"/>
      <c r="I26" s="119" t="s">
        <v>1471</v>
      </c>
      <c r="J26" s="120"/>
      <c r="K26" s="121"/>
      <c r="L26" s="122"/>
      <c r="M26" s="123">
        <f t="shared" si="4"/>
        <v>1</v>
      </c>
      <c r="N26" s="124" t="s">
        <v>1472</v>
      </c>
      <c r="O26" s="42" t="e">
        <f>VLOOKUP(A26, citation_data!A:E, 6, FALSE)</f>
        <v>#REF!</v>
      </c>
    </row>
    <row r="27" spans="1:15" ht="19.5" customHeight="1">
      <c r="A27" s="4" t="s">
        <v>104</v>
      </c>
      <c r="B27" s="125" t="s">
        <v>105</v>
      </c>
      <c r="C27" s="28" t="s">
        <v>106</v>
      </c>
      <c r="D27" s="116">
        <v>2017</v>
      </c>
      <c r="E27" s="117"/>
      <c r="F27" s="118" t="s">
        <v>1466</v>
      </c>
      <c r="G27" s="126"/>
      <c r="H27" s="126"/>
      <c r="I27" s="126"/>
      <c r="J27" s="120"/>
      <c r="K27" s="121"/>
      <c r="L27" s="122"/>
      <c r="M27" s="123">
        <v>1</v>
      </c>
      <c r="N27" s="124" t="s">
        <v>1473</v>
      </c>
      <c r="O27" s="42" t="e">
        <f>VLOOKUP(A27, citation_data!A:E, 6, FALSE)</f>
        <v>#REF!</v>
      </c>
    </row>
    <row r="28" spans="1:15" ht="19.5" customHeight="1">
      <c r="A28" s="131" t="s">
        <v>108</v>
      </c>
      <c r="B28" s="132" t="s">
        <v>109</v>
      </c>
      <c r="C28" s="133" t="s">
        <v>110</v>
      </c>
      <c r="D28" s="134">
        <v>2017</v>
      </c>
      <c r="E28" s="157"/>
      <c r="F28" s="158"/>
      <c r="G28" s="153" t="s">
        <v>1416</v>
      </c>
      <c r="H28" s="153" t="s">
        <v>1417</v>
      </c>
      <c r="I28" s="137" t="s">
        <v>1474</v>
      </c>
      <c r="J28" s="138"/>
      <c r="K28" s="139"/>
      <c r="L28" s="140">
        <f>IF(ISTEXT(H28), 1, 0)</f>
        <v>1</v>
      </c>
      <c r="M28" s="141"/>
      <c r="N28" s="124" t="s">
        <v>1475</v>
      </c>
      <c r="O28" s="42" t="e">
        <f>VLOOKUP(A28, citation_data!A:E, 6, FALSE)</f>
        <v>#REF!</v>
      </c>
    </row>
    <row r="29" spans="1:15" ht="19.5" customHeight="1">
      <c r="A29" s="4" t="s">
        <v>112</v>
      </c>
      <c r="B29" s="142" t="s">
        <v>113</v>
      </c>
      <c r="C29" s="142" t="s">
        <v>114</v>
      </c>
      <c r="D29" s="143">
        <v>2018</v>
      </c>
      <c r="E29" s="117"/>
      <c r="F29" s="154" t="s">
        <v>1476</v>
      </c>
      <c r="G29" s="145" t="s">
        <v>1416</v>
      </c>
      <c r="H29" s="145"/>
      <c r="I29" s="145" t="s">
        <v>1477</v>
      </c>
      <c r="J29" s="147"/>
      <c r="K29" s="148"/>
      <c r="L29" s="149"/>
      <c r="M29" s="150">
        <f>IF(ISTEXT(I29), 1, 0)</f>
        <v>1</v>
      </c>
      <c r="N29" s="124" t="s">
        <v>1478</v>
      </c>
      <c r="O29" s="42" t="e">
        <f>VLOOKUP(A29, citation_data!A:E, 6, FALSE)</f>
        <v>#REF!</v>
      </c>
    </row>
    <row r="30" spans="1:15" ht="19.5" customHeight="1">
      <c r="A30" s="4" t="s">
        <v>116</v>
      </c>
      <c r="B30" s="142" t="s">
        <v>117</v>
      </c>
      <c r="C30" s="142" t="s">
        <v>27</v>
      </c>
      <c r="D30" s="143">
        <v>2018</v>
      </c>
      <c r="E30" s="117"/>
      <c r="F30" s="118" t="s">
        <v>1466</v>
      </c>
      <c r="G30" s="126"/>
      <c r="H30" s="126"/>
      <c r="I30" s="119" t="s">
        <v>1450</v>
      </c>
      <c r="J30" s="120">
        <f t="shared" ref="J30:J31" si="5">IF(ISTEXT(F30), 1, 0)</f>
        <v>1</v>
      </c>
      <c r="K30" s="121"/>
      <c r="L30" s="122"/>
      <c r="M30" s="123"/>
      <c r="N30" s="124" t="s">
        <v>1479</v>
      </c>
      <c r="O30" s="42" t="e">
        <f>VLOOKUP(A30, citation_data!A:E, 6, FALSE)</f>
        <v>#REF!</v>
      </c>
    </row>
    <row r="31" spans="1:15" ht="19.5" customHeight="1">
      <c r="A31" s="4" t="s">
        <v>119</v>
      </c>
      <c r="B31" s="142" t="s">
        <v>120</v>
      </c>
      <c r="C31" s="142" t="s">
        <v>121</v>
      </c>
      <c r="D31" s="143">
        <v>2018</v>
      </c>
      <c r="E31" s="117"/>
      <c r="F31" s="118" t="s">
        <v>1480</v>
      </c>
      <c r="G31" s="126"/>
      <c r="H31" s="126"/>
      <c r="I31" s="119" t="s">
        <v>1477</v>
      </c>
      <c r="J31" s="120">
        <f t="shared" si="5"/>
        <v>1</v>
      </c>
      <c r="K31" s="121"/>
      <c r="L31" s="122"/>
      <c r="M31" s="123"/>
      <c r="N31" s="124" t="s">
        <v>1481</v>
      </c>
      <c r="O31" s="42" t="e">
        <f>VLOOKUP(A31, citation_data!A:E, 6, FALSE)</f>
        <v>#REF!</v>
      </c>
    </row>
    <row r="32" spans="1:15" ht="19.5" customHeight="1">
      <c r="A32" s="4" t="s">
        <v>123</v>
      </c>
      <c r="B32" s="142" t="s">
        <v>124</v>
      </c>
      <c r="C32" s="142" t="s">
        <v>125</v>
      </c>
      <c r="D32" s="143">
        <v>2018</v>
      </c>
      <c r="E32" s="117"/>
      <c r="F32" s="118" t="s">
        <v>1482</v>
      </c>
      <c r="G32" s="119" t="s">
        <v>1434</v>
      </c>
      <c r="H32" s="126"/>
      <c r="I32" s="126" t="s">
        <v>1432</v>
      </c>
      <c r="J32" s="120"/>
      <c r="K32" s="121"/>
      <c r="L32" s="122"/>
      <c r="M32" s="123">
        <f t="shared" ref="M32:M38" si="6">IF(ISTEXT(I32), 1, 0)</f>
        <v>1</v>
      </c>
      <c r="N32" s="124" t="s">
        <v>1433</v>
      </c>
      <c r="O32" s="42" t="e">
        <f>VLOOKUP(A32, citation_data!A:E, 6, FALSE)</f>
        <v>#REF!</v>
      </c>
    </row>
    <row r="33" spans="1:25" ht="19.5" customHeight="1">
      <c r="A33" s="4" t="s">
        <v>127</v>
      </c>
      <c r="B33" s="142" t="s">
        <v>128</v>
      </c>
      <c r="C33" s="142" t="s">
        <v>129</v>
      </c>
      <c r="D33" s="143">
        <v>2018</v>
      </c>
      <c r="E33" s="117"/>
      <c r="F33" s="118" t="s">
        <v>1483</v>
      </c>
      <c r="G33" s="119" t="s">
        <v>1484</v>
      </c>
      <c r="H33" s="126"/>
      <c r="I33" s="119" t="s">
        <v>1477</v>
      </c>
      <c r="J33" s="120"/>
      <c r="K33" s="121"/>
      <c r="L33" s="122"/>
      <c r="M33" s="123">
        <f t="shared" si="6"/>
        <v>1</v>
      </c>
      <c r="N33" s="124" t="s">
        <v>1433</v>
      </c>
      <c r="O33" s="42" t="e">
        <f>VLOOKUP(A33, citation_data!A:E, 6, FALSE)</f>
        <v>#REF!</v>
      </c>
    </row>
    <row r="34" spans="1:25" ht="19.5" customHeight="1">
      <c r="A34" s="4" t="s">
        <v>131</v>
      </c>
      <c r="B34" s="142" t="s">
        <v>132</v>
      </c>
      <c r="C34" s="142" t="s">
        <v>133</v>
      </c>
      <c r="D34" s="143">
        <v>2018</v>
      </c>
      <c r="E34" s="117"/>
      <c r="F34" s="118" t="s">
        <v>1423</v>
      </c>
      <c r="G34" s="119" t="s">
        <v>1416</v>
      </c>
      <c r="H34" s="126"/>
      <c r="I34" s="119" t="s">
        <v>1450</v>
      </c>
      <c r="J34" s="120"/>
      <c r="K34" s="121"/>
      <c r="L34" s="122"/>
      <c r="M34" s="123">
        <f t="shared" si="6"/>
        <v>1</v>
      </c>
      <c r="N34" s="124" t="s">
        <v>1433</v>
      </c>
      <c r="O34" s="42" t="e">
        <f>VLOOKUP(A34, citation_data!A:E, 6, FALSE)</f>
        <v>#REF!</v>
      </c>
    </row>
    <row r="35" spans="1:25" ht="19.5" customHeight="1">
      <c r="A35" s="4" t="s">
        <v>135</v>
      </c>
      <c r="B35" s="142" t="s">
        <v>136</v>
      </c>
      <c r="C35" s="142" t="s">
        <v>137</v>
      </c>
      <c r="D35" s="143">
        <v>2018</v>
      </c>
      <c r="E35" s="130"/>
      <c r="F35" s="128"/>
      <c r="G35" s="119" t="s">
        <v>1416</v>
      </c>
      <c r="H35" s="126"/>
      <c r="I35" s="119" t="s">
        <v>1450</v>
      </c>
      <c r="J35" s="120"/>
      <c r="K35" s="121"/>
      <c r="L35" s="122"/>
      <c r="M35" s="123">
        <f t="shared" si="6"/>
        <v>1</v>
      </c>
      <c r="N35" s="124" t="s">
        <v>1433</v>
      </c>
      <c r="O35" s="42" t="e">
        <f>VLOOKUP(A35, citation_data!A:E, 6, FALSE)</f>
        <v>#REF!</v>
      </c>
    </row>
    <row r="36" spans="1:25" ht="19.5" customHeight="1">
      <c r="A36" s="4" t="s">
        <v>139</v>
      </c>
      <c r="B36" s="142" t="s">
        <v>140</v>
      </c>
      <c r="C36" s="142" t="s">
        <v>141</v>
      </c>
      <c r="D36" s="143">
        <v>2018</v>
      </c>
      <c r="E36" s="117"/>
      <c r="F36" s="118" t="s">
        <v>1485</v>
      </c>
      <c r="G36" s="119" t="s">
        <v>1416</v>
      </c>
      <c r="H36" s="126"/>
      <c r="I36" s="119" t="s">
        <v>1486</v>
      </c>
      <c r="J36" s="120"/>
      <c r="K36" s="121"/>
      <c r="L36" s="122"/>
      <c r="M36" s="123">
        <f t="shared" si="6"/>
        <v>1</v>
      </c>
      <c r="N36" s="124" t="s">
        <v>1487</v>
      </c>
      <c r="O36" s="42" t="e">
        <f>VLOOKUP(A36, citation_data!A:E, 6, FALSE)</f>
        <v>#REF!</v>
      </c>
    </row>
    <row r="37" spans="1:25" ht="19.5" customHeight="1">
      <c r="A37" s="4" t="s">
        <v>143</v>
      </c>
      <c r="B37" s="142" t="s">
        <v>144</v>
      </c>
      <c r="C37" s="142" t="s">
        <v>145</v>
      </c>
      <c r="D37" s="143">
        <v>2018</v>
      </c>
      <c r="E37" s="117"/>
      <c r="F37" s="118" t="s">
        <v>1488</v>
      </c>
      <c r="G37" s="119" t="s">
        <v>1416</v>
      </c>
      <c r="H37" s="119" t="s">
        <v>1489</v>
      </c>
      <c r="I37" s="119" t="s">
        <v>1477</v>
      </c>
      <c r="J37" s="120"/>
      <c r="K37" s="121"/>
      <c r="L37" s="122"/>
      <c r="M37" s="123">
        <f t="shared" si="6"/>
        <v>1</v>
      </c>
      <c r="N37" s="124" t="s">
        <v>1490</v>
      </c>
      <c r="O37" s="42" t="e">
        <f>VLOOKUP(A37, citation_data!A:E, 6, FALSE)</f>
        <v>#REF!</v>
      </c>
    </row>
    <row r="38" spans="1:25" ht="19.5" customHeight="1">
      <c r="A38" s="4" t="s">
        <v>147</v>
      </c>
      <c r="B38" s="142" t="s">
        <v>148</v>
      </c>
      <c r="C38" s="142" t="s">
        <v>149</v>
      </c>
      <c r="D38" s="143">
        <v>2018</v>
      </c>
      <c r="E38" s="117"/>
      <c r="F38" s="118" t="s">
        <v>1491</v>
      </c>
      <c r="G38" s="126"/>
      <c r="H38" s="126"/>
      <c r="I38" s="119" t="s">
        <v>1477</v>
      </c>
      <c r="J38" s="120"/>
      <c r="K38" s="121"/>
      <c r="L38" s="122"/>
      <c r="M38" s="123">
        <f t="shared" si="6"/>
        <v>1</v>
      </c>
      <c r="N38" s="124" t="s">
        <v>1492</v>
      </c>
      <c r="O38" s="42" t="e">
        <f>VLOOKUP(A38, citation_data!A:E, 6, FALSE)</f>
        <v>#REF!</v>
      </c>
    </row>
    <row r="39" spans="1:25" ht="19.5" customHeight="1">
      <c r="A39" s="4" t="s">
        <v>151</v>
      </c>
      <c r="B39" s="142" t="s">
        <v>152</v>
      </c>
      <c r="C39" s="142" t="s">
        <v>153</v>
      </c>
      <c r="D39" s="143">
        <v>2018</v>
      </c>
      <c r="E39" s="117"/>
      <c r="F39" s="118" t="s">
        <v>1493</v>
      </c>
      <c r="G39" s="119" t="s">
        <v>1494</v>
      </c>
      <c r="H39" s="126"/>
      <c r="I39" s="126"/>
      <c r="J39" s="120">
        <f>IF(ISTEXT(F39), 1, 0)</f>
        <v>1</v>
      </c>
      <c r="K39" s="121"/>
      <c r="L39" s="122"/>
      <c r="M39" s="123"/>
      <c r="N39" s="124" t="s">
        <v>1495</v>
      </c>
      <c r="O39" s="42" t="e">
        <f>VLOOKUP(A39, citation_data!A:E, 6, FALSE)</f>
        <v>#REF!</v>
      </c>
    </row>
    <row r="40" spans="1:25" ht="19.5" customHeight="1">
      <c r="A40" s="131" t="s">
        <v>155</v>
      </c>
      <c r="B40" s="151" t="s">
        <v>156</v>
      </c>
      <c r="C40" s="151" t="s">
        <v>157</v>
      </c>
      <c r="D40" s="152">
        <v>2018</v>
      </c>
      <c r="E40" s="135"/>
      <c r="F40" s="136" t="s">
        <v>1496</v>
      </c>
      <c r="G40" s="153" t="s">
        <v>1416</v>
      </c>
      <c r="H40" s="137"/>
      <c r="I40" s="153" t="s">
        <v>1437</v>
      </c>
      <c r="J40" s="138"/>
      <c r="K40" s="139"/>
      <c r="L40" s="140"/>
      <c r="M40" s="141">
        <f>IF(ISTEXT(I40), 1, 0)</f>
        <v>1</v>
      </c>
      <c r="N40" s="124" t="s">
        <v>1478</v>
      </c>
      <c r="O40" s="42" t="e">
        <f>VLOOKUP(A40, citation_data!A:E, 6, FALSE)</f>
        <v>#REF!</v>
      </c>
    </row>
    <row r="41" spans="1:25" ht="19.5" customHeight="1">
      <c r="A41" s="4" t="s">
        <v>159</v>
      </c>
      <c r="B41" s="115" t="s">
        <v>160</v>
      </c>
      <c r="C41" s="28" t="s">
        <v>161</v>
      </c>
      <c r="D41" s="116">
        <v>2019</v>
      </c>
      <c r="E41" s="117"/>
      <c r="F41" s="154" t="s">
        <v>1497</v>
      </c>
      <c r="G41" s="146"/>
      <c r="H41" s="146"/>
      <c r="I41" s="146"/>
      <c r="J41" s="147">
        <f>IF(ISTEXT(F41), 1, 0)</f>
        <v>1</v>
      </c>
      <c r="K41" s="148"/>
      <c r="L41" s="149"/>
      <c r="M41" s="150"/>
      <c r="N41" s="124" t="s">
        <v>1498</v>
      </c>
      <c r="O41" s="42" t="e">
        <f>VLOOKUP(A41, citation_data!A:E, 6, FALSE)</f>
        <v>#REF!</v>
      </c>
    </row>
    <row r="42" spans="1:25" ht="19.5" customHeight="1">
      <c r="A42" s="4" t="s">
        <v>163</v>
      </c>
      <c r="B42" s="125" t="s">
        <v>164</v>
      </c>
      <c r="C42" s="28" t="s">
        <v>165</v>
      </c>
      <c r="D42" s="116">
        <v>2019</v>
      </c>
      <c r="E42" s="130"/>
      <c r="F42" s="128" t="s">
        <v>1499</v>
      </c>
      <c r="G42" s="119" t="s">
        <v>1500</v>
      </c>
      <c r="H42" s="126"/>
      <c r="I42" s="126"/>
      <c r="J42" s="120"/>
      <c r="K42" s="121"/>
      <c r="L42" s="122"/>
      <c r="M42" s="123">
        <v>1</v>
      </c>
      <c r="N42" s="124" t="s">
        <v>1501</v>
      </c>
      <c r="O42" s="42" t="e">
        <f>VLOOKUP(A42, citation_data!A:E, 6, FALSE)</f>
        <v>#REF!</v>
      </c>
    </row>
    <row r="43" spans="1:25" ht="19.5" customHeight="1">
      <c r="A43" s="4" t="s">
        <v>167</v>
      </c>
      <c r="B43" s="115" t="s">
        <v>168</v>
      </c>
      <c r="C43" s="28" t="s">
        <v>169</v>
      </c>
      <c r="D43" s="116">
        <v>2019</v>
      </c>
      <c r="E43" s="117"/>
      <c r="F43" s="118" t="s">
        <v>1423</v>
      </c>
      <c r="G43" s="126"/>
      <c r="H43" s="126"/>
      <c r="I43" s="119" t="s">
        <v>1502</v>
      </c>
      <c r="J43" s="120">
        <f>IF(ISTEXT(F43), 1, 0)</f>
        <v>1</v>
      </c>
      <c r="K43" s="121"/>
      <c r="L43" s="122"/>
      <c r="M43" s="123"/>
      <c r="N43" s="124" t="s">
        <v>1503</v>
      </c>
      <c r="O43" s="42" t="e">
        <f>VLOOKUP(A43, citation_data!A:E, 6, FALSE)</f>
        <v>#REF!</v>
      </c>
    </row>
    <row r="44" spans="1:25" ht="19.5" customHeight="1">
      <c r="A44" s="4" t="s">
        <v>171</v>
      </c>
      <c r="B44" s="125" t="s">
        <v>172</v>
      </c>
      <c r="C44" s="28" t="s">
        <v>173</v>
      </c>
      <c r="D44" s="116">
        <v>2019</v>
      </c>
      <c r="E44" s="117"/>
      <c r="F44" s="118" t="s">
        <v>1423</v>
      </c>
      <c r="G44" s="126"/>
      <c r="H44" s="119" t="s">
        <v>1504</v>
      </c>
      <c r="I44" s="126"/>
      <c r="J44" s="120"/>
      <c r="K44" s="121"/>
      <c r="L44" s="122"/>
      <c r="M44" s="123">
        <v>1</v>
      </c>
      <c r="N44" s="124" t="s">
        <v>1433</v>
      </c>
      <c r="O44" s="42" t="e">
        <f>VLOOKUP(A44, citation_data!A:E, 6, FALSE)</f>
        <v>#REF!</v>
      </c>
    </row>
    <row r="45" spans="1:25" ht="19.5" customHeight="1">
      <c r="A45" s="4" t="s">
        <v>175</v>
      </c>
      <c r="B45" s="115" t="s">
        <v>176</v>
      </c>
      <c r="C45" s="28" t="s">
        <v>177</v>
      </c>
      <c r="D45" s="116">
        <v>2019</v>
      </c>
      <c r="E45" s="117"/>
      <c r="F45" s="118" t="s">
        <v>1497</v>
      </c>
      <c r="G45" s="126"/>
      <c r="H45" s="126"/>
      <c r="I45" s="126"/>
      <c r="J45" s="120">
        <f>IF(ISTEXT(F45), 1, 0)</f>
        <v>1</v>
      </c>
      <c r="K45" s="121"/>
      <c r="L45" s="122"/>
      <c r="M45" s="123"/>
      <c r="N45" s="124" t="s">
        <v>1505</v>
      </c>
      <c r="O45" s="42" t="e">
        <f>VLOOKUP(A45, citation_data!A:E, 6, FALSE)</f>
        <v>#REF!</v>
      </c>
    </row>
    <row r="46" spans="1:25" ht="19.5" customHeight="1">
      <c r="A46" s="131" t="s">
        <v>179</v>
      </c>
      <c r="B46" s="159" t="s">
        <v>180</v>
      </c>
      <c r="C46" s="133" t="s">
        <v>181</v>
      </c>
      <c r="D46" s="134">
        <v>2019</v>
      </c>
      <c r="E46" s="135"/>
      <c r="F46" s="136" t="s">
        <v>1506</v>
      </c>
      <c r="G46" s="153" t="s">
        <v>1507</v>
      </c>
      <c r="H46" s="153" t="s">
        <v>1508</v>
      </c>
      <c r="I46" s="153" t="s">
        <v>1509</v>
      </c>
      <c r="J46" s="138"/>
      <c r="K46" s="139"/>
      <c r="L46" s="140"/>
      <c r="M46" s="141">
        <f t="shared" ref="M46:M47" si="7">IF(ISTEXT(I46), 1, 0)</f>
        <v>1</v>
      </c>
      <c r="N46" s="124" t="s">
        <v>1510</v>
      </c>
      <c r="O46" s="42" t="e">
        <f>VLOOKUP(A46, citation_data!A:E, 6, FALSE)</f>
        <v>#REF!</v>
      </c>
    </row>
    <row r="47" spans="1:25" ht="19.5" customHeight="1">
      <c r="A47" s="4" t="s">
        <v>183</v>
      </c>
      <c r="B47" s="142" t="s">
        <v>184</v>
      </c>
      <c r="C47" s="142" t="s">
        <v>185</v>
      </c>
      <c r="D47" s="143">
        <v>2020</v>
      </c>
      <c r="E47" s="160"/>
      <c r="F47" s="144" t="s">
        <v>1511</v>
      </c>
      <c r="G47" s="161"/>
      <c r="H47" s="162"/>
      <c r="I47" s="163" t="s">
        <v>1512</v>
      </c>
      <c r="J47" s="147"/>
      <c r="K47" s="148"/>
      <c r="L47" s="149"/>
      <c r="M47" s="150">
        <f t="shared" si="7"/>
        <v>1</v>
      </c>
      <c r="N47" s="124" t="s">
        <v>619</v>
      </c>
      <c r="O47" s="42" t="e">
        <f>VLOOKUP(A47, citation_data!A:E, 6, FALSE)</f>
        <v>#REF!</v>
      </c>
      <c r="P47" s="164"/>
      <c r="Q47" s="164"/>
      <c r="S47" s="32"/>
      <c r="T47" s="58"/>
    </row>
    <row r="48" spans="1:25" ht="19.5" customHeight="1">
      <c r="A48" s="4" t="s">
        <v>187</v>
      </c>
      <c r="B48" s="142" t="s">
        <v>188</v>
      </c>
      <c r="C48" s="142" t="s">
        <v>189</v>
      </c>
      <c r="D48" s="143">
        <v>2020</v>
      </c>
      <c r="E48" s="160"/>
      <c r="F48" s="128" t="s">
        <v>1513</v>
      </c>
      <c r="G48" s="165"/>
      <c r="H48" s="166"/>
      <c r="I48" s="129"/>
      <c r="J48" s="120">
        <f>IF(ISTEXT(F48), 1, 0)</f>
        <v>1</v>
      </c>
      <c r="K48" s="121"/>
      <c r="L48" s="122"/>
      <c r="M48" s="123"/>
      <c r="N48" s="124" t="s">
        <v>1514</v>
      </c>
      <c r="O48" s="42" t="e">
        <f>VLOOKUP(A48, citation_data!A:E, 6, FALSE)</f>
        <v>#REF!</v>
      </c>
      <c r="P48" s="164"/>
      <c r="Q48" s="164"/>
      <c r="S48" s="32"/>
      <c r="T48" s="58"/>
      <c r="U48" s="167"/>
      <c r="V48" s="167"/>
      <c r="W48" s="167"/>
      <c r="X48" s="167"/>
      <c r="Y48" s="167"/>
    </row>
    <row r="49" spans="1:25" ht="19.5" customHeight="1">
      <c r="A49" s="4" t="s">
        <v>191</v>
      </c>
      <c r="B49" s="142" t="s">
        <v>192</v>
      </c>
      <c r="C49" s="142" t="s">
        <v>193</v>
      </c>
      <c r="D49" s="143">
        <v>2020</v>
      </c>
      <c r="E49" s="160"/>
      <c r="F49" s="128"/>
      <c r="G49" s="165"/>
      <c r="H49" s="166"/>
      <c r="I49" s="129" t="s">
        <v>1515</v>
      </c>
      <c r="J49" s="120"/>
      <c r="K49" s="121"/>
      <c r="L49" s="122"/>
      <c r="M49" s="123">
        <f>IF(ISTEXT(I49), 1, 0)</f>
        <v>1</v>
      </c>
      <c r="N49" s="124"/>
      <c r="O49" s="42" t="e">
        <f>VLOOKUP(A49, citation_data!A:E, 6, FALSE)</f>
        <v>#REF!</v>
      </c>
      <c r="P49" s="164"/>
      <c r="Q49" s="164"/>
      <c r="S49" s="32"/>
      <c r="T49" s="58"/>
      <c r="U49" s="167"/>
      <c r="V49" s="167"/>
      <c r="W49" s="167"/>
      <c r="X49" s="167"/>
      <c r="Y49" s="167"/>
    </row>
    <row r="50" spans="1:25" ht="19.5" customHeight="1">
      <c r="A50" s="4" t="s">
        <v>195</v>
      </c>
      <c r="B50" s="142" t="s">
        <v>196</v>
      </c>
      <c r="C50" s="142" t="s">
        <v>197</v>
      </c>
      <c r="D50" s="143">
        <v>2020</v>
      </c>
      <c r="E50" s="160"/>
      <c r="F50" s="128" t="s">
        <v>1516</v>
      </c>
      <c r="G50" s="165"/>
      <c r="H50" s="166"/>
      <c r="I50" s="129"/>
      <c r="J50" s="120"/>
      <c r="K50" s="121"/>
      <c r="L50" s="122"/>
      <c r="M50" s="123">
        <v>1</v>
      </c>
      <c r="N50" s="124" t="s">
        <v>1517</v>
      </c>
      <c r="O50" s="42" t="e">
        <f>VLOOKUP(A50, citation_data!A:E, 6, FALSE)</f>
        <v>#REF!</v>
      </c>
      <c r="P50" s="164"/>
      <c r="Q50" s="164"/>
      <c r="S50" s="32"/>
      <c r="T50" s="58"/>
    </row>
    <row r="51" spans="1:25" ht="19.5" customHeight="1">
      <c r="A51" s="4" t="s">
        <v>199</v>
      </c>
      <c r="B51" s="142" t="s">
        <v>200</v>
      </c>
      <c r="C51" s="142" t="s">
        <v>201</v>
      </c>
      <c r="D51" s="143">
        <v>2020</v>
      </c>
      <c r="E51" s="160"/>
      <c r="F51" s="128" t="s">
        <v>1518</v>
      </c>
      <c r="G51" s="165"/>
      <c r="H51" s="166"/>
      <c r="I51" s="129"/>
      <c r="J51" s="120"/>
      <c r="K51" s="121"/>
      <c r="L51" s="122"/>
      <c r="M51" s="123">
        <v>1</v>
      </c>
      <c r="N51" s="124" t="s">
        <v>1519</v>
      </c>
      <c r="O51" s="42" t="e">
        <f>VLOOKUP(A51, citation_data!A:E, 6, FALSE)</f>
        <v>#REF!</v>
      </c>
      <c r="P51" s="164"/>
      <c r="Q51" s="164"/>
      <c r="S51" s="32"/>
      <c r="T51" s="58"/>
    </row>
    <row r="52" spans="1:25" ht="19.5" customHeight="1">
      <c r="A52" s="4" t="s">
        <v>203</v>
      </c>
      <c r="B52" s="142" t="s">
        <v>204</v>
      </c>
      <c r="C52" s="142" t="s">
        <v>205</v>
      </c>
      <c r="D52" s="143">
        <v>2020</v>
      </c>
      <c r="E52" s="160"/>
      <c r="F52" s="128"/>
      <c r="G52" s="165"/>
      <c r="H52" s="166"/>
      <c r="I52" s="129" t="s">
        <v>1520</v>
      </c>
      <c r="J52" s="120"/>
      <c r="K52" s="121"/>
      <c r="L52" s="122"/>
      <c r="M52" s="123">
        <f>IF(ISTEXT(I52), 1, 0)</f>
        <v>1</v>
      </c>
      <c r="N52" s="124" t="s">
        <v>1521</v>
      </c>
      <c r="O52" s="42" t="e">
        <f>VLOOKUP(A52, citation_data!A:E, 6, FALSE)</f>
        <v>#REF!</v>
      </c>
      <c r="P52" s="164"/>
      <c r="Q52" s="164"/>
      <c r="S52" s="32"/>
      <c r="T52" s="58"/>
    </row>
    <row r="53" spans="1:25" ht="19.5" customHeight="1">
      <c r="A53" s="4" t="s">
        <v>207</v>
      </c>
      <c r="B53" s="142" t="s">
        <v>208</v>
      </c>
      <c r="C53" s="142" t="s">
        <v>209</v>
      </c>
      <c r="D53" s="143">
        <v>2020</v>
      </c>
      <c r="E53" s="160"/>
      <c r="F53" s="128" t="s">
        <v>1522</v>
      </c>
      <c r="G53" s="165"/>
      <c r="H53" s="168"/>
      <c r="I53" s="129"/>
      <c r="J53" s="120">
        <f>IF(ISTEXT(F53), 1, 0)</f>
        <v>1</v>
      </c>
      <c r="K53" s="121"/>
      <c r="L53" s="122"/>
      <c r="M53" s="123"/>
      <c r="N53" s="124" t="s">
        <v>1523</v>
      </c>
      <c r="O53" s="42" t="e">
        <f>VLOOKUP(A53, citation_data!A:E, 6, FALSE)</f>
        <v>#REF!</v>
      </c>
      <c r="P53" s="169"/>
      <c r="Q53" s="169"/>
      <c r="S53" s="32"/>
      <c r="T53" s="58"/>
    </row>
    <row r="54" spans="1:25" ht="19.5" customHeight="1">
      <c r="A54" s="4" t="s">
        <v>211</v>
      </c>
      <c r="B54" s="142" t="s">
        <v>212</v>
      </c>
      <c r="C54" s="142" t="s">
        <v>213</v>
      </c>
      <c r="D54" s="143">
        <v>2020</v>
      </c>
      <c r="E54" s="160"/>
      <c r="F54" s="128" t="s">
        <v>1524</v>
      </c>
      <c r="G54" s="165" t="s">
        <v>1525</v>
      </c>
      <c r="H54" s="166" t="s">
        <v>1526</v>
      </c>
      <c r="I54" s="129" t="s">
        <v>1527</v>
      </c>
      <c r="J54" s="120"/>
      <c r="K54" s="121"/>
      <c r="L54" s="122"/>
      <c r="M54" s="123">
        <f>IF(ISTEXT(I54), 1, 0)</f>
        <v>1</v>
      </c>
      <c r="N54" s="124" t="s">
        <v>1528</v>
      </c>
      <c r="O54" s="42" t="e">
        <f>VLOOKUP(A54, citation_data!A:E, 6, FALSE)</f>
        <v>#REF!</v>
      </c>
      <c r="P54" s="164"/>
      <c r="Q54" s="164"/>
      <c r="S54" s="32"/>
      <c r="T54" s="58"/>
    </row>
    <row r="55" spans="1:25" ht="19.5" customHeight="1">
      <c r="A55" s="4" t="s">
        <v>215</v>
      </c>
      <c r="B55" s="142" t="s">
        <v>216</v>
      </c>
      <c r="C55" s="142" t="s">
        <v>217</v>
      </c>
      <c r="D55" s="143">
        <v>2020</v>
      </c>
      <c r="E55" s="160"/>
      <c r="F55" s="128" t="s">
        <v>1529</v>
      </c>
      <c r="G55" s="165"/>
      <c r="H55" s="166"/>
      <c r="I55" s="129"/>
      <c r="J55" s="120"/>
      <c r="K55" s="121"/>
      <c r="L55" s="122"/>
      <c r="M55" s="123">
        <v>1</v>
      </c>
      <c r="N55" s="124" t="s">
        <v>1530</v>
      </c>
      <c r="O55" s="42" t="e">
        <f>VLOOKUP(A55, citation_data!A:E, 6, FALSE)</f>
        <v>#REF!</v>
      </c>
      <c r="P55" s="164"/>
      <c r="Q55" s="164"/>
      <c r="S55" s="32"/>
      <c r="T55" s="58"/>
      <c r="U55" s="167"/>
      <c r="V55" s="167"/>
      <c r="W55" s="167"/>
      <c r="X55" s="167"/>
      <c r="Y55" s="167"/>
    </row>
    <row r="56" spans="1:25" ht="19.5" customHeight="1">
      <c r="A56" s="4" t="s">
        <v>219</v>
      </c>
      <c r="B56" s="142" t="s">
        <v>220</v>
      </c>
      <c r="C56" s="142" t="s">
        <v>221</v>
      </c>
      <c r="D56" s="143">
        <v>2020</v>
      </c>
      <c r="E56" s="160"/>
      <c r="F56" s="128"/>
      <c r="G56" s="165" t="s">
        <v>1531</v>
      </c>
      <c r="H56" s="129"/>
      <c r="I56" s="129" t="s">
        <v>1532</v>
      </c>
      <c r="J56" s="120"/>
      <c r="K56" s="121"/>
      <c r="L56" s="122"/>
      <c r="M56" s="123">
        <f>IF(ISTEXT(I56), 1, 0)</f>
        <v>1</v>
      </c>
      <c r="N56" s="124" t="s">
        <v>1533</v>
      </c>
      <c r="O56" s="42" t="e">
        <f>VLOOKUP(A56, citation_data!A:E, 6, FALSE)</f>
        <v>#REF!</v>
      </c>
      <c r="S56" s="32"/>
      <c r="T56" s="58"/>
    </row>
    <row r="57" spans="1:25" ht="19.5" customHeight="1">
      <c r="A57" s="4" t="s">
        <v>223</v>
      </c>
      <c r="B57" s="142" t="s">
        <v>224</v>
      </c>
      <c r="C57" s="142" t="s">
        <v>225</v>
      </c>
      <c r="D57" s="143">
        <v>2020</v>
      </c>
      <c r="E57" s="160"/>
      <c r="F57" s="128" t="s">
        <v>1534</v>
      </c>
      <c r="G57" s="165"/>
      <c r="H57" s="166"/>
      <c r="I57" s="129"/>
      <c r="J57" s="120">
        <f>IF(ISTEXT(F57), 1, 0)</f>
        <v>1</v>
      </c>
      <c r="K57" s="121"/>
      <c r="L57" s="122"/>
      <c r="M57" s="123"/>
      <c r="N57" s="124" t="s">
        <v>1535</v>
      </c>
      <c r="O57" s="42" t="e">
        <f>VLOOKUP(A57, citation_data!A:E, 6, FALSE)</f>
        <v>#REF!</v>
      </c>
      <c r="P57" s="164"/>
      <c r="Q57" s="164"/>
      <c r="S57" s="32"/>
      <c r="T57" s="58"/>
      <c r="U57" s="167"/>
      <c r="V57" s="167"/>
      <c r="W57" s="167"/>
      <c r="X57" s="167"/>
      <c r="Y57" s="167"/>
    </row>
    <row r="58" spans="1:25" ht="19.5" customHeight="1">
      <c r="A58" s="131" t="s">
        <v>227</v>
      </c>
      <c r="B58" s="151" t="s">
        <v>228</v>
      </c>
      <c r="C58" s="151" t="s">
        <v>229</v>
      </c>
      <c r="D58" s="152">
        <v>2020</v>
      </c>
      <c r="E58" s="170"/>
      <c r="F58" s="158" t="s">
        <v>1536</v>
      </c>
      <c r="G58" s="171"/>
      <c r="H58" s="172"/>
      <c r="I58" s="173"/>
      <c r="J58" s="138"/>
      <c r="K58" s="139"/>
      <c r="L58" s="140"/>
      <c r="M58" s="141">
        <v>1</v>
      </c>
      <c r="N58" s="124" t="s">
        <v>1537</v>
      </c>
      <c r="O58" s="42" t="e">
        <f>VLOOKUP(A58, citation_data!A:E, 6, FALSE)</f>
        <v>#REF!</v>
      </c>
      <c r="P58" s="164"/>
      <c r="Q58" s="164"/>
      <c r="S58" s="32"/>
      <c r="T58" s="58"/>
      <c r="U58" s="167"/>
      <c r="V58" s="167"/>
      <c r="W58" s="167"/>
      <c r="X58" s="167"/>
      <c r="Y58" s="167"/>
    </row>
    <row r="59" spans="1:25" ht="19.5" customHeight="1">
      <c r="A59" s="4" t="s">
        <v>231</v>
      </c>
      <c r="B59" s="14" t="s">
        <v>232</v>
      </c>
      <c r="C59" s="15" t="s">
        <v>233</v>
      </c>
      <c r="D59" s="116">
        <v>2021</v>
      </c>
      <c r="E59" s="117"/>
      <c r="F59" s="154" t="s">
        <v>1538</v>
      </c>
      <c r="G59" s="146"/>
      <c r="H59" s="146"/>
      <c r="I59" s="146"/>
      <c r="J59" s="147">
        <f t="shared" ref="J59:J61" si="8">IF(ISTEXT(F59), 1, 0)</f>
        <v>1</v>
      </c>
      <c r="K59" s="148"/>
      <c r="L59" s="149"/>
      <c r="M59" s="150"/>
      <c r="N59" s="124" t="s">
        <v>1427</v>
      </c>
      <c r="O59" s="42" t="e">
        <f>VLOOKUP(A59, citation_data!A:E, 6, FALSE)</f>
        <v>#REF!</v>
      </c>
    </row>
    <row r="60" spans="1:25" ht="19.5" customHeight="1">
      <c r="A60" s="4" t="s">
        <v>235</v>
      </c>
      <c r="B60" s="16" t="s">
        <v>236</v>
      </c>
      <c r="C60" s="15" t="s">
        <v>237</v>
      </c>
      <c r="D60" s="116">
        <v>2021</v>
      </c>
      <c r="E60" s="117"/>
      <c r="F60" s="118" t="s">
        <v>1539</v>
      </c>
      <c r="G60" s="126"/>
      <c r="H60" s="126"/>
      <c r="I60" s="126"/>
      <c r="J60" s="120">
        <f t="shared" si="8"/>
        <v>1</v>
      </c>
      <c r="K60" s="121"/>
      <c r="L60" s="122"/>
      <c r="M60" s="123"/>
      <c r="N60" s="124" t="s">
        <v>1540</v>
      </c>
      <c r="O60" s="42" t="e">
        <f>VLOOKUP(A60, citation_data!A:E, 6, FALSE)</f>
        <v>#REF!</v>
      </c>
    </row>
    <row r="61" spans="1:25" ht="19.5" customHeight="1">
      <c r="A61" s="4" t="s">
        <v>239</v>
      </c>
      <c r="B61" s="14" t="s">
        <v>240</v>
      </c>
      <c r="C61" s="15" t="s">
        <v>241</v>
      </c>
      <c r="D61" s="116">
        <v>2021</v>
      </c>
      <c r="E61" s="117"/>
      <c r="F61" s="118" t="s">
        <v>1538</v>
      </c>
      <c r="G61" s="126"/>
      <c r="H61" s="126"/>
      <c r="I61" s="126"/>
      <c r="J61" s="120">
        <f t="shared" si="8"/>
        <v>1</v>
      </c>
      <c r="K61" s="121"/>
      <c r="L61" s="122"/>
      <c r="M61" s="123"/>
      <c r="N61" s="124" t="s">
        <v>1541</v>
      </c>
      <c r="O61" s="42" t="e">
        <f>VLOOKUP(A61, citation_data!A:E, 6, FALSE)</f>
        <v>#REF!</v>
      </c>
    </row>
    <row r="62" spans="1:25" ht="19.5" customHeight="1">
      <c r="A62" s="4" t="s">
        <v>243</v>
      </c>
      <c r="B62" s="16" t="s">
        <v>244</v>
      </c>
      <c r="C62" s="15" t="s">
        <v>245</v>
      </c>
      <c r="D62" s="116">
        <v>2021</v>
      </c>
      <c r="E62" s="117"/>
      <c r="F62" s="118" t="s">
        <v>1423</v>
      </c>
      <c r="G62" s="126"/>
      <c r="H62" s="126"/>
      <c r="I62" s="126"/>
      <c r="J62" s="120"/>
      <c r="K62" s="121"/>
      <c r="L62" s="122"/>
      <c r="M62" s="123">
        <v>1</v>
      </c>
      <c r="N62" s="124" t="s">
        <v>1542</v>
      </c>
      <c r="O62" s="42" t="e">
        <f>VLOOKUP(A62, citation_data!A:E, 6, FALSE)</f>
        <v>#REF!</v>
      </c>
    </row>
    <row r="63" spans="1:25" ht="19.5" customHeight="1">
      <c r="A63" s="4" t="s">
        <v>247</v>
      </c>
      <c r="B63" s="14" t="s">
        <v>248</v>
      </c>
      <c r="C63" s="15" t="s">
        <v>249</v>
      </c>
      <c r="D63" s="116">
        <v>2021</v>
      </c>
      <c r="E63" s="130"/>
      <c r="F63" s="128" t="s">
        <v>1543</v>
      </c>
      <c r="G63" s="126"/>
      <c r="H63" s="126"/>
      <c r="I63" s="126"/>
      <c r="J63" s="120"/>
      <c r="K63" s="121"/>
      <c r="L63" s="122"/>
      <c r="M63" s="123">
        <v>1</v>
      </c>
      <c r="N63" s="124" t="s">
        <v>1544</v>
      </c>
      <c r="O63" s="42" t="e">
        <f>VLOOKUP(A63, citation_data!A:E, 6, FALSE)</f>
        <v>#REF!</v>
      </c>
    </row>
    <row r="64" spans="1:25" ht="19.5" customHeight="1">
      <c r="A64" s="4" t="s">
        <v>251</v>
      </c>
      <c r="B64" s="16" t="s">
        <v>252</v>
      </c>
      <c r="C64" s="15" t="s">
        <v>253</v>
      </c>
      <c r="D64" s="116">
        <v>2021</v>
      </c>
      <c r="E64" s="130"/>
      <c r="F64" s="128" t="s">
        <v>1545</v>
      </c>
      <c r="G64" s="119" t="s">
        <v>1416</v>
      </c>
      <c r="H64" s="119" t="s">
        <v>1546</v>
      </c>
      <c r="I64" s="126"/>
      <c r="J64" s="120"/>
      <c r="K64" s="121"/>
      <c r="L64" s="122"/>
      <c r="M64" s="123">
        <v>1</v>
      </c>
      <c r="N64" s="124" t="s">
        <v>1547</v>
      </c>
      <c r="O64" s="42" t="e">
        <f>VLOOKUP(A64, citation_data!A:E, 6, FALSE)</f>
        <v>#REF!</v>
      </c>
    </row>
    <row r="65" spans="1:15" ht="19.5" customHeight="1">
      <c r="A65" s="4" t="s">
        <v>255</v>
      </c>
      <c r="B65" s="14" t="s">
        <v>256</v>
      </c>
      <c r="C65" s="15" t="s">
        <v>257</v>
      </c>
      <c r="D65" s="116">
        <v>2021</v>
      </c>
      <c r="E65" s="117"/>
      <c r="F65" s="118" t="s">
        <v>1548</v>
      </c>
      <c r="G65" s="126"/>
      <c r="H65" s="126"/>
      <c r="I65" s="126"/>
      <c r="J65" s="120"/>
      <c r="K65" s="121"/>
      <c r="L65" s="122"/>
      <c r="M65" s="123">
        <v>1</v>
      </c>
      <c r="N65" s="124" t="s">
        <v>1433</v>
      </c>
      <c r="O65" s="42" t="e">
        <f>VLOOKUP(A65, citation_data!A:E, 6, FALSE)</f>
        <v>#REF!</v>
      </c>
    </row>
    <row r="66" spans="1:15" ht="19.5" customHeight="1">
      <c r="A66" s="4" t="s">
        <v>259</v>
      </c>
      <c r="B66" s="16" t="s">
        <v>260</v>
      </c>
      <c r="C66" s="15" t="s">
        <v>1549</v>
      </c>
      <c r="D66" s="116">
        <v>2021</v>
      </c>
      <c r="E66" s="117"/>
      <c r="F66" s="118" t="s">
        <v>1550</v>
      </c>
      <c r="G66" s="126"/>
      <c r="H66" s="126"/>
      <c r="I66" s="119" t="s">
        <v>1551</v>
      </c>
      <c r="J66" s="120"/>
      <c r="K66" s="121"/>
      <c r="L66" s="122"/>
      <c r="M66" s="123">
        <f>IF(ISTEXT(I66), 1, 0)</f>
        <v>1</v>
      </c>
      <c r="N66" s="124" t="s">
        <v>1552</v>
      </c>
      <c r="O66" s="42" t="e">
        <f>VLOOKUP(A66, citation_data!A:E, 6, FALSE)</f>
        <v>#REF!</v>
      </c>
    </row>
    <row r="67" spans="1:15" ht="19.5" customHeight="1">
      <c r="A67" s="4" t="s">
        <v>263</v>
      </c>
      <c r="B67" s="14" t="s">
        <v>264</v>
      </c>
      <c r="C67" s="15" t="s">
        <v>1553</v>
      </c>
      <c r="D67" s="116">
        <v>2021</v>
      </c>
      <c r="E67" s="117"/>
      <c r="F67" s="118" t="s">
        <v>1550</v>
      </c>
      <c r="G67" s="126"/>
      <c r="H67" s="126"/>
      <c r="I67" s="119" t="s">
        <v>1551</v>
      </c>
      <c r="J67" s="120">
        <f t="shared" ref="J67:J68" si="9">IF(ISTEXT(F67), 1, 0)</f>
        <v>1</v>
      </c>
      <c r="K67" s="121"/>
      <c r="L67" s="122"/>
      <c r="M67" s="123"/>
      <c r="N67" s="124" t="s">
        <v>1554</v>
      </c>
      <c r="O67" s="42" t="e">
        <f>VLOOKUP(A67, citation_data!A:E, 6, FALSE)</f>
        <v>#REF!</v>
      </c>
    </row>
    <row r="68" spans="1:15" ht="19.5" customHeight="1">
      <c r="A68" s="4" t="s">
        <v>267</v>
      </c>
      <c r="B68" s="16" t="s">
        <v>268</v>
      </c>
      <c r="C68" s="15" t="s">
        <v>269</v>
      </c>
      <c r="D68" s="116">
        <v>2021</v>
      </c>
      <c r="E68" s="117"/>
      <c r="F68" s="118" t="s">
        <v>1555</v>
      </c>
      <c r="G68" s="126"/>
      <c r="H68" s="126"/>
      <c r="I68" s="119" t="s">
        <v>1551</v>
      </c>
      <c r="J68" s="120">
        <f t="shared" si="9"/>
        <v>1</v>
      </c>
      <c r="K68" s="121"/>
      <c r="L68" s="122"/>
      <c r="M68" s="123"/>
      <c r="N68" s="124" t="s">
        <v>1554</v>
      </c>
      <c r="O68" s="42" t="e">
        <f>VLOOKUP(A68, citation_data!A:E, 6, FALSE)</f>
        <v>#REF!</v>
      </c>
    </row>
    <row r="69" spans="1:15" ht="19.5" customHeight="1">
      <c r="A69" s="131" t="s">
        <v>271</v>
      </c>
      <c r="B69" s="174" t="s">
        <v>272</v>
      </c>
      <c r="C69" s="175" t="s">
        <v>273</v>
      </c>
      <c r="D69" s="134">
        <v>2021</v>
      </c>
      <c r="E69" s="135"/>
      <c r="F69" s="136" t="s">
        <v>1556</v>
      </c>
      <c r="G69" s="137"/>
      <c r="H69" s="137"/>
      <c r="I69" s="153" t="s">
        <v>1551</v>
      </c>
      <c r="J69" s="138"/>
      <c r="K69" s="139"/>
      <c r="L69" s="140"/>
      <c r="M69" s="141">
        <f>IF(ISTEXT(I69), 1, 0)</f>
        <v>1</v>
      </c>
      <c r="N69" s="124" t="s">
        <v>1557</v>
      </c>
      <c r="O69" s="42" t="e">
        <f>VLOOKUP(A69, citation_data!A:E, 6, FALSE)</f>
        <v>#REF!</v>
      </c>
    </row>
    <row r="70" spans="1:15" ht="19.5" customHeight="1">
      <c r="A70" s="4" t="s">
        <v>275</v>
      </c>
      <c r="B70" s="142" t="s">
        <v>276</v>
      </c>
      <c r="C70" s="142" t="s">
        <v>277</v>
      </c>
      <c r="D70" s="143">
        <v>2022</v>
      </c>
      <c r="E70" s="117"/>
      <c r="F70" s="154" t="s">
        <v>1558</v>
      </c>
      <c r="G70" s="146"/>
      <c r="H70" s="146"/>
      <c r="I70" s="146"/>
      <c r="J70" s="147">
        <f>IF(ISTEXT(F70), 1, 0)</f>
        <v>1</v>
      </c>
      <c r="K70" s="148"/>
      <c r="L70" s="149"/>
      <c r="M70" s="150"/>
      <c r="N70" s="124" t="s">
        <v>1541</v>
      </c>
      <c r="O70" s="42" t="e">
        <f>VLOOKUP(A70, citation_data!A:E, 6, FALSE)</f>
        <v>#REF!</v>
      </c>
    </row>
    <row r="71" spans="1:15" ht="19.5" customHeight="1">
      <c r="A71" s="4" t="s">
        <v>279</v>
      </c>
      <c r="B71" s="142" t="s">
        <v>280</v>
      </c>
      <c r="C71" s="142" t="s">
        <v>281</v>
      </c>
      <c r="D71" s="143">
        <v>2022</v>
      </c>
      <c r="E71" s="117"/>
      <c r="F71" s="118" t="s">
        <v>1556</v>
      </c>
      <c r="G71" s="126"/>
      <c r="H71" s="126"/>
      <c r="I71" s="126"/>
      <c r="J71" s="120"/>
      <c r="K71" s="121"/>
      <c r="L71" s="122"/>
      <c r="M71" s="123">
        <v>1</v>
      </c>
      <c r="N71" s="124" t="s">
        <v>1433</v>
      </c>
      <c r="O71" s="42" t="e">
        <f>VLOOKUP(A71, citation_data!A:E, 6, FALSE)</f>
        <v>#REF!</v>
      </c>
    </row>
    <row r="72" spans="1:15" ht="19.5" customHeight="1">
      <c r="A72" s="4" t="s">
        <v>283</v>
      </c>
      <c r="B72" s="142" t="s">
        <v>284</v>
      </c>
      <c r="C72" s="142" t="s">
        <v>285</v>
      </c>
      <c r="D72" s="143">
        <v>2022</v>
      </c>
      <c r="E72" s="117"/>
      <c r="F72" s="118" t="s">
        <v>1556</v>
      </c>
      <c r="G72" s="126"/>
      <c r="H72" s="126"/>
      <c r="I72" s="126"/>
      <c r="J72" s="120">
        <f>IF(ISTEXT(F72), 1, 0)</f>
        <v>1</v>
      </c>
      <c r="K72" s="121"/>
      <c r="L72" s="122"/>
      <c r="M72" s="123"/>
      <c r="N72" s="124" t="s">
        <v>1559</v>
      </c>
      <c r="O72" s="42" t="e">
        <f>VLOOKUP(A72, citation_data!A:E, 6, FALSE)</f>
        <v>#REF!</v>
      </c>
    </row>
    <row r="73" spans="1:15" ht="19.5" customHeight="1">
      <c r="A73" s="4" t="s">
        <v>287</v>
      </c>
      <c r="B73" s="142" t="s">
        <v>288</v>
      </c>
      <c r="C73" s="142" t="s">
        <v>289</v>
      </c>
      <c r="D73" s="143">
        <v>2022</v>
      </c>
      <c r="E73" s="130"/>
      <c r="F73" s="128" t="s">
        <v>1560</v>
      </c>
      <c r="G73" s="126"/>
      <c r="H73" s="126"/>
      <c r="I73" s="119" t="s">
        <v>1551</v>
      </c>
      <c r="J73" s="120"/>
      <c r="K73" s="121"/>
      <c r="L73" s="122"/>
      <c r="M73" s="123">
        <f>IF(ISTEXT(I73), 1, 0)</f>
        <v>1</v>
      </c>
      <c r="N73" s="124" t="s">
        <v>1561</v>
      </c>
      <c r="O73" s="42" t="e">
        <f>VLOOKUP(A73, citation_data!A:E, 6, FALSE)</f>
        <v>#REF!</v>
      </c>
    </row>
    <row r="74" spans="1:15" ht="19.5" customHeight="1">
      <c r="A74" s="4" t="s">
        <v>291</v>
      </c>
      <c r="B74" s="142" t="s">
        <v>292</v>
      </c>
      <c r="C74" s="142" t="s">
        <v>293</v>
      </c>
      <c r="D74" s="143">
        <v>2022</v>
      </c>
      <c r="E74" s="117"/>
      <c r="F74" s="118" t="s">
        <v>1466</v>
      </c>
      <c r="G74" s="126"/>
      <c r="H74" s="126"/>
      <c r="I74" s="126"/>
      <c r="J74" s="120"/>
      <c r="K74" s="121"/>
      <c r="L74" s="122"/>
      <c r="M74" s="123">
        <v>1</v>
      </c>
      <c r="N74" s="124" t="s">
        <v>1562</v>
      </c>
      <c r="O74" s="42" t="e">
        <f>VLOOKUP(A74, citation_data!A:E, 6, FALSE)</f>
        <v>#REF!</v>
      </c>
    </row>
    <row r="75" spans="1:15" ht="19.5" customHeight="1">
      <c r="A75" s="4" t="s">
        <v>295</v>
      </c>
      <c r="B75" s="142" t="s">
        <v>296</v>
      </c>
      <c r="C75" s="142" t="s">
        <v>297</v>
      </c>
      <c r="D75" s="143">
        <v>2022</v>
      </c>
      <c r="E75" s="130"/>
      <c r="F75" s="128" t="s">
        <v>1563</v>
      </c>
      <c r="G75" s="126"/>
      <c r="H75" s="126"/>
      <c r="I75" s="126"/>
      <c r="J75" s="120"/>
      <c r="K75" s="121"/>
      <c r="L75" s="122"/>
      <c r="M75" s="123">
        <v>1</v>
      </c>
      <c r="N75" s="124" t="s">
        <v>1564</v>
      </c>
      <c r="O75" s="42" t="e">
        <f>VLOOKUP(A75, citation_data!A:E, 6, FALSE)</f>
        <v>#REF!</v>
      </c>
    </row>
    <row r="76" spans="1:15" ht="19.5" customHeight="1">
      <c r="A76" s="4" t="s">
        <v>299</v>
      </c>
      <c r="B76" s="142" t="s">
        <v>300</v>
      </c>
      <c r="C76" s="142" t="s">
        <v>301</v>
      </c>
      <c r="D76" s="143">
        <v>2022</v>
      </c>
      <c r="E76" s="117"/>
      <c r="F76" s="118" t="s">
        <v>1565</v>
      </c>
      <c r="G76" s="126"/>
      <c r="H76" s="126"/>
      <c r="I76" s="119" t="s">
        <v>1566</v>
      </c>
      <c r="J76" s="120">
        <f>IF(ISTEXT(F76), 1, 0)</f>
        <v>1</v>
      </c>
      <c r="K76" s="121"/>
      <c r="L76" s="122"/>
      <c r="M76" s="123"/>
      <c r="N76" s="124" t="s">
        <v>1534</v>
      </c>
      <c r="O76" s="42" t="e">
        <f>VLOOKUP(A76, citation_data!A:E, 6, FALSE)</f>
        <v>#REF!</v>
      </c>
    </row>
    <row r="77" spans="1:15" ht="19.5" customHeight="1">
      <c r="A77" s="4" t="s">
        <v>303</v>
      </c>
      <c r="B77" s="142" t="s">
        <v>304</v>
      </c>
      <c r="C77" s="142" t="s">
        <v>305</v>
      </c>
      <c r="D77" s="143">
        <v>2022</v>
      </c>
      <c r="E77" s="130"/>
      <c r="F77" s="128"/>
      <c r="G77" s="126"/>
      <c r="H77" s="126"/>
      <c r="I77" s="126" t="s">
        <v>1502</v>
      </c>
      <c r="J77" s="120">
        <v>1</v>
      </c>
      <c r="K77" s="121"/>
      <c r="L77" s="122"/>
      <c r="M77" s="123"/>
      <c r="N77" s="124" t="s">
        <v>1567</v>
      </c>
      <c r="O77" s="42" t="e">
        <f>VLOOKUP(A77, citation_data!A:E, 6, FALSE)</f>
        <v>#REF!</v>
      </c>
    </row>
    <row r="78" spans="1:15" ht="19.5" customHeight="1">
      <c r="A78" s="4" t="s">
        <v>307</v>
      </c>
      <c r="B78" s="142" t="s">
        <v>308</v>
      </c>
      <c r="C78" s="142" t="s">
        <v>309</v>
      </c>
      <c r="D78" s="143">
        <v>2022</v>
      </c>
      <c r="E78" s="117"/>
      <c r="F78" s="118" t="s">
        <v>1568</v>
      </c>
      <c r="G78" s="126"/>
      <c r="H78" s="126"/>
      <c r="I78" s="126"/>
      <c r="J78" s="120"/>
      <c r="K78" s="121"/>
      <c r="L78" s="122"/>
      <c r="M78" s="123">
        <v>1</v>
      </c>
      <c r="N78" s="124" t="s">
        <v>1569</v>
      </c>
      <c r="O78" s="42" t="e">
        <f>VLOOKUP(A78, citation_data!A:E, 6, FALSE)</f>
        <v>#REF!</v>
      </c>
    </row>
    <row r="79" spans="1:15" ht="19.5" customHeight="1">
      <c r="A79" s="4" t="s">
        <v>311</v>
      </c>
      <c r="B79" s="142" t="s">
        <v>312</v>
      </c>
      <c r="C79" s="142" t="s">
        <v>313</v>
      </c>
      <c r="D79" s="143">
        <v>2022</v>
      </c>
      <c r="E79" s="117"/>
      <c r="F79" s="118" t="s">
        <v>1497</v>
      </c>
      <c r="G79" s="126"/>
      <c r="H79" s="126"/>
      <c r="I79" s="126"/>
      <c r="J79" s="120">
        <f>IF(ISTEXT(F79), 1, 0)</f>
        <v>1</v>
      </c>
      <c r="K79" s="121"/>
      <c r="L79" s="122"/>
      <c r="M79" s="123"/>
      <c r="N79" s="124" t="s">
        <v>1570</v>
      </c>
      <c r="O79" s="42" t="e">
        <f>VLOOKUP(A79, citation_data!A:E, 6, FALSE)</f>
        <v>#REF!</v>
      </c>
    </row>
    <row r="80" spans="1:15" ht="19.5" customHeight="1">
      <c r="A80" s="4" t="s">
        <v>315</v>
      </c>
      <c r="B80" s="142" t="s">
        <v>316</v>
      </c>
      <c r="C80" s="142" t="s">
        <v>317</v>
      </c>
      <c r="D80" s="143">
        <v>2022</v>
      </c>
      <c r="E80" s="117"/>
      <c r="F80" s="118" t="s">
        <v>1565</v>
      </c>
      <c r="G80" s="126"/>
      <c r="H80" s="126"/>
      <c r="I80" s="126"/>
      <c r="J80" s="120"/>
      <c r="K80" s="121"/>
      <c r="L80" s="122"/>
      <c r="M80" s="123">
        <v>1</v>
      </c>
      <c r="N80" s="124" t="s">
        <v>1571</v>
      </c>
      <c r="O80" s="42" t="e">
        <f>VLOOKUP(A80, citation_data!A:E, 6, FALSE)</f>
        <v>#REF!</v>
      </c>
    </row>
    <row r="81" spans="1:15" ht="19.5" customHeight="1">
      <c r="A81" s="4" t="s">
        <v>319</v>
      </c>
      <c r="B81" s="142" t="s">
        <v>320</v>
      </c>
      <c r="C81" s="142" t="s">
        <v>321</v>
      </c>
      <c r="D81" s="143">
        <v>2022</v>
      </c>
      <c r="E81" s="117"/>
      <c r="F81" s="118" t="s">
        <v>1497</v>
      </c>
      <c r="G81" s="126"/>
      <c r="H81" s="126"/>
      <c r="I81" s="126"/>
      <c r="J81" s="120"/>
      <c r="K81" s="121"/>
      <c r="L81" s="122"/>
      <c r="M81" s="123">
        <v>1</v>
      </c>
      <c r="N81" s="124" t="s">
        <v>1571</v>
      </c>
      <c r="O81" s="42" t="e">
        <f>VLOOKUP(A81, citation_data!A:E, 6, FALSE)</f>
        <v>#REF!</v>
      </c>
    </row>
    <row r="82" spans="1:15" ht="19.5" customHeight="1">
      <c r="A82" s="4" t="s">
        <v>323</v>
      </c>
      <c r="B82" s="142" t="s">
        <v>324</v>
      </c>
      <c r="C82" s="142" t="s">
        <v>325</v>
      </c>
      <c r="D82" s="143">
        <v>2022</v>
      </c>
      <c r="E82" s="117"/>
      <c r="F82" s="118" t="s">
        <v>1572</v>
      </c>
      <c r="G82" s="126"/>
      <c r="H82" s="126"/>
      <c r="I82" s="126"/>
      <c r="J82" s="120">
        <f t="shared" ref="J82:J83" si="10">IF(ISTEXT(F82), 1, 0)</f>
        <v>1</v>
      </c>
      <c r="K82" s="121"/>
      <c r="L82" s="122"/>
      <c r="M82" s="123"/>
      <c r="N82" s="124" t="s">
        <v>1573</v>
      </c>
      <c r="O82" s="42" t="e">
        <f>VLOOKUP(A82, citation_data!A:E, 6, FALSE)</f>
        <v>#REF!</v>
      </c>
    </row>
    <row r="83" spans="1:15" ht="19.5" customHeight="1">
      <c r="A83" s="4" t="s">
        <v>327</v>
      </c>
      <c r="B83" s="142" t="s">
        <v>328</v>
      </c>
      <c r="C83" s="142" t="s">
        <v>329</v>
      </c>
      <c r="D83" s="143">
        <v>2022</v>
      </c>
      <c r="E83" s="117"/>
      <c r="F83" s="118" t="s">
        <v>1574</v>
      </c>
      <c r="G83" s="126"/>
      <c r="H83" s="126"/>
      <c r="I83" s="126"/>
      <c r="J83" s="120">
        <f t="shared" si="10"/>
        <v>1</v>
      </c>
      <c r="K83" s="121"/>
      <c r="L83" s="122"/>
      <c r="M83" s="123"/>
      <c r="N83" s="124" t="s">
        <v>1573</v>
      </c>
      <c r="O83" s="42" t="e">
        <f>VLOOKUP(A83, citation_data!A:E, 6, FALSE)</f>
        <v>#REF!</v>
      </c>
    </row>
    <row r="84" spans="1:15" ht="19.5" customHeight="1">
      <c r="A84" s="4" t="s">
        <v>331</v>
      </c>
      <c r="B84" s="142" t="s">
        <v>332</v>
      </c>
      <c r="C84" s="142" t="s">
        <v>333</v>
      </c>
      <c r="D84" s="143">
        <v>2022</v>
      </c>
      <c r="E84" s="117"/>
      <c r="F84" s="118" t="s">
        <v>1565</v>
      </c>
      <c r="G84" s="126"/>
      <c r="H84" s="126"/>
      <c r="I84" s="126"/>
      <c r="J84" s="120"/>
      <c r="K84" s="121"/>
      <c r="L84" s="122"/>
      <c r="M84" s="123">
        <v>1</v>
      </c>
      <c r="N84" s="124" t="s">
        <v>1575</v>
      </c>
      <c r="O84" s="42" t="e">
        <f>VLOOKUP(A84, citation_data!A:E, 6, FALSE)</f>
        <v>#REF!</v>
      </c>
    </row>
    <row r="85" spans="1:15" ht="19.5" customHeight="1">
      <c r="A85" s="4" t="s">
        <v>335</v>
      </c>
      <c r="B85" s="142" t="s">
        <v>336</v>
      </c>
      <c r="C85" s="142" t="s">
        <v>313</v>
      </c>
      <c r="D85" s="143">
        <v>2022</v>
      </c>
      <c r="E85" s="117"/>
      <c r="F85" s="118" t="s">
        <v>1565</v>
      </c>
      <c r="G85" s="126"/>
      <c r="H85" s="126"/>
      <c r="I85" s="126"/>
      <c r="J85" s="120">
        <f t="shared" ref="J85:J86" si="11">IF(ISTEXT(F85), 1, 0)</f>
        <v>1</v>
      </c>
      <c r="K85" s="121"/>
      <c r="L85" s="122"/>
      <c r="M85" s="123"/>
      <c r="N85" s="124" t="s">
        <v>1573</v>
      </c>
      <c r="O85" s="42" t="e">
        <f>VLOOKUP(A85, citation_data!A:E, 6, FALSE)</f>
        <v>#REF!</v>
      </c>
    </row>
    <row r="86" spans="1:15" ht="19.5" customHeight="1">
      <c r="A86" s="131" t="s">
        <v>338</v>
      </c>
      <c r="B86" s="151" t="s">
        <v>339</v>
      </c>
      <c r="C86" s="151" t="s">
        <v>340</v>
      </c>
      <c r="D86" s="152">
        <v>2022</v>
      </c>
      <c r="E86" s="135"/>
      <c r="F86" s="136" t="s">
        <v>1497</v>
      </c>
      <c r="G86" s="137"/>
      <c r="H86" s="137"/>
      <c r="I86" s="137"/>
      <c r="J86" s="138">
        <f t="shared" si="11"/>
        <v>1</v>
      </c>
      <c r="K86" s="139"/>
      <c r="L86" s="140"/>
      <c r="M86" s="141"/>
      <c r="N86" s="124" t="s">
        <v>1573</v>
      </c>
      <c r="O86" s="42" t="e">
        <f>VLOOKUP(A86, citation_data!A:E, 6, FALSE)</f>
        <v>#REF!</v>
      </c>
    </row>
    <row r="87" spans="1:15" ht="19.5" customHeight="1">
      <c r="A87" s="4" t="s">
        <v>366</v>
      </c>
      <c r="B87" s="115" t="s">
        <v>367</v>
      </c>
      <c r="C87" s="28" t="s">
        <v>368</v>
      </c>
      <c r="D87" s="116">
        <v>2023</v>
      </c>
      <c r="E87" s="48"/>
      <c r="F87" s="176" t="s">
        <v>1576</v>
      </c>
      <c r="G87" s="46"/>
      <c r="H87" s="46"/>
      <c r="I87" s="46" t="s">
        <v>1577</v>
      </c>
      <c r="J87" s="147"/>
      <c r="K87" s="148"/>
      <c r="L87" s="149"/>
      <c r="M87" s="150">
        <f t="shared" ref="M87:M88" si="12">IF(ISTEXT(I87), 1, 0)</f>
        <v>1</v>
      </c>
      <c r="N87" s="124" t="s">
        <v>1478</v>
      </c>
      <c r="O87" s="42" t="e">
        <f>VLOOKUP(A87, citation_data!A:E, 6, FALSE)</f>
        <v>#REF!</v>
      </c>
    </row>
    <row r="88" spans="1:15" ht="19.5" customHeight="1">
      <c r="A88" s="4" t="s">
        <v>370</v>
      </c>
      <c r="B88" s="125" t="s">
        <v>371</v>
      </c>
      <c r="C88" s="28" t="s">
        <v>372</v>
      </c>
      <c r="D88" s="116">
        <v>2023</v>
      </c>
      <c r="E88" s="48"/>
      <c r="F88" s="177" t="s">
        <v>1578</v>
      </c>
      <c r="G88" s="49"/>
      <c r="H88" s="49"/>
      <c r="I88" s="49" t="s">
        <v>1502</v>
      </c>
      <c r="J88" s="120"/>
      <c r="K88" s="121"/>
      <c r="L88" s="122"/>
      <c r="M88" s="123">
        <f t="shared" si="12"/>
        <v>1</v>
      </c>
      <c r="N88" s="124" t="s">
        <v>1579</v>
      </c>
      <c r="O88" s="42" t="e">
        <f>VLOOKUP(A88, citation_data!A:E, 6, FALSE)</f>
        <v>#REF!</v>
      </c>
    </row>
    <row r="89" spans="1:15" ht="19.5" customHeight="1">
      <c r="A89" s="4" t="s">
        <v>374</v>
      </c>
      <c r="B89" s="115" t="s">
        <v>375</v>
      </c>
      <c r="C89" s="28" t="s">
        <v>376</v>
      </c>
      <c r="D89" s="116">
        <v>2023</v>
      </c>
      <c r="E89" s="48"/>
      <c r="F89" s="177" t="s">
        <v>1580</v>
      </c>
      <c r="G89" s="49"/>
      <c r="H89" s="49"/>
      <c r="I89" s="49"/>
      <c r="J89" s="120">
        <f t="shared" ref="J89:J91" si="13">IF(ISTEXT(F89), 1, 0)</f>
        <v>1</v>
      </c>
      <c r="K89" s="121"/>
      <c r="L89" s="122"/>
      <c r="M89" s="123"/>
      <c r="N89" s="124" t="s">
        <v>1573</v>
      </c>
      <c r="O89" s="42" t="e">
        <f>VLOOKUP(A89, citation_data!A:E, 6, FALSE)</f>
        <v>#REF!</v>
      </c>
    </row>
    <row r="90" spans="1:15" ht="19.5" customHeight="1">
      <c r="A90" s="4" t="s">
        <v>378</v>
      </c>
      <c r="B90" s="125" t="s">
        <v>379</v>
      </c>
      <c r="C90" s="28" t="s">
        <v>380</v>
      </c>
      <c r="D90" s="116">
        <v>2023</v>
      </c>
      <c r="E90" s="48"/>
      <c r="F90" s="177" t="s">
        <v>1498</v>
      </c>
      <c r="G90" s="49"/>
      <c r="H90" s="49"/>
      <c r="I90" s="49"/>
      <c r="J90" s="120">
        <f t="shared" si="13"/>
        <v>1</v>
      </c>
      <c r="K90" s="121"/>
      <c r="L90" s="122"/>
      <c r="M90" s="123"/>
      <c r="N90" s="124" t="s">
        <v>1581</v>
      </c>
      <c r="O90" s="42" t="e">
        <f>VLOOKUP(A90, citation_data!A:E, 6, FALSE)</f>
        <v>#REF!</v>
      </c>
    </row>
    <row r="91" spans="1:15" ht="19.5" customHeight="1">
      <c r="A91" s="4" t="s">
        <v>382</v>
      </c>
      <c r="B91" s="115" t="s">
        <v>383</v>
      </c>
      <c r="C91" s="28" t="s">
        <v>384</v>
      </c>
      <c r="D91" s="116">
        <v>2023</v>
      </c>
      <c r="E91" s="48"/>
      <c r="F91" s="177" t="s">
        <v>1582</v>
      </c>
      <c r="G91" s="49"/>
      <c r="H91" s="49"/>
      <c r="I91" s="49"/>
      <c r="J91" s="120">
        <f t="shared" si="13"/>
        <v>1</v>
      </c>
      <c r="K91" s="121"/>
      <c r="L91" s="122"/>
      <c r="M91" s="123"/>
      <c r="N91" s="124" t="s">
        <v>1573</v>
      </c>
      <c r="O91" s="42" t="e">
        <f>VLOOKUP(A91, citation_data!A:E, 6, FALSE)</f>
        <v>#REF!</v>
      </c>
    </row>
    <row r="92" spans="1:15" ht="19.5" customHeight="1">
      <c r="A92" s="4" t="s">
        <v>386</v>
      </c>
      <c r="B92" s="125" t="s">
        <v>387</v>
      </c>
      <c r="C92" s="28" t="s">
        <v>388</v>
      </c>
      <c r="D92" s="116">
        <v>2023</v>
      </c>
      <c r="E92" s="48"/>
      <c r="F92" s="177" t="s">
        <v>1583</v>
      </c>
      <c r="G92" s="49"/>
      <c r="H92" s="49"/>
      <c r="I92" s="49"/>
      <c r="J92" s="120"/>
      <c r="K92" s="121"/>
      <c r="L92" s="122"/>
      <c r="M92" s="123">
        <v>1</v>
      </c>
      <c r="N92" s="124" t="s">
        <v>1433</v>
      </c>
      <c r="O92" s="42" t="e">
        <f>VLOOKUP(A92, citation_data!A:E, 6, FALSE)</f>
        <v>#REF!</v>
      </c>
    </row>
    <row r="93" spans="1:15" ht="19.5" customHeight="1">
      <c r="A93" s="4" t="s">
        <v>390</v>
      </c>
      <c r="B93" s="115" t="s">
        <v>391</v>
      </c>
      <c r="C93" s="28" t="s">
        <v>392</v>
      </c>
      <c r="D93" s="116">
        <v>2023</v>
      </c>
      <c r="E93" s="48"/>
      <c r="F93" s="177" t="s">
        <v>1584</v>
      </c>
      <c r="G93" s="49"/>
      <c r="H93" s="49"/>
      <c r="I93" s="49" t="s">
        <v>1585</v>
      </c>
      <c r="J93" s="120">
        <f t="shared" ref="J93:J94" si="14">IF(ISTEXT(F93), 1, 0)</f>
        <v>1</v>
      </c>
      <c r="K93" s="121"/>
      <c r="L93" s="122"/>
      <c r="M93" s="123"/>
      <c r="N93" s="124" t="s">
        <v>1573</v>
      </c>
      <c r="O93" s="42" t="e">
        <f>VLOOKUP(A93, citation_data!A:E, 6, FALSE)</f>
        <v>#REF!</v>
      </c>
    </row>
    <row r="94" spans="1:15" ht="19.5" customHeight="1">
      <c r="A94" s="4" t="s">
        <v>394</v>
      </c>
      <c r="B94" s="125" t="s">
        <v>395</v>
      </c>
      <c r="C94" s="28" t="s">
        <v>396</v>
      </c>
      <c r="D94" s="116">
        <v>2023</v>
      </c>
      <c r="E94" s="48"/>
      <c r="F94" s="177" t="s">
        <v>1586</v>
      </c>
      <c r="G94" s="49"/>
      <c r="H94" s="49"/>
      <c r="I94" s="49" t="s">
        <v>1587</v>
      </c>
      <c r="J94" s="120">
        <f t="shared" si="14"/>
        <v>1</v>
      </c>
      <c r="K94" s="121"/>
      <c r="L94" s="122"/>
      <c r="M94" s="123"/>
      <c r="N94" s="124" t="s">
        <v>1573</v>
      </c>
      <c r="O94" s="42" t="e">
        <f>VLOOKUP(A94, citation_data!A:E, 6, FALSE)</f>
        <v>#REF!</v>
      </c>
    </row>
    <row r="95" spans="1:15" ht="19.5" customHeight="1">
      <c r="A95" s="4" t="s">
        <v>398</v>
      </c>
      <c r="B95" s="115" t="s">
        <v>399</v>
      </c>
      <c r="C95" s="28" t="s">
        <v>400</v>
      </c>
      <c r="D95" s="116">
        <v>2023</v>
      </c>
      <c r="E95" s="48"/>
      <c r="F95" s="177" t="s">
        <v>1588</v>
      </c>
      <c r="G95" s="49"/>
      <c r="H95" s="49"/>
      <c r="I95" s="49" t="s">
        <v>1589</v>
      </c>
      <c r="J95" s="120"/>
      <c r="K95" s="121"/>
      <c r="L95" s="122"/>
      <c r="M95" s="123">
        <f t="shared" ref="M95:M96" si="15">IF(ISTEXT(I95), 1, 0)</f>
        <v>1</v>
      </c>
      <c r="N95" s="124" t="s">
        <v>1433</v>
      </c>
      <c r="O95" s="42" t="e">
        <f>VLOOKUP(A95, citation_data!A:E, 6, FALSE)</f>
        <v>#REF!</v>
      </c>
    </row>
    <row r="96" spans="1:15" ht="19.5" customHeight="1">
      <c r="A96" s="4" t="s">
        <v>402</v>
      </c>
      <c r="B96" s="125" t="s">
        <v>403</v>
      </c>
      <c r="C96" s="28" t="s">
        <v>404</v>
      </c>
      <c r="D96" s="116">
        <v>2023</v>
      </c>
      <c r="E96" s="130"/>
      <c r="F96" s="128" t="s">
        <v>1590</v>
      </c>
      <c r="G96" s="126"/>
      <c r="H96" s="126"/>
      <c r="I96" s="126" t="s">
        <v>1591</v>
      </c>
      <c r="J96" s="120"/>
      <c r="K96" s="121"/>
      <c r="L96" s="122"/>
      <c r="M96" s="123">
        <f t="shared" si="15"/>
        <v>1</v>
      </c>
      <c r="N96" s="124" t="s">
        <v>1592</v>
      </c>
      <c r="O96" s="42" t="e">
        <f>VLOOKUP(A96, citation_data!A:E, 6, FALSE)</f>
        <v>#REF!</v>
      </c>
    </row>
    <row r="97" spans="1:15" ht="19.5" customHeight="1">
      <c r="A97" s="4" t="s">
        <v>406</v>
      </c>
      <c r="B97" s="115" t="s">
        <v>407</v>
      </c>
      <c r="C97" s="28" t="s">
        <v>408</v>
      </c>
      <c r="D97" s="116">
        <v>2023</v>
      </c>
      <c r="E97" s="130"/>
      <c r="F97" s="128" t="s">
        <v>1593</v>
      </c>
      <c r="G97" s="126"/>
      <c r="H97" s="126"/>
      <c r="I97" s="126"/>
      <c r="J97" s="120">
        <v>1</v>
      </c>
      <c r="K97" s="121"/>
      <c r="L97" s="122"/>
      <c r="M97" s="123"/>
      <c r="N97" s="124" t="s">
        <v>1594</v>
      </c>
      <c r="O97" s="42" t="e">
        <f>VLOOKUP(A97, citation_data!A:E, 6, FALSE)</f>
        <v>#REF!</v>
      </c>
    </row>
    <row r="98" spans="1:15" ht="19.5" customHeight="1">
      <c r="A98" s="4" t="s">
        <v>410</v>
      </c>
      <c r="B98" s="125" t="s">
        <v>411</v>
      </c>
      <c r="C98" s="28" t="s">
        <v>412</v>
      </c>
      <c r="D98" s="116">
        <v>2023</v>
      </c>
      <c r="E98" s="130"/>
      <c r="F98" s="128" t="s">
        <v>1543</v>
      </c>
      <c r="G98" s="126"/>
      <c r="H98" s="126"/>
      <c r="I98" s="126"/>
      <c r="J98" s="120"/>
      <c r="K98" s="121"/>
      <c r="L98" s="122"/>
      <c r="M98" s="123">
        <v>1</v>
      </c>
      <c r="N98" s="124" t="s">
        <v>1595</v>
      </c>
      <c r="O98" s="42" t="e">
        <f>VLOOKUP(A98, citation_data!A:E, 6, FALSE)</f>
        <v>#REF!</v>
      </c>
    </row>
    <row r="99" spans="1:15" ht="19.5" customHeight="1">
      <c r="A99" s="4" t="s">
        <v>414</v>
      </c>
      <c r="B99" s="115" t="s">
        <v>415</v>
      </c>
      <c r="C99" s="28" t="s">
        <v>416</v>
      </c>
      <c r="D99" s="116">
        <v>2023</v>
      </c>
      <c r="E99" s="117"/>
      <c r="F99" s="118" t="s">
        <v>1565</v>
      </c>
      <c r="G99" s="119" t="s">
        <v>1416</v>
      </c>
      <c r="H99" s="126"/>
      <c r="I99" s="119" t="s">
        <v>1596</v>
      </c>
      <c r="J99" s="120"/>
      <c r="K99" s="121"/>
      <c r="L99" s="122"/>
      <c r="M99" s="123">
        <f>IF(ISTEXT(I99), 1, 0)</f>
        <v>1</v>
      </c>
      <c r="N99" s="124" t="s">
        <v>1597</v>
      </c>
      <c r="O99" s="42" t="e">
        <f>VLOOKUP(A99, citation_data!A:E, 6, FALSE)</f>
        <v>#REF!</v>
      </c>
    </row>
    <row r="100" spans="1:15" ht="19.5" customHeight="1">
      <c r="A100" s="4" t="s">
        <v>418</v>
      </c>
      <c r="B100" s="125" t="s">
        <v>419</v>
      </c>
      <c r="C100" s="28" t="s">
        <v>420</v>
      </c>
      <c r="D100" s="116">
        <v>2023</v>
      </c>
      <c r="E100" s="117"/>
      <c r="F100" s="118" t="s">
        <v>1565</v>
      </c>
      <c r="G100" s="119" t="s">
        <v>1598</v>
      </c>
      <c r="H100" s="126"/>
      <c r="I100" s="119" t="s">
        <v>1566</v>
      </c>
      <c r="J100" s="120">
        <f t="shared" ref="J100:J103" si="16">IF(ISTEXT(F100), 1, 0)</f>
        <v>1</v>
      </c>
      <c r="K100" s="121"/>
      <c r="L100" s="122"/>
      <c r="M100" s="123"/>
      <c r="N100" s="124" t="s">
        <v>1599</v>
      </c>
      <c r="O100" s="42" t="e">
        <f>VLOOKUP(A100, citation_data!A:E, 6, FALSE)</f>
        <v>#REF!</v>
      </c>
    </row>
    <row r="101" spans="1:15" ht="19.5" customHeight="1">
      <c r="A101" s="4" t="s">
        <v>342</v>
      </c>
      <c r="B101" s="115" t="s">
        <v>343</v>
      </c>
      <c r="C101" s="28" t="s">
        <v>344</v>
      </c>
      <c r="D101" s="116">
        <v>2023</v>
      </c>
      <c r="E101" s="117"/>
      <c r="F101" s="118" t="s">
        <v>1423</v>
      </c>
      <c r="G101" s="126"/>
      <c r="H101" s="126"/>
      <c r="I101" s="126"/>
      <c r="J101" s="120">
        <f t="shared" si="16"/>
        <v>1</v>
      </c>
      <c r="K101" s="121"/>
      <c r="L101" s="122"/>
      <c r="M101" s="123"/>
      <c r="N101" s="124" t="s">
        <v>1573</v>
      </c>
      <c r="O101" s="42" t="e">
        <f>VLOOKUP(A101, citation_data!A:E, 6, FALSE)</f>
        <v>#REF!</v>
      </c>
    </row>
    <row r="102" spans="1:15" ht="19.5" customHeight="1">
      <c r="A102" s="4" t="s">
        <v>346</v>
      </c>
      <c r="B102" s="125" t="s">
        <v>347</v>
      </c>
      <c r="C102" s="28" t="s">
        <v>348</v>
      </c>
      <c r="D102" s="116">
        <v>2023</v>
      </c>
      <c r="E102" s="117"/>
      <c r="F102" s="118" t="s">
        <v>1600</v>
      </c>
      <c r="G102" s="126"/>
      <c r="H102" s="126"/>
      <c r="I102" s="126"/>
      <c r="J102" s="120">
        <f t="shared" si="16"/>
        <v>1</v>
      </c>
      <c r="K102" s="121"/>
      <c r="L102" s="122"/>
      <c r="M102" s="123"/>
      <c r="N102" s="124" t="s">
        <v>1573</v>
      </c>
      <c r="O102" s="42" t="e">
        <f>VLOOKUP(A102, citation_data!A:E, 6, FALSE)</f>
        <v>#REF!</v>
      </c>
    </row>
    <row r="103" spans="1:15" ht="19.5" customHeight="1">
      <c r="A103" s="4" t="s">
        <v>350</v>
      </c>
      <c r="B103" s="115" t="s">
        <v>351</v>
      </c>
      <c r="C103" s="28" t="s">
        <v>352</v>
      </c>
      <c r="D103" s="116">
        <v>2023</v>
      </c>
      <c r="E103" s="130"/>
      <c r="F103" s="128" t="s">
        <v>897</v>
      </c>
      <c r="G103" s="126"/>
      <c r="H103" s="126"/>
      <c r="I103" s="126"/>
      <c r="J103" s="120">
        <f t="shared" si="16"/>
        <v>1</v>
      </c>
      <c r="K103" s="121"/>
      <c r="L103" s="122"/>
      <c r="M103" s="123"/>
      <c r="N103" s="124" t="s">
        <v>1573</v>
      </c>
      <c r="O103" s="42" t="e">
        <f>VLOOKUP(A103, citation_data!A:E, 6, FALSE)</f>
        <v>#REF!</v>
      </c>
    </row>
    <row r="104" spans="1:15" ht="19.5" customHeight="1">
      <c r="A104" s="4" t="s">
        <v>354</v>
      </c>
      <c r="B104" s="28" t="s">
        <v>1601</v>
      </c>
      <c r="C104" s="28" t="s">
        <v>356</v>
      </c>
      <c r="D104" s="116">
        <v>2023</v>
      </c>
      <c r="E104" s="130"/>
      <c r="F104" s="128" t="s">
        <v>1602</v>
      </c>
      <c r="G104" s="119" t="s">
        <v>1603</v>
      </c>
      <c r="H104" s="126"/>
      <c r="I104" s="119" t="s">
        <v>1426</v>
      </c>
      <c r="J104" s="120"/>
      <c r="K104" s="121"/>
      <c r="L104" s="122"/>
      <c r="M104" s="123">
        <f>IF(ISTEXT(I104), 1, 0)</f>
        <v>1</v>
      </c>
      <c r="N104" s="124" t="s">
        <v>619</v>
      </c>
      <c r="O104" s="42" t="e">
        <f>VLOOKUP(A104, citation_data!A:E, 6, FALSE)</f>
        <v>#REF!</v>
      </c>
    </row>
    <row r="105" spans="1:15" ht="19.5" customHeight="1">
      <c r="A105" s="4" t="s">
        <v>358</v>
      </c>
      <c r="B105" s="115" t="s">
        <v>359</v>
      </c>
      <c r="C105" s="28" t="s">
        <v>360</v>
      </c>
      <c r="D105" s="116">
        <v>2023</v>
      </c>
      <c r="E105" s="117"/>
      <c r="F105" s="118" t="s">
        <v>1563</v>
      </c>
      <c r="G105" s="126"/>
      <c r="H105" s="126"/>
      <c r="I105" s="126"/>
      <c r="J105" s="120">
        <f t="shared" ref="J105:J107" si="17">IF(ISTEXT(F105), 1, 0)</f>
        <v>1</v>
      </c>
      <c r="K105" s="121"/>
      <c r="L105" s="122"/>
      <c r="M105" s="123"/>
      <c r="N105" s="124" t="s">
        <v>1573</v>
      </c>
      <c r="O105" s="42" t="e">
        <f>VLOOKUP(A105, citation_data!A:E, 6, FALSE)</f>
        <v>#REF!</v>
      </c>
    </row>
    <row r="106" spans="1:15" ht="19.5" customHeight="1">
      <c r="A106" s="131" t="s">
        <v>362</v>
      </c>
      <c r="B106" s="159" t="s">
        <v>363</v>
      </c>
      <c r="C106" s="133" t="s">
        <v>364</v>
      </c>
      <c r="D106" s="134">
        <v>2023</v>
      </c>
      <c r="E106" s="135"/>
      <c r="F106" s="136" t="s">
        <v>1497</v>
      </c>
      <c r="G106" s="137"/>
      <c r="H106" s="137"/>
      <c r="I106" s="137"/>
      <c r="J106" s="138">
        <f t="shared" si="17"/>
        <v>1</v>
      </c>
      <c r="K106" s="139"/>
      <c r="L106" s="140"/>
      <c r="M106" s="141"/>
      <c r="N106" s="124" t="s">
        <v>1604</v>
      </c>
      <c r="O106" s="42" t="e">
        <f>VLOOKUP(A106, citation_data!A:E, 6, FALSE)</f>
        <v>#REF!</v>
      </c>
    </row>
    <row r="107" spans="1:15" ht="19.5" customHeight="1">
      <c r="A107" s="4" t="s">
        <v>422</v>
      </c>
      <c r="B107" s="18" t="s">
        <v>423</v>
      </c>
      <c r="C107" s="18" t="s">
        <v>424</v>
      </c>
      <c r="D107" s="178">
        <v>2024</v>
      </c>
      <c r="E107" s="130"/>
      <c r="F107" s="144" t="s">
        <v>1605</v>
      </c>
      <c r="G107" s="146"/>
      <c r="H107" s="146"/>
      <c r="I107" s="146"/>
      <c r="J107" s="147">
        <f t="shared" si="17"/>
        <v>1</v>
      </c>
      <c r="K107" s="148"/>
      <c r="L107" s="149"/>
      <c r="M107" s="150"/>
      <c r="N107" s="124" t="s">
        <v>1573</v>
      </c>
      <c r="O107" s="42" t="e">
        <f>VLOOKUP(A107, citation_data!A:E, 6, FALSE)</f>
        <v>#REF!</v>
      </c>
    </row>
    <row r="108" spans="1:15" ht="19.5" customHeight="1">
      <c r="A108" s="4" t="s">
        <v>426</v>
      </c>
      <c r="B108" s="18" t="s">
        <v>427</v>
      </c>
      <c r="C108" s="18" t="s">
        <v>428</v>
      </c>
      <c r="D108" s="178">
        <v>2024</v>
      </c>
      <c r="E108" s="130"/>
      <c r="F108" s="128"/>
      <c r="G108" s="126"/>
      <c r="H108" s="126" t="s">
        <v>1606</v>
      </c>
      <c r="I108" s="126" t="s">
        <v>1607</v>
      </c>
      <c r="J108" s="120"/>
      <c r="K108" s="121"/>
      <c r="L108" s="122"/>
      <c r="M108" s="123">
        <f>IF(ISTEXT(I108), 1, 0)</f>
        <v>1</v>
      </c>
      <c r="N108" s="124" t="s">
        <v>1579</v>
      </c>
      <c r="O108" s="42" t="e">
        <f>VLOOKUP(A108, citation_data!A:E, 6, FALSE)</f>
        <v>#REF!</v>
      </c>
    </row>
    <row r="109" spans="1:15" ht="19.5" customHeight="1">
      <c r="A109" s="4" t="s">
        <v>430</v>
      </c>
      <c r="B109" s="18" t="s">
        <v>431</v>
      </c>
      <c r="C109" s="18" t="s">
        <v>432</v>
      </c>
      <c r="D109" s="178">
        <v>2024</v>
      </c>
      <c r="E109" s="130"/>
      <c r="F109" s="128" t="s">
        <v>1608</v>
      </c>
      <c r="G109" s="126"/>
      <c r="H109" s="126"/>
      <c r="I109" s="126"/>
      <c r="J109" s="120">
        <f t="shared" ref="J109:J110" si="18">IF(ISTEXT(F109), 1, 0)</f>
        <v>1</v>
      </c>
      <c r="K109" s="121"/>
      <c r="L109" s="122"/>
      <c r="M109" s="123"/>
      <c r="N109" s="124" t="s">
        <v>1573</v>
      </c>
      <c r="O109" s="42" t="e">
        <f>VLOOKUP(A109, citation_data!A:E, 6, FALSE)</f>
        <v>#REF!</v>
      </c>
    </row>
    <row r="110" spans="1:15" ht="19.5" customHeight="1">
      <c r="A110" s="4" t="s">
        <v>434</v>
      </c>
      <c r="B110" s="18" t="s">
        <v>435</v>
      </c>
      <c r="C110" s="18" t="s">
        <v>436</v>
      </c>
      <c r="D110" s="178">
        <v>2024</v>
      </c>
      <c r="E110" s="130"/>
      <c r="F110" s="128" t="s">
        <v>1609</v>
      </c>
      <c r="G110" s="126"/>
      <c r="H110" s="126"/>
      <c r="I110" s="126" t="s">
        <v>1610</v>
      </c>
      <c r="J110" s="120">
        <f t="shared" si="18"/>
        <v>1</v>
      </c>
      <c r="K110" s="121"/>
      <c r="L110" s="122"/>
      <c r="M110" s="123"/>
      <c r="N110" s="124" t="s">
        <v>1573</v>
      </c>
      <c r="O110" s="42" t="e">
        <f>VLOOKUP(A110, citation_data!A:E, 6, FALSE)</f>
        <v>#REF!</v>
      </c>
    </row>
    <row r="111" spans="1:15" ht="19.5" customHeight="1">
      <c r="A111" s="4" t="s">
        <v>438</v>
      </c>
      <c r="B111" s="18" t="s">
        <v>439</v>
      </c>
      <c r="C111" s="18" t="s">
        <v>440</v>
      </c>
      <c r="D111" s="178">
        <v>2024</v>
      </c>
      <c r="E111" s="130"/>
      <c r="F111" s="128" t="s">
        <v>1611</v>
      </c>
      <c r="G111" s="126"/>
      <c r="H111" s="126" t="s">
        <v>1612</v>
      </c>
      <c r="I111" s="126" t="s">
        <v>1613</v>
      </c>
      <c r="J111" s="120"/>
      <c r="K111" s="121"/>
      <c r="L111" s="122"/>
      <c r="M111" s="123">
        <f>IF(ISTEXT(I111), 1, 0)</f>
        <v>1</v>
      </c>
      <c r="N111" s="124" t="s">
        <v>1614</v>
      </c>
      <c r="O111" s="42" t="e">
        <f>VLOOKUP(A111, citation_data!A:E, 6, FALSE)</f>
        <v>#REF!</v>
      </c>
    </row>
    <row r="112" spans="1:15" ht="19.5" customHeight="1">
      <c r="A112" s="4" t="s">
        <v>442</v>
      </c>
      <c r="B112" s="18" t="s">
        <v>443</v>
      </c>
      <c r="C112" s="18" t="s">
        <v>444</v>
      </c>
      <c r="D112" s="178">
        <v>2024</v>
      </c>
      <c r="E112" s="130"/>
      <c r="F112" s="128" t="s">
        <v>1615</v>
      </c>
      <c r="G112" s="126"/>
      <c r="H112" s="126"/>
      <c r="I112" s="126"/>
      <c r="J112" s="120">
        <f t="shared" ref="J112:J113" si="19">IF(ISTEXT(F112), 1, 0)</f>
        <v>1</v>
      </c>
      <c r="K112" s="121"/>
      <c r="L112" s="122"/>
      <c r="M112" s="123"/>
      <c r="N112" s="124" t="s">
        <v>1573</v>
      </c>
      <c r="O112" s="42" t="e">
        <f>VLOOKUP(A112, citation_data!A:E, 6, FALSE)</f>
        <v>#REF!</v>
      </c>
    </row>
    <row r="113" spans="1:28" ht="19.5" customHeight="1">
      <c r="A113" s="4" t="s">
        <v>446</v>
      </c>
      <c r="B113" s="18" t="s">
        <v>447</v>
      </c>
      <c r="C113" s="18" t="s">
        <v>448</v>
      </c>
      <c r="D113" s="178">
        <v>2024</v>
      </c>
      <c r="E113" s="130"/>
      <c r="F113" s="128" t="s">
        <v>1616</v>
      </c>
      <c r="G113" s="126"/>
      <c r="H113" s="126"/>
      <c r="I113" s="126" t="s">
        <v>1617</v>
      </c>
      <c r="J113" s="120">
        <f t="shared" si="19"/>
        <v>1</v>
      </c>
      <c r="K113" s="121"/>
      <c r="L113" s="122"/>
      <c r="M113" s="123"/>
      <c r="N113" s="124" t="s">
        <v>1573</v>
      </c>
      <c r="O113" s="42" t="e">
        <f>VLOOKUP(A113, citation_data!A:E, 6, FALSE)</f>
        <v>#REF!</v>
      </c>
    </row>
    <row r="114" spans="1:28" ht="19.5" customHeight="1">
      <c r="A114" s="4" t="s">
        <v>450</v>
      </c>
      <c r="B114" s="18" t="s">
        <v>451</v>
      </c>
      <c r="C114" s="18" t="s">
        <v>452</v>
      </c>
      <c r="D114" s="178">
        <v>2024</v>
      </c>
      <c r="E114" s="130"/>
      <c r="F114" s="128" t="s">
        <v>1618</v>
      </c>
      <c r="G114" s="126"/>
      <c r="H114" s="126"/>
      <c r="I114" s="126"/>
      <c r="J114" s="120"/>
      <c r="K114" s="121"/>
      <c r="L114" s="122"/>
      <c r="M114" s="123">
        <v>1</v>
      </c>
      <c r="N114" s="124" t="s">
        <v>619</v>
      </c>
      <c r="O114" s="42" t="e">
        <f>VLOOKUP(A114, citation_data!A:E, 6, FALSE)</f>
        <v>#REF!</v>
      </c>
      <c r="P114" s="179" t="s">
        <v>497</v>
      </c>
      <c r="Q114" s="180" t="s">
        <v>1619</v>
      </c>
      <c r="R114" s="33" t="s">
        <v>1409</v>
      </c>
      <c r="S114" s="33" t="s">
        <v>1410</v>
      </c>
      <c r="T114" s="33" t="s">
        <v>1411</v>
      </c>
      <c r="U114" s="33" t="s">
        <v>1412</v>
      </c>
      <c r="V114" s="74"/>
      <c r="W114" s="179" t="s">
        <v>497</v>
      </c>
      <c r="X114" s="33" t="s">
        <v>1409</v>
      </c>
      <c r="Y114" s="33" t="s">
        <v>1410</v>
      </c>
      <c r="Z114" s="33" t="s">
        <v>1411</v>
      </c>
      <c r="AA114" s="33" t="s">
        <v>1412</v>
      </c>
      <c r="AB114" s="35"/>
    </row>
    <row r="115" spans="1:28" ht="19.5" customHeight="1">
      <c r="A115" s="4" t="s">
        <v>454</v>
      </c>
      <c r="B115" s="18" t="s">
        <v>455</v>
      </c>
      <c r="C115" s="18" t="s">
        <v>456</v>
      </c>
      <c r="D115" s="178">
        <v>2024</v>
      </c>
      <c r="E115" s="130"/>
      <c r="F115" s="128" t="s">
        <v>1620</v>
      </c>
      <c r="G115" s="126"/>
      <c r="H115" s="126"/>
      <c r="I115" s="126"/>
      <c r="J115" s="120">
        <f t="shared" ref="J115:J116" si="20">IF(ISTEXT(F115), 1, 0)</f>
        <v>1</v>
      </c>
      <c r="K115" s="121"/>
      <c r="L115" s="122"/>
      <c r="M115" s="181"/>
      <c r="N115" s="124" t="s">
        <v>1573</v>
      </c>
      <c r="O115" s="42" t="e">
        <f>VLOOKUP(A115, citation_data!A:E, 6, FALSE)</f>
        <v>#REF!</v>
      </c>
      <c r="P115" s="179">
        <v>2015</v>
      </c>
      <c r="Q115" s="182">
        <f t="shared" ref="Q115:Q124" si="21">COUNTIF($D:$D, P115)</f>
        <v>11</v>
      </c>
      <c r="R115" s="120">
        <f t="shared" ref="R115:U115" si="22">SUM(J2:J12)</f>
        <v>4</v>
      </c>
      <c r="S115" s="121">
        <f t="shared" si="22"/>
        <v>0</v>
      </c>
      <c r="T115" s="122">
        <f t="shared" si="22"/>
        <v>0</v>
      </c>
      <c r="U115" s="123">
        <f t="shared" si="22"/>
        <v>7</v>
      </c>
      <c r="W115" s="179">
        <v>2015</v>
      </c>
      <c r="X115" s="49" t="e">
        <f t="shared" ref="X115:AA115" si="23">SUMIF(J$2:J$12, 1, $O$2:$O$12)</f>
        <v>#REF!</v>
      </c>
      <c r="Y115" s="49">
        <f t="shared" si="23"/>
        <v>0</v>
      </c>
      <c r="Z115" s="49">
        <f t="shared" si="23"/>
        <v>0</v>
      </c>
      <c r="AA115" s="49" t="e">
        <f t="shared" si="23"/>
        <v>#REF!</v>
      </c>
    </row>
    <row r="116" spans="1:28" ht="19.5" customHeight="1">
      <c r="A116" s="4" t="s">
        <v>458</v>
      </c>
      <c r="B116" s="18" t="s">
        <v>459</v>
      </c>
      <c r="C116" s="18" t="s">
        <v>460</v>
      </c>
      <c r="D116" s="178">
        <v>2024</v>
      </c>
      <c r="E116" s="130"/>
      <c r="F116" s="128" t="s">
        <v>1621</v>
      </c>
      <c r="G116" s="126"/>
      <c r="H116" s="126"/>
      <c r="I116" s="126"/>
      <c r="J116" s="120">
        <f t="shared" si="20"/>
        <v>1</v>
      </c>
      <c r="K116" s="121"/>
      <c r="L116" s="122"/>
      <c r="M116" s="181"/>
      <c r="N116" s="124" t="s">
        <v>1573</v>
      </c>
      <c r="O116" s="42" t="e">
        <f>VLOOKUP(A116, citation_data!A:E, 6, FALSE)</f>
        <v>#REF!</v>
      </c>
      <c r="P116" s="179">
        <v>2016</v>
      </c>
      <c r="Q116" s="182">
        <f t="shared" si="21"/>
        <v>7</v>
      </c>
      <c r="R116" s="120">
        <f t="shared" ref="R116:U116" si="24">SUM(J13:J19)</f>
        <v>2</v>
      </c>
      <c r="S116" s="121">
        <f t="shared" si="24"/>
        <v>0</v>
      </c>
      <c r="T116" s="122">
        <f t="shared" si="24"/>
        <v>0</v>
      </c>
      <c r="U116" s="123">
        <f t="shared" si="24"/>
        <v>5</v>
      </c>
      <c r="W116" s="179">
        <v>2016</v>
      </c>
      <c r="X116" s="49" t="e">
        <f t="shared" ref="X116:AA116" si="25">SUMIF(J$13:J$19, 1, $O$13:$O$19)</f>
        <v>#REF!</v>
      </c>
      <c r="Y116" s="49">
        <f t="shared" si="25"/>
        <v>0</v>
      </c>
      <c r="Z116" s="49">
        <f t="shared" si="25"/>
        <v>0</v>
      </c>
      <c r="AA116" s="49" t="e">
        <f t="shared" si="25"/>
        <v>#REF!</v>
      </c>
    </row>
    <row r="117" spans="1:28" ht="19.5" customHeight="1">
      <c r="A117" s="4" t="s">
        <v>462</v>
      </c>
      <c r="B117" s="18" t="s">
        <v>463</v>
      </c>
      <c r="C117" s="18" t="s">
        <v>464</v>
      </c>
      <c r="D117" s="178">
        <v>2024</v>
      </c>
      <c r="E117" s="130"/>
      <c r="F117" s="128" t="s">
        <v>1622</v>
      </c>
      <c r="G117" s="126" t="s">
        <v>1623</v>
      </c>
      <c r="H117" s="126" t="s">
        <v>1624</v>
      </c>
      <c r="I117" s="126" t="s">
        <v>1625</v>
      </c>
      <c r="J117" s="120"/>
      <c r="K117" s="121"/>
      <c r="L117" s="122"/>
      <c r="M117" s="181">
        <f t="shared" ref="M117:M120" si="26">IF(ISTEXT(I117), 1, 0)</f>
        <v>1</v>
      </c>
      <c r="N117" s="124" t="s">
        <v>1626</v>
      </c>
      <c r="O117" s="42" t="e">
        <f>VLOOKUP(A117, citation_data!A:E, 6, FALSE)</f>
        <v>#REF!</v>
      </c>
      <c r="P117" s="179">
        <v>2017</v>
      </c>
      <c r="Q117" s="182">
        <f t="shared" si="21"/>
        <v>9</v>
      </c>
      <c r="R117" s="120">
        <f t="shared" ref="R117:U117" si="27">SUM(J20:J28)</f>
        <v>0</v>
      </c>
      <c r="S117" s="121">
        <f t="shared" si="27"/>
        <v>0</v>
      </c>
      <c r="T117" s="122">
        <f t="shared" si="27"/>
        <v>1</v>
      </c>
      <c r="U117" s="123">
        <f t="shared" si="27"/>
        <v>8</v>
      </c>
      <c r="W117" s="179">
        <v>2017</v>
      </c>
      <c r="X117" s="49">
        <f t="shared" ref="X117:AA117" si="28">SUMIF(J$20:J$28, 1, $O$20:$O$28)</f>
        <v>0</v>
      </c>
      <c r="Y117" s="49">
        <f t="shared" si="28"/>
        <v>0</v>
      </c>
      <c r="Z117" s="49" t="e">
        <f t="shared" si="28"/>
        <v>#REF!</v>
      </c>
      <c r="AA117" s="49" t="e">
        <f t="shared" si="28"/>
        <v>#REF!</v>
      </c>
    </row>
    <row r="118" spans="1:28" ht="19.5" customHeight="1">
      <c r="A118" s="4" t="s">
        <v>466</v>
      </c>
      <c r="B118" s="18" t="s">
        <v>467</v>
      </c>
      <c r="C118" s="18" t="s">
        <v>468</v>
      </c>
      <c r="D118" s="178">
        <v>2024</v>
      </c>
      <c r="E118" s="130"/>
      <c r="F118" s="128" t="s">
        <v>1627</v>
      </c>
      <c r="G118" s="126"/>
      <c r="H118" s="126"/>
      <c r="I118" s="126" t="s">
        <v>1627</v>
      </c>
      <c r="J118" s="120"/>
      <c r="K118" s="121"/>
      <c r="L118" s="122"/>
      <c r="M118" s="181">
        <f t="shared" si="26"/>
        <v>1</v>
      </c>
      <c r="N118" s="124" t="s">
        <v>1628</v>
      </c>
      <c r="O118" s="42" t="e">
        <f>VLOOKUP(A118, citation_data!A:E, 6, FALSE)</f>
        <v>#REF!</v>
      </c>
      <c r="P118" s="179">
        <v>2018</v>
      </c>
      <c r="Q118" s="182">
        <f t="shared" si="21"/>
        <v>12</v>
      </c>
      <c r="R118" s="120">
        <f t="shared" ref="R118:U118" si="29">SUM(J29:J40)</f>
        <v>3</v>
      </c>
      <c r="S118" s="121">
        <f t="shared" si="29"/>
        <v>0</v>
      </c>
      <c r="T118" s="122">
        <f t="shared" si="29"/>
        <v>0</v>
      </c>
      <c r="U118" s="123">
        <f t="shared" si="29"/>
        <v>9</v>
      </c>
      <c r="W118" s="179">
        <v>2018</v>
      </c>
      <c r="X118" s="49" t="e">
        <f t="shared" ref="X118:AA118" si="30">SUMIF(J$29:J$40, 1, $O$29:$O$40)</f>
        <v>#REF!</v>
      </c>
      <c r="Y118" s="49">
        <f t="shared" si="30"/>
        <v>0</v>
      </c>
      <c r="Z118" s="49">
        <f t="shared" si="30"/>
        <v>0</v>
      </c>
      <c r="AA118" s="49" t="e">
        <f t="shared" si="30"/>
        <v>#REF!</v>
      </c>
    </row>
    <row r="119" spans="1:28" ht="19.5" customHeight="1">
      <c r="A119" s="4" t="s">
        <v>470</v>
      </c>
      <c r="B119" s="18" t="s">
        <v>471</v>
      </c>
      <c r="C119" s="18" t="s">
        <v>472</v>
      </c>
      <c r="D119" s="178">
        <v>2024</v>
      </c>
      <c r="E119" s="130"/>
      <c r="F119" s="128"/>
      <c r="G119" s="126"/>
      <c r="H119" s="126" t="s">
        <v>1629</v>
      </c>
      <c r="I119" s="126" t="s">
        <v>1630</v>
      </c>
      <c r="J119" s="120"/>
      <c r="K119" s="121"/>
      <c r="L119" s="122"/>
      <c r="M119" s="181">
        <f t="shared" si="26"/>
        <v>1</v>
      </c>
      <c r="N119" s="124" t="s">
        <v>622</v>
      </c>
      <c r="O119" s="42" t="e">
        <f>VLOOKUP(A119, citation_data!A:E, 6, FALSE)</f>
        <v>#REF!</v>
      </c>
      <c r="P119" s="179">
        <v>2019</v>
      </c>
      <c r="Q119" s="182">
        <f t="shared" si="21"/>
        <v>6</v>
      </c>
      <c r="R119" s="120">
        <f t="shared" ref="R119:U119" si="31">SUM(J41:J46)</f>
        <v>3</v>
      </c>
      <c r="S119" s="121">
        <f t="shared" si="31"/>
        <v>0</v>
      </c>
      <c r="T119" s="122">
        <f t="shared" si="31"/>
        <v>0</v>
      </c>
      <c r="U119" s="123">
        <f t="shared" si="31"/>
        <v>3</v>
      </c>
      <c r="W119" s="179">
        <v>2019</v>
      </c>
      <c r="X119" s="49" t="e">
        <f t="shared" ref="X119:AA119" si="32">SUMIF(J$41:J$46, 1, $O$41:$O$46)</f>
        <v>#REF!</v>
      </c>
      <c r="Y119" s="49">
        <f t="shared" si="32"/>
        <v>0</v>
      </c>
      <c r="Z119" s="49">
        <f t="shared" si="32"/>
        <v>0</v>
      </c>
      <c r="AA119" s="49" t="e">
        <f t="shared" si="32"/>
        <v>#REF!</v>
      </c>
    </row>
    <row r="120" spans="1:28" ht="19.5" customHeight="1">
      <c r="A120" s="4" t="s">
        <v>474</v>
      </c>
      <c r="B120" s="18" t="s">
        <v>475</v>
      </c>
      <c r="C120" s="18" t="s">
        <v>476</v>
      </c>
      <c r="D120" s="178">
        <v>2024</v>
      </c>
      <c r="E120" s="130"/>
      <c r="F120" s="128"/>
      <c r="G120" s="126"/>
      <c r="H120" s="126" t="s">
        <v>1631</v>
      </c>
      <c r="I120" s="126" t="s">
        <v>1632</v>
      </c>
      <c r="J120" s="120"/>
      <c r="K120" s="121"/>
      <c r="L120" s="122"/>
      <c r="M120" s="181">
        <f t="shared" si="26"/>
        <v>1</v>
      </c>
      <c r="N120" s="124" t="s">
        <v>1571</v>
      </c>
      <c r="O120" s="42" t="e">
        <f>VLOOKUP(A120, citation_data!A:E, 6, FALSE)</f>
        <v>#REF!</v>
      </c>
      <c r="P120" s="179">
        <v>2020</v>
      </c>
      <c r="Q120" s="182">
        <f t="shared" si="21"/>
        <v>12</v>
      </c>
      <c r="R120" s="120">
        <f t="shared" ref="R120:U120" si="33">SUM(J47:J58)</f>
        <v>3</v>
      </c>
      <c r="S120" s="121">
        <f t="shared" si="33"/>
        <v>0</v>
      </c>
      <c r="T120" s="122">
        <f t="shared" si="33"/>
        <v>0</v>
      </c>
      <c r="U120" s="123">
        <f t="shared" si="33"/>
        <v>9</v>
      </c>
      <c r="W120" s="179">
        <v>2020</v>
      </c>
      <c r="X120" s="49" t="e">
        <f t="shared" ref="X120:AA120" si="34">SUMIF(J$47:J$58, 1, $O$47:$O$58)</f>
        <v>#REF!</v>
      </c>
      <c r="Y120" s="49">
        <f t="shared" si="34"/>
        <v>0</v>
      </c>
      <c r="Z120" s="49">
        <f t="shared" si="34"/>
        <v>0</v>
      </c>
      <c r="AA120" s="49" t="e">
        <f t="shared" si="34"/>
        <v>#REF!</v>
      </c>
    </row>
    <row r="121" spans="1:28" ht="19.5" customHeight="1">
      <c r="A121" s="4" t="s">
        <v>478</v>
      </c>
      <c r="B121" s="18" t="s">
        <v>479</v>
      </c>
      <c r="C121" s="18" t="s">
        <v>480</v>
      </c>
      <c r="D121" s="178">
        <v>2024</v>
      </c>
      <c r="E121" s="130"/>
      <c r="F121" s="128" t="s">
        <v>1633</v>
      </c>
      <c r="G121" s="126"/>
      <c r="H121" s="126"/>
      <c r="I121" s="126"/>
      <c r="J121" s="120">
        <f t="shared" ref="J121:J122" si="35">IF(ISTEXT(F121), 1, 0)</f>
        <v>1</v>
      </c>
      <c r="K121" s="121"/>
      <c r="L121" s="122"/>
      <c r="M121" s="181"/>
      <c r="N121" s="124" t="s">
        <v>1634</v>
      </c>
      <c r="O121" s="42" t="e">
        <f>VLOOKUP(A121, citation_data!A:E, 6, FALSE)</f>
        <v>#REF!</v>
      </c>
      <c r="P121" s="179">
        <v>2021</v>
      </c>
      <c r="Q121" s="182">
        <f t="shared" si="21"/>
        <v>11</v>
      </c>
      <c r="R121" s="120">
        <f t="shared" ref="R121:U121" si="36">SUM(J59:J69)</f>
        <v>5</v>
      </c>
      <c r="S121" s="121">
        <f t="shared" si="36"/>
        <v>0</v>
      </c>
      <c r="T121" s="122">
        <f t="shared" si="36"/>
        <v>0</v>
      </c>
      <c r="U121" s="123">
        <f t="shared" si="36"/>
        <v>6</v>
      </c>
      <c r="W121" s="179">
        <v>2021</v>
      </c>
      <c r="X121" s="49" t="e">
        <f t="shared" ref="X121:AA121" si="37">SUMIF(J$59:J$69, 1, $O$59:$O$69)</f>
        <v>#REF!</v>
      </c>
      <c r="Y121" s="49">
        <f t="shared" si="37"/>
        <v>0</v>
      </c>
      <c r="Z121" s="49">
        <f t="shared" si="37"/>
        <v>0</v>
      </c>
      <c r="AA121" s="49" t="e">
        <f t="shared" si="37"/>
        <v>#REF!</v>
      </c>
    </row>
    <row r="122" spans="1:28" ht="19.5" customHeight="1">
      <c r="A122" s="4" t="s">
        <v>482</v>
      </c>
      <c r="B122" s="18" t="s">
        <v>483</v>
      </c>
      <c r="C122" s="18" t="s">
        <v>484</v>
      </c>
      <c r="D122" s="178">
        <v>2024</v>
      </c>
      <c r="E122" s="130"/>
      <c r="F122" s="128" t="s">
        <v>1635</v>
      </c>
      <c r="G122" s="126"/>
      <c r="H122" s="126"/>
      <c r="I122" s="126"/>
      <c r="J122" s="120">
        <f t="shared" si="35"/>
        <v>1</v>
      </c>
      <c r="K122" s="121"/>
      <c r="L122" s="122"/>
      <c r="M122" s="181"/>
      <c r="N122" s="124" t="s">
        <v>1636</v>
      </c>
      <c r="O122" s="42" t="e">
        <f>VLOOKUP(A122, citation_data!A:E, 6, FALSE)</f>
        <v>#REF!</v>
      </c>
      <c r="P122" s="179">
        <v>2022</v>
      </c>
      <c r="Q122" s="182">
        <f t="shared" si="21"/>
        <v>17</v>
      </c>
      <c r="R122" s="120">
        <f t="shared" ref="R122:U122" si="38">SUM(J70:J86)</f>
        <v>9</v>
      </c>
      <c r="S122" s="121">
        <f t="shared" si="38"/>
        <v>0</v>
      </c>
      <c r="T122" s="122">
        <f t="shared" si="38"/>
        <v>0</v>
      </c>
      <c r="U122" s="123">
        <f t="shared" si="38"/>
        <v>8</v>
      </c>
      <c r="W122" s="179">
        <v>2022</v>
      </c>
      <c r="X122" s="49" t="e">
        <f t="shared" ref="X122:AA122" si="39">SUMIF(J$70:J$86, 1, $O$70:$O$86)</f>
        <v>#REF!</v>
      </c>
      <c r="Y122" s="49">
        <f t="shared" si="39"/>
        <v>0</v>
      </c>
      <c r="Z122" s="49">
        <f t="shared" si="39"/>
        <v>0</v>
      </c>
      <c r="AA122" s="49" t="e">
        <f t="shared" si="39"/>
        <v>#REF!</v>
      </c>
    </row>
    <row r="123" spans="1:28" ht="19.5" customHeight="1">
      <c r="A123" s="4" t="s">
        <v>486</v>
      </c>
      <c r="B123" s="18" t="s">
        <v>487</v>
      </c>
      <c r="C123" s="18" t="s">
        <v>488</v>
      </c>
      <c r="D123" s="178">
        <v>2024</v>
      </c>
      <c r="E123" s="130"/>
      <c r="F123" s="128" t="s">
        <v>1637</v>
      </c>
      <c r="G123" s="126"/>
      <c r="H123" s="126"/>
      <c r="I123" s="126" t="s">
        <v>1638</v>
      </c>
      <c r="J123" s="120"/>
      <c r="K123" s="121"/>
      <c r="L123" s="122"/>
      <c r="M123" s="181">
        <f t="shared" ref="M123:M124" si="40">IF(ISTEXT(I123), 1, 0)</f>
        <v>1</v>
      </c>
      <c r="N123" s="124" t="s">
        <v>1639</v>
      </c>
      <c r="O123" s="42" t="e">
        <f>VLOOKUP(A123, citation_data!A:E, 6, FALSE)</f>
        <v>#REF!</v>
      </c>
      <c r="P123" s="179">
        <v>2023</v>
      </c>
      <c r="Q123" s="182">
        <f t="shared" si="21"/>
        <v>20</v>
      </c>
      <c r="R123" s="120">
        <f t="shared" ref="R123:U123" si="41">SUM(J87:J106)</f>
        <v>12</v>
      </c>
      <c r="S123" s="121">
        <f t="shared" si="41"/>
        <v>0</v>
      </c>
      <c r="T123" s="122">
        <f t="shared" si="41"/>
        <v>0</v>
      </c>
      <c r="U123" s="123">
        <f t="shared" si="41"/>
        <v>8</v>
      </c>
      <c r="W123" s="179">
        <v>2023</v>
      </c>
      <c r="X123" s="49" t="e">
        <f t="shared" ref="X123:AA123" si="42">SUMIF(J$87:J$106, 1, $O$87:$O$106)</f>
        <v>#REF!</v>
      </c>
      <c r="Y123" s="49">
        <f t="shared" si="42"/>
        <v>0</v>
      </c>
      <c r="Z123" s="49">
        <f t="shared" si="42"/>
        <v>0</v>
      </c>
      <c r="AA123" s="49" t="e">
        <f t="shared" si="42"/>
        <v>#REF!</v>
      </c>
    </row>
    <row r="124" spans="1:28" ht="19.5" customHeight="1">
      <c r="A124" s="4" t="s">
        <v>490</v>
      </c>
      <c r="B124" s="18" t="s">
        <v>491</v>
      </c>
      <c r="C124" s="18" t="s">
        <v>492</v>
      </c>
      <c r="D124" s="178">
        <v>2024</v>
      </c>
      <c r="E124" s="130"/>
      <c r="F124" s="128"/>
      <c r="G124" s="126"/>
      <c r="H124" s="126" t="s">
        <v>1640</v>
      </c>
      <c r="I124" s="126" t="s">
        <v>1641</v>
      </c>
      <c r="J124" s="120"/>
      <c r="K124" s="121"/>
      <c r="L124" s="122"/>
      <c r="M124" s="181">
        <f t="shared" si="40"/>
        <v>1</v>
      </c>
      <c r="N124" s="124" t="s">
        <v>1642</v>
      </c>
      <c r="O124" s="42" t="e">
        <f>VLOOKUP(A124, citation_data!A:E, 6, FALSE)</f>
        <v>#REF!</v>
      </c>
      <c r="P124" s="183">
        <v>2024</v>
      </c>
      <c r="Q124" s="184">
        <f t="shared" si="21"/>
        <v>18</v>
      </c>
      <c r="R124" s="185">
        <f t="shared" ref="R124:U124" si="43">SUM(J107:J124)</f>
        <v>9</v>
      </c>
      <c r="S124" s="186">
        <f t="shared" si="43"/>
        <v>0</v>
      </c>
      <c r="T124" s="187">
        <f t="shared" si="43"/>
        <v>0</v>
      </c>
      <c r="U124" s="188">
        <f t="shared" si="43"/>
        <v>9</v>
      </c>
      <c r="W124" s="183">
        <v>2024</v>
      </c>
      <c r="X124" s="49" t="e">
        <f t="shared" ref="X124:AA124" si="44">SUMIF(J$107:J$124, 1, $O$107:$O$124)</f>
        <v>#REF!</v>
      </c>
      <c r="Y124" s="49">
        <f t="shared" si="44"/>
        <v>0</v>
      </c>
      <c r="Z124" s="49">
        <f t="shared" si="44"/>
        <v>0</v>
      </c>
      <c r="AA124" s="49" t="e">
        <f t="shared" si="44"/>
        <v>#REF!</v>
      </c>
    </row>
    <row r="125" spans="1:28" ht="19.5" customHeight="1">
      <c r="A125" s="20"/>
      <c r="B125" s="21"/>
      <c r="C125" s="22"/>
      <c r="D125" s="189"/>
      <c r="E125" s="190"/>
      <c r="F125" s="81"/>
      <c r="G125" s="22"/>
      <c r="H125" s="22"/>
      <c r="I125" s="22"/>
      <c r="J125" s="179">
        <f t="shared" ref="J125:M125" si="45">SUM(J2:J124)</f>
        <v>50</v>
      </c>
      <c r="K125" s="179">
        <f t="shared" si="45"/>
        <v>0</v>
      </c>
      <c r="L125" s="179">
        <f t="shared" si="45"/>
        <v>1</v>
      </c>
      <c r="M125" s="179">
        <f t="shared" si="45"/>
        <v>72</v>
      </c>
      <c r="N125" s="179"/>
      <c r="O125" s="179" t="e">
        <f>SUM(O2:O124)</f>
        <v>#REF!</v>
      </c>
      <c r="P125" s="191" t="s">
        <v>1619</v>
      </c>
      <c r="Q125" s="192">
        <f t="shared" ref="Q125:U125" si="46">SUM(Q115:Q124)</f>
        <v>123</v>
      </c>
      <c r="R125" s="193">
        <f t="shared" si="46"/>
        <v>50</v>
      </c>
      <c r="S125" s="193">
        <f t="shared" si="46"/>
        <v>0</v>
      </c>
      <c r="T125" s="193">
        <f t="shared" si="46"/>
        <v>1</v>
      </c>
      <c r="U125" s="194">
        <f t="shared" si="46"/>
        <v>72</v>
      </c>
      <c r="W125" s="191" t="s">
        <v>1619</v>
      </c>
      <c r="X125" s="193" t="e">
        <f t="shared" ref="X125:AA125" si="47">SUM(X115:X124)</f>
        <v>#REF!</v>
      </c>
      <c r="Y125" s="193">
        <f t="shared" si="47"/>
        <v>0</v>
      </c>
      <c r="Z125" s="193" t="e">
        <f t="shared" si="47"/>
        <v>#REF!</v>
      </c>
      <c r="AA125" s="193" t="e">
        <f t="shared" si="47"/>
        <v>#REF!</v>
      </c>
      <c r="AB125" s="74" t="e">
        <f>SUM(X125:AA125)</f>
        <v>#REF!</v>
      </c>
    </row>
    <row r="126" spans="1:28" ht="19.5" customHeight="1">
      <c r="A126" s="20"/>
      <c r="B126" s="21"/>
      <c r="C126" s="22"/>
      <c r="D126" s="189"/>
      <c r="E126" s="190"/>
      <c r="F126" s="81"/>
      <c r="G126" s="22"/>
      <c r="H126" s="22"/>
      <c r="I126" s="22"/>
      <c r="N126" s="124"/>
      <c r="O126" s="195"/>
    </row>
    <row r="127" spans="1:28" ht="19.5" customHeight="1">
      <c r="A127" s="20"/>
      <c r="B127" s="21"/>
      <c r="C127" s="22"/>
      <c r="D127" s="189"/>
      <c r="E127" s="190"/>
      <c r="F127" s="81"/>
      <c r="G127" s="22"/>
      <c r="H127" s="22"/>
      <c r="I127" s="22"/>
      <c r="N127" s="124"/>
    </row>
    <row r="128" spans="1:28" ht="19.5" customHeight="1">
      <c r="A128" s="20"/>
      <c r="B128" s="21"/>
      <c r="C128" s="22"/>
      <c r="D128" s="189"/>
      <c r="E128" s="190"/>
      <c r="F128" s="81"/>
      <c r="G128" s="22"/>
      <c r="H128" s="22"/>
      <c r="I128" s="22"/>
      <c r="N128" s="124"/>
    </row>
    <row r="129" spans="1:14" ht="19.5" customHeight="1">
      <c r="A129" s="20"/>
      <c r="B129" s="21"/>
      <c r="C129" s="22"/>
      <c r="D129" s="189"/>
      <c r="E129" s="190"/>
      <c r="F129" s="81"/>
      <c r="G129" s="22"/>
      <c r="H129" s="22"/>
      <c r="I129" s="22"/>
      <c r="N129" s="124"/>
    </row>
    <row r="130" spans="1:14" ht="19.5" customHeight="1">
      <c r="A130" s="20"/>
      <c r="B130" s="21"/>
      <c r="C130" s="22"/>
      <c r="D130" s="189"/>
      <c r="E130" s="190"/>
      <c r="F130" s="81"/>
      <c r="G130" s="22"/>
      <c r="H130" s="22"/>
      <c r="I130" s="22"/>
      <c r="L130" s="195"/>
      <c r="N130" s="124"/>
    </row>
    <row r="131" spans="1:14" ht="19.5" customHeight="1">
      <c r="A131" s="20"/>
      <c r="B131" s="21"/>
      <c r="C131" s="22"/>
      <c r="D131" s="189"/>
      <c r="E131" s="190"/>
      <c r="F131" s="81"/>
      <c r="G131" s="22"/>
      <c r="H131" s="22"/>
      <c r="I131" s="22"/>
      <c r="N131" s="124"/>
    </row>
    <row r="132" spans="1:14" ht="19.5" customHeight="1">
      <c r="A132" s="20"/>
      <c r="B132" s="21"/>
      <c r="C132" s="22"/>
      <c r="D132" s="189"/>
      <c r="E132" s="190"/>
      <c r="F132" s="81"/>
      <c r="G132" s="22"/>
      <c r="H132" s="22"/>
      <c r="I132" s="22"/>
      <c r="N132" s="124"/>
    </row>
    <row r="133" spans="1:14" ht="19.5" customHeight="1">
      <c r="A133" s="20"/>
      <c r="B133" s="21"/>
      <c r="C133" s="22"/>
      <c r="D133" s="189"/>
      <c r="E133" s="190"/>
      <c r="F133" s="81"/>
      <c r="G133" s="22"/>
      <c r="H133" s="22"/>
      <c r="I133" s="22"/>
      <c r="N133" s="124"/>
    </row>
    <row r="134" spans="1:14" ht="19.5" customHeight="1">
      <c r="A134" s="20"/>
      <c r="B134" s="21"/>
      <c r="C134" s="22"/>
      <c r="D134" s="189"/>
      <c r="E134" s="190"/>
      <c r="F134" s="81"/>
      <c r="G134" s="22"/>
      <c r="H134" s="22"/>
      <c r="I134" s="22"/>
      <c r="N134" s="124"/>
    </row>
    <row r="135" spans="1:14" ht="19.5" customHeight="1">
      <c r="A135" s="20"/>
      <c r="B135" s="21"/>
      <c r="C135" s="22"/>
      <c r="D135" s="189"/>
      <c r="E135" s="190"/>
      <c r="F135" s="81"/>
      <c r="G135" s="22"/>
      <c r="H135" s="22"/>
      <c r="I135" s="22"/>
      <c r="N135" s="124"/>
    </row>
    <row r="136" spans="1:14" ht="19.5" customHeight="1">
      <c r="A136" s="20"/>
      <c r="B136" s="21"/>
      <c r="C136" s="22"/>
      <c r="D136" s="189"/>
      <c r="E136" s="190"/>
      <c r="F136" s="81"/>
      <c r="G136" s="22"/>
      <c r="H136" s="22"/>
      <c r="I136" s="22"/>
      <c r="N136" s="124"/>
    </row>
    <row r="137" spans="1:14" ht="19.5" customHeight="1">
      <c r="A137" s="20"/>
      <c r="B137" s="21"/>
      <c r="C137" s="22"/>
      <c r="D137" s="189"/>
      <c r="E137" s="190"/>
      <c r="F137" s="81"/>
      <c r="G137" s="22"/>
      <c r="H137" s="22"/>
      <c r="I137" s="22"/>
      <c r="N137" s="124"/>
    </row>
    <row r="138" spans="1:14" ht="19.5" customHeight="1">
      <c r="A138" s="20"/>
      <c r="B138" s="21"/>
      <c r="C138" s="22"/>
      <c r="D138" s="189"/>
      <c r="E138" s="190"/>
      <c r="F138" s="81"/>
      <c r="G138" s="22"/>
      <c r="H138" s="22"/>
      <c r="I138" s="22"/>
      <c r="N138" s="124"/>
    </row>
    <row r="139" spans="1:14" ht="19.5" customHeight="1">
      <c r="A139" s="20"/>
      <c r="B139" s="21"/>
      <c r="C139" s="22"/>
      <c r="D139" s="189"/>
      <c r="E139" s="190"/>
      <c r="F139" s="81"/>
      <c r="G139" s="22"/>
      <c r="H139" s="22"/>
      <c r="I139" s="22"/>
      <c r="N139" s="124"/>
    </row>
    <row r="140" spans="1:14" ht="19.5" customHeight="1">
      <c r="A140" s="20"/>
      <c r="B140" s="21"/>
      <c r="C140" s="22"/>
      <c r="D140" s="189"/>
      <c r="E140" s="190"/>
      <c r="F140" s="81"/>
      <c r="G140" s="22"/>
      <c r="H140" s="22"/>
      <c r="I140" s="22"/>
      <c r="N140" s="124"/>
    </row>
    <row r="141" spans="1:14" ht="19.5" customHeight="1">
      <c r="A141" s="20"/>
      <c r="B141" s="21"/>
      <c r="C141" s="22"/>
      <c r="D141" s="189"/>
      <c r="E141" s="190"/>
      <c r="F141" s="81"/>
      <c r="G141" s="22"/>
      <c r="H141" s="22"/>
      <c r="I141" s="22"/>
      <c r="N141" s="124"/>
    </row>
    <row r="142" spans="1:14" ht="19.5" customHeight="1">
      <c r="A142" s="20"/>
      <c r="B142" s="21"/>
      <c r="C142" s="22"/>
      <c r="D142" s="189"/>
      <c r="E142" s="190"/>
      <c r="F142" s="81"/>
      <c r="G142" s="22"/>
      <c r="H142" s="22"/>
      <c r="I142" s="22"/>
      <c r="N142" s="124"/>
    </row>
    <row r="143" spans="1:14" ht="19.5" customHeight="1">
      <c r="A143" s="20"/>
      <c r="B143" s="21"/>
      <c r="C143" s="22"/>
      <c r="D143" s="189"/>
      <c r="E143" s="190"/>
      <c r="F143" s="81"/>
      <c r="G143" s="22"/>
      <c r="H143" s="22"/>
      <c r="I143" s="22"/>
      <c r="N143" s="124"/>
    </row>
    <row r="144" spans="1:14" ht="19.5" customHeight="1">
      <c r="A144" s="20"/>
      <c r="B144" s="21"/>
      <c r="C144" s="22"/>
      <c r="D144" s="189"/>
      <c r="E144" s="190"/>
      <c r="F144" s="81"/>
      <c r="G144" s="22"/>
      <c r="H144" s="22"/>
      <c r="I144" s="22"/>
      <c r="N144" s="124"/>
    </row>
    <row r="145" spans="1:14" ht="19.5" customHeight="1">
      <c r="A145" s="20"/>
      <c r="B145" s="21"/>
      <c r="C145" s="22"/>
      <c r="D145" s="189"/>
      <c r="E145" s="190"/>
      <c r="F145" s="81"/>
      <c r="G145" s="22"/>
      <c r="H145" s="22"/>
      <c r="I145" s="22"/>
      <c r="N145" s="124"/>
    </row>
    <row r="146" spans="1:14" ht="19.5" customHeight="1">
      <c r="A146" s="20"/>
      <c r="B146" s="21"/>
      <c r="C146" s="22"/>
      <c r="D146" s="189"/>
      <c r="E146" s="190"/>
      <c r="F146" s="81"/>
      <c r="G146" s="22"/>
      <c r="H146" s="22"/>
      <c r="I146" s="22"/>
      <c r="N146" s="124"/>
    </row>
    <row r="147" spans="1:14" ht="19.5" customHeight="1">
      <c r="A147" s="20"/>
      <c r="B147" s="21"/>
      <c r="C147" s="22"/>
      <c r="D147" s="189"/>
      <c r="E147" s="190"/>
      <c r="F147" s="81"/>
      <c r="G147" s="22"/>
      <c r="H147" s="22"/>
      <c r="I147" s="22"/>
      <c r="N147" s="124"/>
    </row>
    <row r="148" spans="1:14" ht="19.5" customHeight="1">
      <c r="A148" s="20"/>
      <c r="B148" s="21"/>
      <c r="C148" s="22"/>
      <c r="D148" s="189"/>
      <c r="E148" s="190"/>
      <c r="F148" s="81"/>
      <c r="G148" s="22"/>
      <c r="H148" s="22"/>
      <c r="I148" s="22"/>
      <c r="N148" s="124"/>
    </row>
    <row r="149" spans="1:14" ht="19.5" customHeight="1">
      <c r="A149" s="20"/>
      <c r="B149" s="21"/>
      <c r="C149" s="22"/>
      <c r="D149" s="189"/>
      <c r="E149" s="190"/>
      <c r="F149" s="81"/>
      <c r="G149" s="22"/>
      <c r="H149" s="22"/>
      <c r="I149" s="22"/>
      <c r="N149" s="124"/>
    </row>
    <row r="150" spans="1:14" ht="19.5" customHeight="1">
      <c r="A150" s="20"/>
      <c r="B150" s="21"/>
      <c r="C150" s="22"/>
      <c r="D150" s="189"/>
      <c r="E150" s="190"/>
      <c r="F150" s="81"/>
      <c r="G150" s="22"/>
      <c r="H150" s="22"/>
      <c r="I150" s="22"/>
      <c r="N150" s="124"/>
    </row>
    <row r="151" spans="1:14" ht="19.5" customHeight="1">
      <c r="A151" s="20"/>
      <c r="B151" s="21"/>
      <c r="C151" s="22"/>
      <c r="D151" s="189"/>
      <c r="E151" s="190"/>
      <c r="F151" s="81"/>
      <c r="G151" s="22"/>
      <c r="H151" s="22"/>
      <c r="I151" s="22"/>
      <c r="N151" s="124"/>
    </row>
    <row r="152" spans="1:14" ht="19.5" customHeight="1">
      <c r="A152" s="20"/>
      <c r="B152" s="21"/>
      <c r="C152" s="22"/>
      <c r="D152" s="189"/>
      <c r="E152" s="190"/>
      <c r="F152" s="81"/>
      <c r="G152" s="22"/>
      <c r="H152" s="22"/>
      <c r="I152" s="22"/>
      <c r="N152" s="124"/>
    </row>
    <row r="153" spans="1:14" ht="19.5" customHeight="1">
      <c r="A153" s="20"/>
      <c r="B153" s="21"/>
      <c r="C153" s="22"/>
      <c r="D153" s="189"/>
      <c r="E153" s="190"/>
      <c r="F153" s="81"/>
      <c r="G153" s="22"/>
      <c r="H153" s="22"/>
      <c r="I153" s="22"/>
      <c r="N153" s="124"/>
    </row>
    <row r="154" spans="1:14" ht="19.5" customHeight="1">
      <c r="A154" s="20"/>
      <c r="B154" s="21"/>
      <c r="C154" s="22"/>
      <c r="D154" s="189"/>
      <c r="E154" s="190"/>
      <c r="F154" s="81"/>
      <c r="G154" s="22"/>
      <c r="H154" s="22"/>
      <c r="I154" s="22"/>
      <c r="N154" s="124"/>
    </row>
    <row r="155" spans="1:14" ht="19.5" customHeight="1">
      <c r="A155" s="20"/>
      <c r="B155" s="21"/>
      <c r="C155" s="22"/>
      <c r="D155" s="189"/>
      <c r="E155" s="190"/>
      <c r="F155" s="81"/>
      <c r="G155" s="22"/>
      <c r="H155" s="22"/>
      <c r="I155" s="22"/>
      <c r="N155" s="124"/>
    </row>
    <row r="156" spans="1:14" ht="19.5" customHeight="1">
      <c r="A156" s="20"/>
      <c r="B156" s="21"/>
      <c r="C156" s="22"/>
      <c r="D156" s="189"/>
      <c r="E156" s="190"/>
      <c r="F156" s="81"/>
      <c r="G156" s="22"/>
      <c r="H156" s="22"/>
      <c r="I156" s="22"/>
      <c r="N156" s="124"/>
    </row>
    <row r="157" spans="1:14" ht="19.5" customHeight="1">
      <c r="A157" s="20"/>
      <c r="B157" s="21"/>
      <c r="C157" s="22"/>
      <c r="D157" s="189"/>
      <c r="E157" s="190"/>
      <c r="F157" s="81"/>
      <c r="G157" s="22"/>
      <c r="H157" s="22"/>
      <c r="I157" s="22"/>
      <c r="N157" s="124"/>
    </row>
    <row r="158" spans="1:14" ht="19.5" customHeight="1">
      <c r="A158" s="20"/>
      <c r="B158" s="21"/>
      <c r="C158" s="22"/>
      <c r="D158" s="189"/>
      <c r="E158" s="190"/>
      <c r="F158" s="81"/>
      <c r="G158" s="22"/>
      <c r="H158" s="22"/>
      <c r="I158" s="22"/>
      <c r="N158" s="124"/>
    </row>
    <row r="159" spans="1:14" ht="19.5" customHeight="1">
      <c r="A159" s="20"/>
      <c r="B159" s="21"/>
      <c r="C159" s="22"/>
      <c r="D159" s="189"/>
      <c r="E159" s="190"/>
      <c r="F159" s="81"/>
      <c r="G159" s="22"/>
      <c r="H159" s="22"/>
      <c r="I159" s="22"/>
      <c r="N159" s="124"/>
    </row>
    <row r="160" spans="1:14" ht="19.5" customHeight="1">
      <c r="A160" s="20"/>
      <c r="B160" s="21"/>
      <c r="C160" s="22"/>
      <c r="D160" s="189"/>
      <c r="E160" s="190"/>
      <c r="F160" s="81"/>
      <c r="G160" s="22"/>
      <c r="H160" s="22"/>
      <c r="I160" s="22"/>
      <c r="N160" s="124"/>
    </row>
    <row r="161" spans="1:14" ht="19.5" customHeight="1">
      <c r="A161" s="20"/>
      <c r="B161" s="21"/>
      <c r="C161" s="22"/>
      <c r="D161" s="189"/>
      <c r="E161" s="190"/>
      <c r="F161" s="81"/>
      <c r="G161" s="22"/>
      <c r="H161" s="22"/>
      <c r="I161" s="22"/>
      <c r="N161" s="124"/>
    </row>
    <row r="162" spans="1:14" ht="19.5" customHeight="1">
      <c r="A162" s="20"/>
      <c r="B162" s="21"/>
      <c r="C162" s="22"/>
      <c r="D162" s="189"/>
      <c r="E162" s="190"/>
      <c r="F162" s="81"/>
      <c r="G162" s="22"/>
      <c r="H162" s="22"/>
      <c r="I162" s="22"/>
      <c r="N162" s="124"/>
    </row>
    <row r="163" spans="1:14" ht="19.5" customHeight="1">
      <c r="A163" s="20"/>
      <c r="B163" s="21"/>
      <c r="C163" s="22"/>
      <c r="D163" s="189"/>
      <c r="E163" s="190"/>
      <c r="F163" s="81"/>
      <c r="G163" s="22"/>
      <c r="H163" s="22"/>
      <c r="I163" s="22"/>
      <c r="N163" s="124"/>
    </row>
    <row r="164" spans="1:14" ht="19.5" customHeight="1">
      <c r="A164" s="20"/>
      <c r="B164" s="21"/>
      <c r="C164" s="22"/>
      <c r="D164" s="189"/>
      <c r="E164" s="190"/>
      <c r="F164" s="81"/>
      <c r="G164" s="22"/>
      <c r="H164" s="22"/>
      <c r="I164" s="22"/>
      <c r="N164" s="124"/>
    </row>
    <row r="165" spans="1:14" ht="19.5" customHeight="1">
      <c r="A165" s="20"/>
      <c r="B165" s="21"/>
      <c r="C165" s="22"/>
      <c r="D165" s="189"/>
      <c r="E165" s="190"/>
      <c r="F165" s="81"/>
      <c r="G165" s="22"/>
      <c r="H165" s="22"/>
      <c r="I165" s="22"/>
      <c r="N165" s="124"/>
    </row>
    <row r="166" spans="1:14" ht="19.5" customHeight="1">
      <c r="A166" s="20"/>
      <c r="B166" s="21"/>
      <c r="C166" s="22"/>
      <c r="D166" s="189"/>
      <c r="E166" s="190"/>
      <c r="F166" s="81"/>
      <c r="G166" s="22"/>
      <c r="H166" s="22"/>
      <c r="I166" s="22"/>
      <c r="N166" s="124"/>
    </row>
    <row r="167" spans="1:14" ht="19.5" customHeight="1">
      <c r="A167" s="20"/>
      <c r="B167" s="21"/>
      <c r="C167" s="22"/>
      <c r="D167" s="189"/>
      <c r="E167" s="190"/>
      <c r="F167" s="81"/>
      <c r="G167" s="22"/>
      <c r="H167" s="22"/>
      <c r="I167" s="22"/>
      <c r="N167" s="124"/>
    </row>
    <row r="168" spans="1:14" ht="19.5" customHeight="1">
      <c r="A168" s="20"/>
      <c r="B168" s="21"/>
      <c r="C168" s="22"/>
      <c r="D168" s="189"/>
      <c r="E168" s="190"/>
      <c r="F168" s="81"/>
      <c r="G168" s="22"/>
      <c r="H168" s="22"/>
      <c r="I168" s="22"/>
      <c r="N168" s="124"/>
    </row>
    <row r="169" spans="1:14" ht="19.5" customHeight="1">
      <c r="A169" s="20"/>
      <c r="B169" s="21"/>
      <c r="C169" s="22"/>
      <c r="D169" s="189"/>
      <c r="E169" s="190"/>
      <c r="F169" s="81"/>
      <c r="G169" s="22"/>
      <c r="H169" s="22"/>
      <c r="I169" s="22"/>
      <c r="N169" s="124"/>
    </row>
    <row r="170" spans="1:14" ht="19.5" customHeight="1">
      <c r="A170" s="20"/>
      <c r="B170" s="21"/>
      <c r="C170" s="22"/>
      <c r="D170" s="189"/>
      <c r="E170" s="190"/>
      <c r="F170" s="81"/>
      <c r="G170" s="22"/>
      <c r="H170" s="22"/>
      <c r="I170" s="22"/>
      <c r="N170" s="124"/>
    </row>
    <row r="171" spans="1:14" ht="19.5" customHeight="1">
      <c r="A171" s="20"/>
      <c r="B171" s="21"/>
      <c r="C171" s="22"/>
      <c r="D171" s="189"/>
      <c r="E171" s="190"/>
      <c r="F171" s="81"/>
      <c r="G171" s="22"/>
      <c r="H171" s="22"/>
      <c r="I171" s="22"/>
      <c r="N171" s="124"/>
    </row>
    <row r="172" spans="1:14" ht="19.5" customHeight="1">
      <c r="A172" s="20"/>
      <c r="B172" s="21"/>
      <c r="C172" s="22"/>
      <c r="D172" s="189"/>
      <c r="E172" s="190"/>
      <c r="F172" s="81"/>
      <c r="G172" s="22"/>
      <c r="H172" s="22"/>
      <c r="I172" s="22"/>
      <c r="N172" s="124"/>
    </row>
    <row r="173" spans="1:14" ht="19.5" customHeight="1">
      <c r="A173" s="20"/>
      <c r="B173" s="21"/>
      <c r="C173" s="22"/>
      <c r="D173" s="189"/>
      <c r="E173" s="190"/>
      <c r="F173" s="81"/>
      <c r="G173" s="22"/>
      <c r="H173" s="22"/>
      <c r="I173" s="22"/>
      <c r="N173" s="124"/>
    </row>
    <row r="174" spans="1:14" ht="19.5" customHeight="1">
      <c r="A174" s="20"/>
      <c r="B174" s="21"/>
      <c r="C174" s="22"/>
      <c r="D174" s="189"/>
      <c r="E174" s="190"/>
      <c r="F174" s="81"/>
      <c r="G174" s="22"/>
      <c r="H174" s="22"/>
      <c r="I174" s="22"/>
      <c r="N174" s="124"/>
    </row>
    <row r="175" spans="1:14" ht="19.5" customHeight="1">
      <c r="A175" s="20"/>
      <c r="B175" s="21"/>
      <c r="C175" s="22"/>
      <c r="D175" s="189"/>
      <c r="E175" s="190"/>
      <c r="F175" s="81"/>
      <c r="G175" s="22"/>
      <c r="H175" s="22"/>
      <c r="I175" s="22"/>
      <c r="N175" s="124"/>
    </row>
    <row r="176" spans="1:14" ht="19.5" customHeight="1">
      <c r="A176" s="20"/>
      <c r="B176" s="21"/>
      <c r="C176" s="22"/>
      <c r="D176" s="189"/>
      <c r="E176" s="190"/>
      <c r="F176" s="81"/>
      <c r="G176" s="22"/>
      <c r="H176" s="22"/>
      <c r="I176" s="22"/>
      <c r="N176" s="124"/>
    </row>
    <row r="177" spans="1:14" ht="19.5" customHeight="1">
      <c r="A177" s="20"/>
      <c r="B177" s="21"/>
      <c r="C177" s="22"/>
      <c r="D177" s="189"/>
      <c r="E177" s="190"/>
      <c r="F177" s="81"/>
      <c r="G177" s="22"/>
      <c r="H177" s="22"/>
      <c r="I177" s="22"/>
      <c r="N177" s="124"/>
    </row>
    <row r="178" spans="1:14" ht="19.5" customHeight="1">
      <c r="A178" s="20"/>
      <c r="B178" s="21"/>
      <c r="C178" s="22"/>
      <c r="D178" s="189"/>
      <c r="E178" s="190"/>
      <c r="F178" s="81"/>
      <c r="G178" s="22"/>
      <c r="H178" s="22"/>
      <c r="I178" s="22"/>
      <c r="N178" s="124"/>
    </row>
    <row r="179" spans="1:14" ht="19.5" customHeight="1">
      <c r="A179" s="20"/>
      <c r="B179" s="21"/>
      <c r="C179" s="22"/>
      <c r="D179" s="189"/>
      <c r="E179" s="190"/>
      <c r="F179" s="81"/>
      <c r="G179" s="22"/>
      <c r="H179" s="22"/>
      <c r="I179" s="22"/>
      <c r="N179" s="124"/>
    </row>
    <row r="180" spans="1:14" ht="19.5" customHeight="1">
      <c r="A180" s="20"/>
      <c r="B180" s="21"/>
      <c r="C180" s="22"/>
      <c r="D180" s="189"/>
      <c r="E180" s="190"/>
      <c r="F180" s="81"/>
      <c r="G180" s="22"/>
      <c r="H180" s="22"/>
      <c r="I180" s="22"/>
      <c r="N180" s="124"/>
    </row>
    <row r="181" spans="1:14" ht="19.5" customHeight="1">
      <c r="A181" s="20"/>
      <c r="B181" s="21"/>
      <c r="C181" s="22"/>
      <c r="D181" s="189"/>
      <c r="E181" s="190"/>
      <c r="F181" s="81"/>
      <c r="G181" s="22"/>
      <c r="H181" s="22"/>
      <c r="I181" s="22"/>
      <c r="N181" s="124"/>
    </row>
    <row r="182" spans="1:14" ht="19.5" customHeight="1">
      <c r="A182" s="20"/>
      <c r="B182" s="21"/>
      <c r="C182" s="22"/>
      <c r="D182" s="189"/>
      <c r="E182" s="190"/>
      <c r="F182" s="81"/>
      <c r="G182" s="22"/>
      <c r="H182" s="22"/>
      <c r="I182" s="22"/>
      <c r="N182" s="124"/>
    </row>
    <row r="183" spans="1:14" ht="19.5" customHeight="1">
      <c r="A183" s="20"/>
      <c r="B183" s="21"/>
      <c r="C183" s="22"/>
      <c r="D183" s="189"/>
      <c r="E183" s="190"/>
      <c r="F183" s="81"/>
      <c r="G183" s="22"/>
      <c r="H183" s="22"/>
      <c r="I183" s="22"/>
      <c r="N183" s="124"/>
    </row>
    <row r="184" spans="1:14" ht="19.5" customHeight="1">
      <c r="A184" s="20"/>
      <c r="B184" s="21"/>
      <c r="C184" s="22"/>
      <c r="D184" s="189"/>
      <c r="E184" s="190"/>
      <c r="F184" s="81"/>
      <c r="G184" s="22"/>
      <c r="H184" s="22"/>
      <c r="I184" s="22"/>
      <c r="N184" s="124"/>
    </row>
    <row r="185" spans="1:14" ht="19.5" customHeight="1">
      <c r="A185" s="20"/>
      <c r="B185" s="21"/>
      <c r="C185" s="22"/>
      <c r="D185" s="189"/>
      <c r="E185" s="190"/>
      <c r="F185" s="81"/>
      <c r="G185" s="22"/>
      <c r="H185" s="22"/>
      <c r="I185" s="22"/>
      <c r="N185" s="124"/>
    </row>
    <row r="186" spans="1:14" ht="19.5" customHeight="1">
      <c r="A186" s="20"/>
      <c r="B186" s="21"/>
      <c r="C186" s="22"/>
      <c r="D186" s="189"/>
      <c r="E186" s="190"/>
      <c r="F186" s="81"/>
      <c r="G186" s="22"/>
      <c r="H186" s="22"/>
      <c r="I186" s="22"/>
      <c r="N186" s="124"/>
    </row>
    <row r="187" spans="1:14" ht="19.5" customHeight="1">
      <c r="A187" s="20"/>
      <c r="B187" s="21"/>
      <c r="C187" s="22"/>
      <c r="D187" s="189"/>
      <c r="E187" s="190"/>
      <c r="F187" s="81"/>
      <c r="G187" s="22"/>
      <c r="H187" s="22"/>
      <c r="I187" s="22"/>
      <c r="N187" s="124"/>
    </row>
    <row r="188" spans="1:14" ht="19.5" customHeight="1">
      <c r="A188" s="20"/>
      <c r="B188" s="21"/>
      <c r="C188" s="22"/>
      <c r="D188" s="189"/>
      <c r="E188" s="190"/>
      <c r="F188" s="81"/>
      <c r="G188" s="22"/>
      <c r="H188" s="22"/>
      <c r="I188" s="22"/>
      <c r="N188" s="124"/>
    </row>
    <row r="189" spans="1:14" ht="19.5" customHeight="1">
      <c r="A189" s="20"/>
      <c r="B189" s="21"/>
      <c r="C189" s="22"/>
      <c r="D189" s="189"/>
      <c r="E189" s="190"/>
      <c r="F189" s="81"/>
      <c r="G189" s="22"/>
      <c r="H189" s="22"/>
      <c r="I189" s="22"/>
      <c r="N189" s="124"/>
    </row>
    <row r="190" spans="1:14" ht="19.5" customHeight="1">
      <c r="A190" s="20"/>
      <c r="B190" s="21"/>
      <c r="C190" s="22"/>
      <c r="D190" s="189"/>
      <c r="E190" s="190"/>
      <c r="F190" s="81"/>
      <c r="G190" s="22"/>
      <c r="H190" s="22"/>
      <c r="I190" s="22"/>
      <c r="N190" s="124"/>
    </row>
    <row r="191" spans="1:14" ht="19.5" customHeight="1">
      <c r="A191" s="20"/>
      <c r="B191" s="21"/>
      <c r="C191" s="22"/>
      <c r="D191" s="189"/>
      <c r="E191" s="190"/>
      <c r="F191" s="81"/>
      <c r="G191" s="22"/>
      <c r="H191" s="22"/>
      <c r="I191" s="22"/>
      <c r="N191" s="124"/>
    </row>
    <row r="192" spans="1:14" ht="19.5" customHeight="1">
      <c r="A192" s="20"/>
      <c r="B192" s="21"/>
      <c r="C192" s="22"/>
      <c r="D192" s="189"/>
      <c r="E192" s="190"/>
      <c r="F192" s="81"/>
      <c r="G192" s="22"/>
      <c r="H192" s="22"/>
      <c r="I192" s="22"/>
      <c r="N192" s="124"/>
    </row>
    <row r="193" spans="1:14" ht="19.5" customHeight="1">
      <c r="A193" s="20"/>
      <c r="B193" s="21"/>
      <c r="C193" s="22"/>
      <c r="D193" s="189"/>
      <c r="E193" s="190"/>
      <c r="F193" s="81"/>
      <c r="G193" s="22"/>
      <c r="H193" s="22"/>
      <c r="I193" s="22"/>
      <c r="N193" s="124"/>
    </row>
    <row r="194" spans="1:14" ht="19.5" customHeight="1">
      <c r="A194" s="20"/>
      <c r="B194" s="21"/>
      <c r="C194" s="22"/>
      <c r="D194" s="189"/>
      <c r="E194" s="190"/>
      <c r="F194" s="81"/>
      <c r="G194" s="22"/>
      <c r="H194" s="22"/>
      <c r="I194" s="22"/>
      <c r="N194" s="124"/>
    </row>
    <row r="195" spans="1:14" ht="19.5" customHeight="1">
      <c r="A195" s="20"/>
      <c r="B195" s="21"/>
      <c r="C195" s="22"/>
      <c r="D195" s="189"/>
      <c r="E195" s="190"/>
      <c r="F195" s="81"/>
      <c r="G195" s="22"/>
      <c r="H195" s="22"/>
      <c r="I195" s="22"/>
      <c r="N195" s="124"/>
    </row>
    <row r="196" spans="1:14" ht="19.5" customHeight="1">
      <c r="A196" s="20"/>
      <c r="B196" s="21"/>
      <c r="C196" s="22"/>
      <c r="D196" s="189"/>
      <c r="E196" s="190"/>
      <c r="F196" s="81"/>
      <c r="G196" s="22"/>
      <c r="H196" s="22"/>
      <c r="I196" s="22"/>
      <c r="N196" s="124"/>
    </row>
    <row r="197" spans="1:14" ht="19.5" customHeight="1">
      <c r="A197" s="20"/>
      <c r="B197" s="21"/>
      <c r="C197" s="22"/>
      <c r="D197" s="189"/>
      <c r="E197" s="190"/>
      <c r="F197" s="81"/>
      <c r="G197" s="22"/>
      <c r="H197" s="22"/>
      <c r="I197" s="22"/>
      <c r="N197" s="124"/>
    </row>
    <row r="198" spans="1:14" ht="19.5" customHeight="1">
      <c r="A198" s="20"/>
      <c r="B198" s="21"/>
      <c r="C198" s="22"/>
      <c r="D198" s="189"/>
      <c r="E198" s="190"/>
      <c r="F198" s="81"/>
      <c r="G198" s="22"/>
      <c r="H198" s="22"/>
      <c r="I198" s="22"/>
      <c r="N198" s="124"/>
    </row>
    <row r="199" spans="1:14" ht="19.5" customHeight="1">
      <c r="A199" s="20"/>
      <c r="B199" s="21"/>
      <c r="C199" s="22"/>
      <c r="D199" s="189"/>
      <c r="E199" s="190"/>
      <c r="F199" s="81"/>
      <c r="G199" s="22"/>
      <c r="H199" s="22"/>
      <c r="I199" s="22"/>
      <c r="N199" s="124"/>
    </row>
    <row r="200" spans="1:14" ht="19.5" customHeight="1">
      <c r="A200" s="20"/>
      <c r="B200" s="21"/>
      <c r="C200" s="22"/>
      <c r="D200" s="189"/>
      <c r="E200" s="190"/>
      <c r="F200" s="81"/>
      <c r="G200" s="22"/>
      <c r="H200" s="22"/>
      <c r="I200" s="22"/>
      <c r="N200" s="124"/>
    </row>
    <row r="201" spans="1:14" ht="19.5" customHeight="1">
      <c r="A201" s="20"/>
      <c r="B201" s="21"/>
      <c r="C201" s="22"/>
      <c r="D201" s="189"/>
      <c r="E201" s="190"/>
      <c r="F201" s="81"/>
      <c r="G201" s="22"/>
      <c r="H201" s="22"/>
      <c r="I201" s="22"/>
      <c r="N201" s="124"/>
    </row>
    <row r="202" spans="1:14" ht="19.5" customHeight="1">
      <c r="A202" s="20"/>
      <c r="B202" s="21"/>
      <c r="C202" s="22"/>
      <c r="D202" s="189"/>
      <c r="E202" s="190"/>
      <c r="F202" s="81"/>
      <c r="G202" s="22"/>
      <c r="H202" s="22"/>
      <c r="I202" s="22"/>
      <c r="N202" s="124"/>
    </row>
    <row r="203" spans="1:14" ht="19.5" customHeight="1">
      <c r="A203" s="20"/>
      <c r="B203" s="21"/>
      <c r="C203" s="22"/>
      <c r="D203" s="189"/>
      <c r="E203" s="190"/>
      <c r="F203" s="81"/>
      <c r="G203" s="22"/>
      <c r="H203" s="22"/>
      <c r="I203" s="22"/>
      <c r="N203" s="124"/>
    </row>
    <row r="204" spans="1:14" ht="19.5" customHeight="1">
      <c r="A204" s="20"/>
      <c r="B204" s="21"/>
      <c r="C204" s="22"/>
      <c r="D204" s="189"/>
      <c r="E204" s="190"/>
      <c r="F204" s="81"/>
      <c r="G204" s="22"/>
      <c r="H204" s="22"/>
      <c r="I204" s="22"/>
      <c r="N204" s="124"/>
    </row>
    <row r="205" spans="1:14" ht="19.5" customHeight="1">
      <c r="A205" s="20"/>
      <c r="B205" s="21"/>
      <c r="C205" s="22"/>
      <c r="D205" s="189"/>
      <c r="E205" s="190"/>
      <c r="F205" s="81"/>
      <c r="G205" s="22"/>
      <c r="H205" s="22"/>
      <c r="I205" s="22"/>
      <c r="N205" s="124"/>
    </row>
    <row r="206" spans="1:14" ht="19.5" customHeight="1">
      <c r="A206" s="20"/>
      <c r="B206" s="21"/>
      <c r="C206" s="22"/>
      <c r="D206" s="189"/>
      <c r="E206" s="190"/>
      <c r="F206" s="81"/>
      <c r="G206" s="22"/>
      <c r="H206" s="22"/>
      <c r="I206" s="22"/>
      <c r="N206" s="124"/>
    </row>
    <row r="207" spans="1:14" ht="19.5" customHeight="1">
      <c r="A207" s="20"/>
      <c r="B207" s="21"/>
      <c r="C207" s="22"/>
      <c r="D207" s="189"/>
      <c r="E207" s="190"/>
      <c r="F207" s="81"/>
      <c r="G207" s="22"/>
      <c r="H207" s="22"/>
      <c r="I207" s="22"/>
      <c r="N207" s="124"/>
    </row>
    <row r="208" spans="1:14" ht="19.5" customHeight="1">
      <c r="A208" s="20"/>
      <c r="B208" s="21"/>
      <c r="C208" s="22"/>
      <c r="D208" s="189"/>
      <c r="E208" s="190"/>
      <c r="F208" s="81"/>
      <c r="G208" s="22"/>
      <c r="H208" s="22"/>
      <c r="I208" s="22"/>
      <c r="N208" s="124"/>
    </row>
    <row r="209" spans="1:14" ht="19.5" customHeight="1">
      <c r="A209" s="20"/>
      <c r="B209" s="21"/>
      <c r="C209" s="22"/>
      <c r="D209" s="189"/>
      <c r="E209" s="190"/>
      <c r="F209" s="81"/>
      <c r="G209" s="22"/>
      <c r="H209" s="22"/>
      <c r="I209" s="22"/>
      <c r="N209" s="124"/>
    </row>
    <row r="210" spans="1:14" ht="19.5" customHeight="1">
      <c r="A210" s="20"/>
      <c r="B210" s="21"/>
      <c r="C210" s="22"/>
      <c r="D210" s="189"/>
      <c r="E210" s="190"/>
      <c r="F210" s="81"/>
      <c r="G210" s="22"/>
      <c r="H210" s="22"/>
      <c r="I210" s="22"/>
      <c r="N210" s="124"/>
    </row>
    <row r="211" spans="1:14" ht="19.5" customHeight="1">
      <c r="A211" s="20"/>
      <c r="B211" s="21"/>
      <c r="C211" s="22"/>
      <c r="D211" s="189"/>
      <c r="E211" s="190"/>
      <c r="F211" s="81"/>
      <c r="G211" s="22"/>
      <c r="H211" s="22"/>
      <c r="I211" s="22"/>
      <c r="N211" s="124"/>
    </row>
    <row r="212" spans="1:14" ht="19.5" customHeight="1">
      <c r="A212" s="20"/>
      <c r="B212" s="21"/>
      <c r="C212" s="22"/>
      <c r="D212" s="189"/>
      <c r="E212" s="190"/>
      <c r="F212" s="81"/>
      <c r="G212" s="22"/>
      <c r="H212" s="22"/>
      <c r="I212" s="22"/>
      <c r="N212" s="124"/>
    </row>
    <row r="213" spans="1:14" ht="19.5" customHeight="1">
      <c r="A213" s="20"/>
      <c r="B213" s="21"/>
      <c r="C213" s="22"/>
      <c r="D213" s="189"/>
      <c r="E213" s="190"/>
      <c r="F213" s="81"/>
      <c r="G213" s="22"/>
      <c r="H213" s="22"/>
      <c r="I213" s="22"/>
      <c r="N213" s="124"/>
    </row>
    <row r="214" spans="1:14" ht="19.5" customHeight="1">
      <c r="A214" s="20"/>
      <c r="B214" s="21"/>
      <c r="C214" s="22"/>
      <c r="D214" s="189"/>
      <c r="E214" s="190"/>
      <c r="F214" s="81"/>
      <c r="G214" s="22"/>
      <c r="H214" s="22"/>
      <c r="I214" s="22"/>
      <c r="N214" s="124"/>
    </row>
    <row r="215" spans="1:14" ht="19.5" customHeight="1">
      <c r="A215" s="20"/>
      <c r="B215" s="21"/>
      <c r="C215" s="22"/>
      <c r="D215" s="189"/>
      <c r="E215" s="190"/>
      <c r="F215" s="81"/>
      <c r="G215" s="22"/>
      <c r="H215" s="22"/>
      <c r="I215" s="22"/>
      <c r="N215" s="124"/>
    </row>
    <row r="216" spans="1:14" ht="19.5" customHeight="1">
      <c r="A216" s="20"/>
      <c r="B216" s="21"/>
      <c r="C216" s="22"/>
      <c r="D216" s="189"/>
      <c r="E216" s="190"/>
      <c r="F216" s="81"/>
      <c r="G216" s="22"/>
      <c r="H216" s="22"/>
      <c r="I216" s="22"/>
      <c r="N216" s="124"/>
    </row>
    <row r="217" spans="1:14" ht="19.5" customHeight="1">
      <c r="A217" s="20"/>
      <c r="B217" s="21"/>
      <c r="C217" s="22"/>
      <c r="D217" s="189"/>
      <c r="E217" s="190"/>
      <c r="F217" s="81"/>
      <c r="G217" s="22"/>
      <c r="H217" s="22"/>
      <c r="I217" s="22"/>
      <c r="N217" s="124"/>
    </row>
    <row r="218" spans="1:14" ht="19.5" customHeight="1">
      <c r="A218" s="20"/>
      <c r="B218" s="21"/>
      <c r="C218" s="22"/>
      <c r="D218" s="189"/>
      <c r="E218" s="190"/>
      <c r="F218" s="81"/>
      <c r="G218" s="22"/>
      <c r="H218" s="22"/>
      <c r="I218" s="22"/>
      <c r="N218" s="124"/>
    </row>
    <row r="219" spans="1:14" ht="19.5" customHeight="1">
      <c r="A219" s="20"/>
      <c r="B219" s="21"/>
      <c r="C219" s="22"/>
      <c r="D219" s="189"/>
      <c r="E219" s="190"/>
      <c r="F219" s="81"/>
      <c r="G219" s="22"/>
      <c r="H219" s="22"/>
      <c r="I219" s="22"/>
      <c r="N219" s="124"/>
    </row>
    <row r="220" spans="1:14" ht="19.5" customHeight="1">
      <c r="A220" s="20"/>
      <c r="B220" s="21"/>
      <c r="C220" s="22"/>
      <c r="D220" s="189"/>
      <c r="E220" s="190"/>
      <c r="F220" s="81"/>
      <c r="G220" s="22"/>
      <c r="H220" s="22"/>
      <c r="I220" s="22"/>
      <c r="N220" s="124"/>
    </row>
    <row r="221" spans="1:14" ht="19.5" customHeight="1">
      <c r="A221" s="20"/>
      <c r="B221" s="21"/>
      <c r="C221" s="22"/>
      <c r="D221" s="189"/>
      <c r="E221" s="190"/>
      <c r="F221" s="81"/>
      <c r="G221" s="22"/>
      <c r="H221" s="22"/>
      <c r="I221" s="22"/>
      <c r="N221" s="124"/>
    </row>
    <row r="222" spans="1:14" ht="19.5" customHeight="1">
      <c r="A222" s="20"/>
      <c r="B222" s="21"/>
      <c r="C222" s="22"/>
      <c r="D222" s="189"/>
      <c r="E222" s="190"/>
      <c r="F222" s="81"/>
      <c r="G222" s="22"/>
      <c r="H222" s="22"/>
      <c r="I222" s="22"/>
      <c r="N222" s="124"/>
    </row>
    <row r="223" spans="1:14" ht="19.5" customHeight="1">
      <c r="A223" s="20"/>
      <c r="B223" s="21"/>
      <c r="C223" s="22"/>
      <c r="D223" s="189"/>
      <c r="E223" s="190"/>
      <c r="F223" s="81"/>
      <c r="G223" s="22"/>
      <c r="H223" s="22"/>
      <c r="I223" s="22"/>
      <c r="N223" s="124"/>
    </row>
    <row r="224" spans="1:14" ht="19.5" customHeight="1">
      <c r="A224" s="20"/>
      <c r="B224" s="21"/>
      <c r="C224" s="22"/>
      <c r="D224" s="189"/>
      <c r="E224" s="190"/>
      <c r="F224" s="81"/>
      <c r="G224" s="22"/>
      <c r="H224" s="22"/>
      <c r="I224" s="22"/>
      <c r="N224" s="124"/>
    </row>
    <row r="225" spans="1:14" ht="19.5" customHeight="1">
      <c r="A225" s="20"/>
      <c r="B225" s="21"/>
      <c r="C225" s="22"/>
      <c r="D225" s="189"/>
      <c r="E225" s="190"/>
      <c r="F225" s="81"/>
      <c r="G225" s="22"/>
      <c r="H225" s="22"/>
      <c r="I225" s="22"/>
      <c r="N225" s="124"/>
    </row>
    <row r="226" spans="1:14" ht="19.5" customHeight="1">
      <c r="A226" s="20"/>
      <c r="B226" s="21"/>
      <c r="C226" s="22"/>
      <c r="D226" s="189"/>
      <c r="E226" s="190"/>
      <c r="F226" s="81"/>
      <c r="G226" s="22"/>
      <c r="H226" s="22"/>
      <c r="I226" s="22"/>
      <c r="N226" s="124"/>
    </row>
    <row r="227" spans="1:14" ht="19.5" customHeight="1">
      <c r="A227" s="20"/>
      <c r="B227" s="21"/>
      <c r="C227" s="22"/>
      <c r="D227" s="189"/>
      <c r="E227" s="190"/>
      <c r="F227" s="81"/>
      <c r="G227" s="22"/>
      <c r="H227" s="22"/>
      <c r="I227" s="22"/>
      <c r="N227" s="124"/>
    </row>
    <row r="228" spans="1:14" ht="19.5" customHeight="1">
      <c r="A228" s="20"/>
      <c r="B228" s="21"/>
      <c r="C228" s="22"/>
      <c r="D228" s="189"/>
      <c r="E228" s="190"/>
      <c r="F228" s="81"/>
      <c r="G228" s="22"/>
      <c r="H228" s="22"/>
      <c r="I228" s="22"/>
      <c r="N228" s="124"/>
    </row>
    <row r="229" spans="1:14" ht="19.5" customHeight="1">
      <c r="A229" s="20"/>
      <c r="B229" s="21"/>
      <c r="C229" s="22"/>
      <c r="D229" s="189"/>
      <c r="E229" s="190"/>
      <c r="F229" s="81"/>
      <c r="G229" s="22"/>
      <c r="H229" s="22"/>
      <c r="I229" s="22"/>
      <c r="N229" s="124"/>
    </row>
    <row r="230" spans="1:14" ht="19.5" customHeight="1">
      <c r="A230" s="20"/>
      <c r="B230" s="21"/>
      <c r="C230" s="22"/>
      <c r="D230" s="189"/>
      <c r="E230" s="190"/>
      <c r="F230" s="81"/>
      <c r="G230" s="22"/>
      <c r="H230" s="22"/>
      <c r="I230" s="22"/>
      <c r="N230" s="124"/>
    </row>
    <row r="231" spans="1:14" ht="19.5" customHeight="1">
      <c r="A231" s="20"/>
      <c r="B231" s="21"/>
      <c r="C231" s="22"/>
      <c r="D231" s="189"/>
      <c r="E231" s="190"/>
      <c r="F231" s="81"/>
      <c r="G231" s="22"/>
      <c r="H231" s="22"/>
      <c r="I231" s="22"/>
      <c r="N231" s="124"/>
    </row>
    <row r="232" spans="1:14" ht="19.5" customHeight="1">
      <c r="A232" s="20"/>
      <c r="B232" s="21"/>
      <c r="C232" s="22"/>
      <c r="D232" s="189"/>
      <c r="E232" s="190"/>
      <c r="F232" s="81"/>
      <c r="G232" s="22"/>
      <c r="H232" s="22"/>
      <c r="I232" s="22"/>
      <c r="N232" s="124"/>
    </row>
    <row r="233" spans="1:14" ht="19.5" customHeight="1">
      <c r="A233" s="20"/>
      <c r="B233" s="21"/>
      <c r="C233" s="22"/>
      <c r="D233" s="189"/>
      <c r="E233" s="190"/>
      <c r="F233" s="81"/>
      <c r="G233" s="22"/>
      <c r="H233" s="22"/>
      <c r="I233" s="22"/>
      <c r="N233" s="124"/>
    </row>
    <row r="234" spans="1:14" ht="19.5" customHeight="1">
      <c r="A234" s="20"/>
      <c r="B234" s="21"/>
      <c r="C234" s="22"/>
      <c r="D234" s="189"/>
      <c r="E234" s="190"/>
      <c r="F234" s="81"/>
      <c r="G234" s="22"/>
      <c r="H234" s="22"/>
      <c r="I234" s="22"/>
      <c r="N234" s="124"/>
    </row>
    <row r="235" spans="1:14" ht="19.5" customHeight="1">
      <c r="A235" s="20"/>
      <c r="B235" s="21"/>
      <c r="C235" s="22"/>
      <c r="D235" s="189"/>
      <c r="E235" s="190"/>
      <c r="F235" s="81"/>
      <c r="G235" s="22"/>
      <c r="H235" s="22"/>
      <c r="I235" s="22"/>
      <c r="N235" s="124"/>
    </row>
    <row r="236" spans="1:14" ht="19.5" customHeight="1">
      <c r="A236" s="20"/>
      <c r="B236" s="21"/>
      <c r="C236" s="22"/>
      <c r="D236" s="189"/>
      <c r="E236" s="190"/>
      <c r="F236" s="81"/>
      <c r="G236" s="22"/>
      <c r="H236" s="22"/>
      <c r="I236" s="22"/>
      <c r="N236" s="124"/>
    </row>
    <row r="237" spans="1:14" ht="19.5" customHeight="1">
      <c r="A237" s="20"/>
      <c r="B237" s="21"/>
      <c r="C237" s="22"/>
      <c r="D237" s="189"/>
      <c r="E237" s="190"/>
      <c r="F237" s="81"/>
      <c r="G237" s="22"/>
      <c r="H237" s="22"/>
      <c r="I237" s="22"/>
      <c r="N237" s="124"/>
    </row>
    <row r="238" spans="1:14" ht="19.5" customHeight="1">
      <c r="A238" s="20"/>
      <c r="B238" s="21"/>
      <c r="C238" s="22"/>
      <c r="D238" s="189"/>
      <c r="E238" s="190"/>
      <c r="F238" s="81"/>
      <c r="G238" s="22"/>
      <c r="H238" s="22"/>
      <c r="I238" s="22"/>
      <c r="N238" s="124"/>
    </row>
    <row r="239" spans="1:14" ht="19.5" customHeight="1">
      <c r="A239" s="20"/>
      <c r="B239" s="21"/>
      <c r="C239" s="22"/>
      <c r="D239" s="189"/>
      <c r="E239" s="190"/>
      <c r="F239" s="81"/>
      <c r="G239" s="22"/>
      <c r="H239" s="22"/>
      <c r="I239" s="22"/>
      <c r="N239" s="124"/>
    </row>
    <row r="240" spans="1:14" ht="19.5" customHeight="1">
      <c r="A240" s="20"/>
      <c r="B240" s="21"/>
      <c r="C240" s="22"/>
      <c r="D240" s="189"/>
      <c r="E240" s="190"/>
      <c r="F240" s="81"/>
      <c r="G240" s="22"/>
      <c r="H240" s="22"/>
      <c r="I240" s="22"/>
      <c r="N240" s="124"/>
    </row>
    <row r="241" spans="1:14" ht="19.5" customHeight="1">
      <c r="A241" s="20"/>
      <c r="B241" s="21"/>
      <c r="C241" s="22"/>
      <c r="D241" s="189"/>
      <c r="E241" s="190"/>
      <c r="F241" s="81"/>
      <c r="G241" s="22"/>
      <c r="H241" s="22"/>
      <c r="I241" s="22"/>
      <c r="N241" s="124"/>
    </row>
    <row r="242" spans="1:14" ht="19.5" customHeight="1">
      <c r="A242" s="20"/>
      <c r="B242" s="21"/>
      <c r="C242" s="22"/>
      <c r="D242" s="189"/>
      <c r="E242" s="190"/>
      <c r="F242" s="81"/>
      <c r="G242" s="22"/>
      <c r="H242" s="22"/>
      <c r="I242" s="22"/>
      <c r="N242" s="124"/>
    </row>
    <row r="243" spans="1:14" ht="19.5" customHeight="1">
      <c r="A243" s="20"/>
      <c r="B243" s="21"/>
      <c r="C243" s="22"/>
      <c r="D243" s="189"/>
      <c r="E243" s="190"/>
      <c r="F243" s="81"/>
      <c r="G243" s="22"/>
      <c r="H243" s="22"/>
      <c r="I243" s="22"/>
      <c r="N243" s="124"/>
    </row>
    <row r="244" spans="1:14" ht="19.5" customHeight="1">
      <c r="A244" s="20"/>
      <c r="B244" s="21"/>
      <c r="C244" s="22"/>
      <c r="D244" s="189"/>
      <c r="E244" s="190"/>
      <c r="F244" s="81"/>
      <c r="G244" s="22"/>
      <c r="H244" s="22"/>
      <c r="I244" s="22"/>
      <c r="N244" s="124"/>
    </row>
    <row r="245" spans="1:14" ht="19.5" customHeight="1">
      <c r="A245" s="20"/>
      <c r="B245" s="21"/>
      <c r="C245" s="22"/>
      <c r="D245" s="189"/>
      <c r="E245" s="190"/>
      <c r="F245" s="81"/>
      <c r="G245" s="22"/>
      <c r="H245" s="22"/>
      <c r="I245" s="22"/>
      <c r="N245" s="124"/>
    </row>
    <row r="246" spans="1:14" ht="19.5" customHeight="1">
      <c r="A246" s="20"/>
      <c r="B246" s="21"/>
      <c r="C246" s="22"/>
      <c r="D246" s="189"/>
      <c r="E246" s="190"/>
      <c r="F246" s="81"/>
      <c r="G246" s="22"/>
      <c r="H246" s="22"/>
      <c r="I246" s="22"/>
      <c r="N246" s="124"/>
    </row>
    <row r="247" spans="1:14" ht="19.5" customHeight="1">
      <c r="A247" s="20"/>
      <c r="B247" s="21"/>
      <c r="C247" s="22"/>
      <c r="D247" s="189"/>
      <c r="E247" s="190"/>
      <c r="F247" s="81"/>
      <c r="G247" s="22"/>
      <c r="H247" s="22"/>
      <c r="I247" s="22"/>
      <c r="N247" s="124"/>
    </row>
    <row r="248" spans="1:14" ht="19.5" customHeight="1">
      <c r="A248" s="20"/>
      <c r="B248" s="21"/>
      <c r="C248" s="22"/>
      <c r="D248" s="189"/>
      <c r="E248" s="190"/>
      <c r="F248" s="81"/>
      <c r="G248" s="22"/>
      <c r="H248" s="22"/>
      <c r="I248" s="22"/>
      <c r="N248" s="124"/>
    </row>
    <row r="249" spans="1:14" ht="19.5" customHeight="1">
      <c r="A249" s="20"/>
      <c r="B249" s="21"/>
      <c r="C249" s="22"/>
      <c r="D249" s="189"/>
      <c r="E249" s="190"/>
      <c r="F249" s="81"/>
      <c r="G249" s="22"/>
      <c r="H249" s="22"/>
      <c r="I249" s="22"/>
      <c r="N249" s="124"/>
    </row>
    <row r="250" spans="1:14" ht="19.5" customHeight="1">
      <c r="A250" s="20"/>
      <c r="B250" s="21"/>
      <c r="C250" s="22"/>
      <c r="D250" s="189"/>
      <c r="E250" s="190"/>
      <c r="F250" s="81"/>
      <c r="G250" s="22"/>
      <c r="H250" s="22"/>
      <c r="I250" s="22"/>
      <c r="N250" s="124"/>
    </row>
    <row r="251" spans="1:14" ht="19.5" customHeight="1">
      <c r="A251" s="20"/>
      <c r="B251" s="21"/>
      <c r="C251" s="22"/>
      <c r="D251" s="189"/>
      <c r="E251" s="190"/>
      <c r="F251" s="81"/>
      <c r="G251" s="22"/>
      <c r="H251" s="22"/>
      <c r="I251" s="22"/>
      <c r="N251" s="124"/>
    </row>
    <row r="252" spans="1:14" ht="19.5" customHeight="1">
      <c r="A252" s="20"/>
      <c r="B252" s="21"/>
      <c r="C252" s="22"/>
      <c r="D252" s="189"/>
      <c r="E252" s="190"/>
      <c r="F252" s="81"/>
      <c r="G252" s="22"/>
      <c r="H252" s="22"/>
      <c r="I252" s="22"/>
      <c r="N252" s="124"/>
    </row>
    <row r="253" spans="1:14" ht="19.5" customHeight="1">
      <c r="A253" s="20"/>
      <c r="B253" s="21"/>
      <c r="C253" s="22"/>
      <c r="D253" s="189"/>
      <c r="E253" s="190"/>
      <c r="F253" s="81"/>
      <c r="G253" s="22"/>
      <c r="H253" s="22"/>
      <c r="I253" s="22"/>
      <c r="N253" s="124"/>
    </row>
    <row r="254" spans="1:14" ht="19.5" customHeight="1">
      <c r="A254" s="20"/>
      <c r="B254" s="21"/>
      <c r="C254" s="22"/>
      <c r="D254" s="189"/>
      <c r="E254" s="190"/>
      <c r="F254" s="81"/>
      <c r="G254" s="22"/>
      <c r="H254" s="22"/>
      <c r="I254" s="22"/>
      <c r="N254" s="124"/>
    </row>
    <row r="255" spans="1:14" ht="19.5" customHeight="1">
      <c r="A255" s="20"/>
      <c r="B255" s="21"/>
      <c r="C255" s="22"/>
      <c r="D255" s="189"/>
      <c r="E255" s="190"/>
      <c r="F255" s="81"/>
      <c r="G255" s="22"/>
      <c r="H255" s="22"/>
      <c r="I255" s="22"/>
      <c r="N255" s="124"/>
    </row>
    <row r="256" spans="1:14" ht="19.5" customHeight="1">
      <c r="A256" s="20"/>
      <c r="B256" s="21"/>
      <c r="C256" s="22"/>
      <c r="D256" s="189"/>
      <c r="E256" s="190"/>
      <c r="F256" s="81"/>
      <c r="G256" s="22"/>
      <c r="H256" s="22"/>
      <c r="I256" s="22"/>
      <c r="N256" s="124"/>
    </row>
    <row r="257" spans="1:14" ht="19.5" customHeight="1">
      <c r="A257" s="20"/>
      <c r="B257" s="21"/>
      <c r="C257" s="22"/>
      <c r="D257" s="189"/>
      <c r="E257" s="190"/>
      <c r="F257" s="81"/>
      <c r="G257" s="22"/>
      <c r="H257" s="22"/>
      <c r="I257" s="22"/>
      <c r="N257" s="124"/>
    </row>
    <row r="258" spans="1:14" ht="19.5" customHeight="1">
      <c r="A258" s="20"/>
      <c r="B258" s="21"/>
      <c r="C258" s="22"/>
      <c r="D258" s="189"/>
      <c r="E258" s="190"/>
      <c r="F258" s="81"/>
      <c r="G258" s="22"/>
      <c r="H258" s="22"/>
      <c r="I258" s="22"/>
      <c r="N258" s="124"/>
    </row>
    <row r="259" spans="1:14" ht="19.5" customHeight="1">
      <c r="A259" s="20"/>
      <c r="B259" s="21"/>
      <c r="C259" s="22"/>
      <c r="D259" s="189"/>
      <c r="E259" s="190"/>
      <c r="F259" s="81"/>
      <c r="G259" s="22"/>
      <c r="H259" s="22"/>
      <c r="I259" s="22"/>
      <c r="N259" s="124"/>
    </row>
    <row r="260" spans="1:14" ht="19.5" customHeight="1">
      <c r="A260" s="20"/>
      <c r="B260" s="21"/>
      <c r="C260" s="22"/>
      <c r="D260" s="189"/>
      <c r="E260" s="190"/>
      <c r="F260" s="81"/>
      <c r="G260" s="22"/>
      <c r="H260" s="22"/>
      <c r="I260" s="22"/>
      <c r="N260" s="124"/>
    </row>
    <row r="261" spans="1:14" ht="19.5" customHeight="1">
      <c r="A261" s="20"/>
      <c r="B261" s="21"/>
      <c r="C261" s="22"/>
      <c r="D261" s="189"/>
      <c r="E261" s="190"/>
      <c r="F261" s="81"/>
      <c r="G261" s="22"/>
      <c r="H261" s="22"/>
      <c r="I261" s="22"/>
      <c r="N261" s="124"/>
    </row>
    <row r="262" spans="1:14" ht="19.5" customHeight="1">
      <c r="A262" s="20"/>
      <c r="B262" s="21"/>
      <c r="C262" s="22"/>
      <c r="D262" s="189"/>
      <c r="E262" s="190"/>
      <c r="F262" s="81"/>
      <c r="G262" s="22"/>
      <c r="H262" s="22"/>
      <c r="I262" s="22"/>
      <c r="N262" s="124"/>
    </row>
    <row r="263" spans="1:14" ht="19.5" customHeight="1">
      <c r="A263" s="20"/>
      <c r="B263" s="21"/>
      <c r="C263" s="22"/>
      <c r="D263" s="189"/>
      <c r="E263" s="190"/>
      <c r="F263" s="81"/>
      <c r="G263" s="22"/>
      <c r="H263" s="22"/>
      <c r="I263" s="22"/>
      <c r="N263" s="124"/>
    </row>
    <row r="264" spans="1:14" ht="19.5" customHeight="1">
      <c r="A264" s="20"/>
      <c r="B264" s="21"/>
      <c r="C264" s="22"/>
      <c r="D264" s="189"/>
      <c r="E264" s="190"/>
      <c r="F264" s="81"/>
      <c r="G264" s="22"/>
      <c r="H264" s="22"/>
      <c r="I264" s="22"/>
      <c r="N264" s="124"/>
    </row>
    <row r="265" spans="1:14" ht="19.5" customHeight="1">
      <c r="A265" s="20"/>
      <c r="B265" s="21"/>
      <c r="C265" s="22"/>
      <c r="D265" s="189"/>
      <c r="E265" s="190"/>
      <c r="F265" s="81"/>
      <c r="G265" s="22"/>
      <c r="H265" s="22"/>
      <c r="I265" s="22"/>
      <c r="N265" s="124"/>
    </row>
    <row r="266" spans="1:14" ht="19.5" customHeight="1">
      <c r="A266" s="20"/>
      <c r="B266" s="21"/>
      <c r="C266" s="22"/>
      <c r="D266" s="189"/>
      <c r="E266" s="190"/>
      <c r="F266" s="81"/>
      <c r="G266" s="22"/>
      <c r="H266" s="22"/>
      <c r="I266" s="22"/>
      <c r="N266" s="124"/>
    </row>
    <row r="267" spans="1:14" ht="19.5" customHeight="1">
      <c r="A267" s="20"/>
      <c r="B267" s="21"/>
      <c r="C267" s="22"/>
      <c r="D267" s="189"/>
      <c r="E267" s="190"/>
      <c r="F267" s="81"/>
      <c r="G267" s="22"/>
      <c r="H267" s="22"/>
      <c r="I267" s="22"/>
      <c r="N267" s="124"/>
    </row>
    <row r="268" spans="1:14" ht="19.5" customHeight="1">
      <c r="A268" s="20"/>
      <c r="B268" s="21"/>
      <c r="C268" s="22"/>
      <c r="D268" s="189"/>
      <c r="E268" s="190"/>
      <c r="F268" s="81"/>
      <c r="G268" s="22"/>
      <c r="H268" s="22"/>
      <c r="I268" s="22"/>
      <c r="N268" s="124"/>
    </row>
    <row r="269" spans="1:14" ht="19.5" customHeight="1">
      <c r="A269" s="20"/>
      <c r="B269" s="21"/>
      <c r="C269" s="22"/>
      <c r="D269" s="189"/>
      <c r="E269" s="190"/>
      <c r="F269" s="81"/>
      <c r="G269" s="22"/>
      <c r="H269" s="22"/>
      <c r="I269" s="22"/>
      <c r="N269" s="124"/>
    </row>
    <row r="270" spans="1:14" ht="19.5" customHeight="1">
      <c r="A270" s="20"/>
      <c r="B270" s="21"/>
      <c r="C270" s="22"/>
      <c r="D270" s="189"/>
      <c r="E270" s="190"/>
      <c r="F270" s="81"/>
      <c r="G270" s="22"/>
      <c r="H270" s="22"/>
      <c r="I270" s="22"/>
      <c r="N270" s="124"/>
    </row>
    <row r="271" spans="1:14" ht="19.5" customHeight="1">
      <c r="A271" s="20"/>
      <c r="B271" s="21"/>
      <c r="C271" s="22"/>
      <c r="D271" s="189"/>
      <c r="E271" s="190"/>
      <c r="F271" s="81"/>
      <c r="G271" s="22"/>
      <c r="H271" s="22"/>
      <c r="I271" s="22"/>
      <c r="N271" s="124"/>
    </row>
    <row r="272" spans="1:14" ht="19.5" customHeight="1">
      <c r="A272" s="20"/>
      <c r="B272" s="21"/>
      <c r="C272" s="22"/>
      <c r="D272" s="189"/>
      <c r="E272" s="190"/>
      <c r="F272" s="81"/>
      <c r="G272" s="22"/>
      <c r="H272" s="22"/>
      <c r="I272" s="22"/>
      <c r="N272" s="124"/>
    </row>
    <row r="273" spans="1:14" ht="19.5" customHeight="1">
      <c r="A273" s="20"/>
      <c r="B273" s="21"/>
      <c r="C273" s="22"/>
      <c r="D273" s="189"/>
      <c r="E273" s="190"/>
      <c r="F273" s="81"/>
      <c r="G273" s="22"/>
      <c r="H273" s="22"/>
      <c r="I273" s="22"/>
      <c r="N273" s="124"/>
    </row>
    <row r="274" spans="1:14" ht="19.5" customHeight="1">
      <c r="A274" s="20"/>
      <c r="B274" s="21"/>
      <c r="C274" s="22"/>
      <c r="D274" s="189"/>
      <c r="E274" s="190"/>
      <c r="F274" s="81"/>
      <c r="G274" s="22"/>
      <c r="H274" s="22"/>
      <c r="I274" s="22"/>
      <c r="N274" s="124"/>
    </row>
    <row r="275" spans="1:14" ht="19.5" customHeight="1">
      <c r="A275" s="20"/>
      <c r="B275" s="21"/>
      <c r="C275" s="22"/>
      <c r="D275" s="189"/>
      <c r="E275" s="190"/>
      <c r="F275" s="81"/>
      <c r="G275" s="22"/>
      <c r="H275" s="22"/>
      <c r="I275" s="22"/>
      <c r="N275" s="124"/>
    </row>
    <row r="276" spans="1:14" ht="19.5" customHeight="1">
      <c r="A276" s="20"/>
      <c r="B276" s="21"/>
      <c r="C276" s="22"/>
      <c r="D276" s="189"/>
      <c r="E276" s="190"/>
      <c r="F276" s="81"/>
      <c r="G276" s="22"/>
      <c r="H276" s="22"/>
      <c r="I276" s="22"/>
      <c r="N276" s="124"/>
    </row>
    <row r="277" spans="1:14" ht="19.5" customHeight="1">
      <c r="A277" s="20"/>
      <c r="B277" s="21"/>
      <c r="C277" s="22"/>
      <c r="D277" s="189"/>
      <c r="E277" s="190"/>
      <c r="F277" s="81"/>
      <c r="G277" s="22"/>
      <c r="H277" s="22"/>
      <c r="I277" s="22"/>
      <c r="N277" s="124"/>
    </row>
    <row r="278" spans="1:14" ht="19.5" customHeight="1">
      <c r="A278" s="20"/>
      <c r="B278" s="21"/>
      <c r="C278" s="22"/>
      <c r="D278" s="189"/>
      <c r="E278" s="190"/>
      <c r="F278" s="81"/>
      <c r="G278" s="22"/>
      <c r="H278" s="22"/>
      <c r="I278" s="22"/>
      <c r="N278" s="124"/>
    </row>
    <row r="279" spans="1:14" ht="19.5" customHeight="1">
      <c r="A279" s="20"/>
      <c r="B279" s="21"/>
      <c r="C279" s="22"/>
      <c r="D279" s="189"/>
      <c r="E279" s="190"/>
      <c r="F279" s="81"/>
      <c r="G279" s="22"/>
      <c r="H279" s="22"/>
      <c r="I279" s="22"/>
      <c r="N279" s="124"/>
    </row>
    <row r="280" spans="1:14" ht="19.5" customHeight="1">
      <c r="A280" s="20"/>
      <c r="B280" s="21"/>
      <c r="C280" s="22"/>
      <c r="D280" s="189"/>
      <c r="E280" s="190"/>
      <c r="F280" s="81"/>
      <c r="G280" s="22"/>
      <c r="H280" s="22"/>
      <c r="I280" s="22"/>
      <c r="N280" s="124"/>
    </row>
    <row r="281" spans="1:14" ht="19.5" customHeight="1">
      <c r="A281" s="20"/>
      <c r="B281" s="21"/>
      <c r="C281" s="22"/>
      <c r="D281" s="189"/>
      <c r="E281" s="190"/>
      <c r="F281" s="81"/>
      <c r="G281" s="22"/>
      <c r="H281" s="22"/>
      <c r="I281" s="22"/>
      <c r="N281" s="124"/>
    </row>
    <row r="282" spans="1:14" ht="19.5" customHeight="1">
      <c r="A282" s="20"/>
      <c r="B282" s="21"/>
      <c r="C282" s="22"/>
      <c r="D282" s="189"/>
      <c r="E282" s="190"/>
      <c r="F282" s="81"/>
      <c r="G282" s="22"/>
      <c r="H282" s="22"/>
      <c r="I282" s="22"/>
      <c r="N282" s="124"/>
    </row>
    <row r="283" spans="1:14" ht="19.5" customHeight="1">
      <c r="A283" s="20"/>
      <c r="B283" s="21"/>
      <c r="C283" s="22"/>
      <c r="D283" s="189"/>
      <c r="E283" s="190"/>
      <c r="F283" s="81"/>
      <c r="G283" s="22"/>
      <c r="H283" s="22"/>
      <c r="I283" s="22"/>
      <c r="N283" s="124"/>
    </row>
    <row r="284" spans="1:14" ht="19.5" customHeight="1">
      <c r="A284" s="20"/>
      <c r="B284" s="21"/>
      <c r="C284" s="22"/>
      <c r="D284" s="189"/>
      <c r="E284" s="190"/>
      <c r="F284" s="81"/>
      <c r="G284" s="22"/>
      <c r="H284" s="22"/>
      <c r="I284" s="22"/>
      <c r="N284" s="124"/>
    </row>
    <row r="285" spans="1:14" ht="19.5" customHeight="1">
      <c r="A285" s="20"/>
      <c r="B285" s="21"/>
      <c r="C285" s="22"/>
      <c r="D285" s="189"/>
      <c r="E285" s="190"/>
      <c r="F285" s="81"/>
      <c r="G285" s="22"/>
      <c r="H285" s="22"/>
      <c r="I285" s="22"/>
      <c r="N285" s="124"/>
    </row>
    <row r="286" spans="1:14" ht="19.5" customHeight="1">
      <c r="A286" s="20"/>
      <c r="B286" s="21"/>
      <c r="C286" s="22"/>
      <c r="D286" s="189"/>
      <c r="E286" s="190"/>
      <c r="F286" s="81"/>
      <c r="G286" s="22"/>
      <c r="H286" s="22"/>
      <c r="I286" s="22"/>
      <c r="N286" s="124"/>
    </row>
    <row r="287" spans="1:14" ht="19.5" customHeight="1">
      <c r="A287" s="20"/>
      <c r="B287" s="21"/>
      <c r="C287" s="22"/>
      <c r="D287" s="189"/>
      <c r="E287" s="190"/>
      <c r="F287" s="81"/>
      <c r="G287" s="22"/>
      <c r="H287" s="22"/>
      <c r="I287" s="22"/>
      <c r="N287" s="124"/>
    </row>
    <row r="288" spans="1:14" ht="19.5" customHeight="1">
      <c r="A288" s="20"/>
      <c r="B288" s="21"/>
      <c r="C288" s="22"/>
      <c r="D288" s="189"/>
      <c r="E288" s="190"/>
      <c r="F288" s="81"/>
      <c r="G288" s="22"/>
      <c r="H288" s="22"/>
      <c r="I288" s="22"/>
      <c r="N288" s="124"/>
    </row>
    <row r="289" spans="1:14" ht="19.5" customHeight="1">
      <c r="A289" s="20"/>
      <c r="B289" s="21"/>
      <c r="C289" s="22"/>
      <c r="D289" s="189"/>
      <c r="E289" s="190"/>
      <c r="F289" s="81"/>
      <c r="G289" s="22"/>
      <c r="H289" s="22"/>
      <c r="I289" s="22"/>
      <c r="N289" s="124"/>
    </row>
    <row r="290" spans="1:14" ht="19.5" customHeight="1">
      <c r="A290" s="20"/>
      <c r="B290" s="21"/>
      <c r="C290" s="22"/>
      <c r="D290" s="189"/>
      <c r="E290" s="190"/>
      <c r="F290" s="81"/>
      <c r="G290" s="22"/>
      <c r="H290" s="22"/>
      <c r="I290" s="22"/>
      <c r="N290" s="124"/>
    </row>
    <row r="291" spans="1:14" ht="19.5" customHeight="1">
      <c r="A291" s="20"/>
      <c r="B291" s="21"/>
      <c r="C291" s="22"/>
      <c r="D291" s="189"/>
      <c r="E291" s="190"/>
      <c r="F291" s="81"/>
      <c r="G291" s="22"/>
      <c r="H291" s="22"/>
      <c r="I291" s="22"/>
      <c r="N291" s="124"/>
    </row>
    <row r="292" spans="1:14" ht="19.5" customHeight="1">
      <c r="A292" s="20"/>
      <c r="B292" s="21"/>
      <c r="C292" s="22"/>
      <c r="D292" s="189"/>
      <c r="E292" s="190"/>
      <c r="F292" s="81"/>
      <c r="G292" s="22"/>
      <c r="H292" s="22"/>
      <c r="I292" s="22"/>
      <c r="N292" s="124"/>
    </row>
    <row r="293" spans="1:14" ht="19.5" customHeight="1">
      <c r="A293" s="20"/>
      <c r="B293" s="21"/>
      <c r="C293" s="22"/>
      <c r="D293" s="189"/>
      <c r="E293" s="190"/>
      <c r="F293" s="81"/>
      <c r="G293" s="22"/>
      <c r="H293" s="22"/>
      <c r="I293" s="22"/>
      <c r="N293" s="124"/>
    </row>
    <row r="294" spans="1:14" ht="19.5" customHeight="1">
      <c r="A294" s="20"/>
      <c r="B294" s="21"/>
      <c r="C294" s="22"/>
      <c r="D294" s="189"/>
      <c r="E294" s="190"/>
      <c r="F294" s="81"/>
      <c r="G294" s="22"/>
      <c r="H294" s="22"/>
      <c r="I294" s="22"/>
      <c r="N294" s="124"/>
    </row>
    <row r="295" spans="1:14" ht="19.5" customHeight="1">
      <c r="A295" s="20"/>
      <c r="B295" s="21"/>
      <c r="C295" s="22"/>
      <c r="D295" s="189"/>
      <c r="E295" s="190"/>
      <c r="F295" s="81"/>
      <c r="G295" s="22"/>
      <c r="H295" s="22"/>
      <c r="I295" s="22"/>
      <c r="N295" s="124"/>
    </row>
    <row r="296" spans="1:14" ht="19.5" customHeight="1">
      <c r="A296" s="20"/>
      <c r="B296" s="21"/>
      <c r="C296" s="22"/>
      <c r="D296" s="189"/>
      <c r="E296" s="190"/>
      <c r="F296" s="81"/>
      <c r="G296" s="22"/>
      <c r="H296" s="22"/>
      <c r="I296" s="22"/>
      <c r="N296" s="124"/>
    </row>
    <row r="297" spans="1:14" ht="19.5" customHeight="1">
      <c r="A297" s="20"/>
      <c r="B297" s="21"/>
      <c r="C297" s="22"/>
      <c r="D297" s="189"/>
      <c r="E297" s="190"/>
      <c r="F297" s="81"/>
      <c r="G297" s="22"/>
      <c r="H297" s="22"/>
      <c r="I297" s="22"/>
      <c r="N297" s="124"/>
    </row>
    <row r="298" spans="1:14" ht="19.5" customHeight="1">
      <c r="A298" s="20"/>
      <c r="B298" s="21"/>
      <c r="C298" s="22"/>
      <c r="D298" s="189"/>
      <c r="E298" s="190"/>
      <c r="F298" s="81"/>
      <c r="G298" s="22"/>
      <c r="H298" s="22"/>
      <c r="I298" s="22"/>
      <c r="N298" s="124"/>
    </row>
    <row r="299" spans="1:14" ht="19.5" customHeight="1">
      <c r="A299" s="20"/>
      <c r="B299" s="21"/>
      <c r="C299" s="22"/>
      <c r="D299" s="189"/>
      <c r="E299" s="190"/>
      <c r="F299" s="81"/>
      <c r="G299" s="22"/>
      <c r="H299" s="22"/>
      <c r="I299" s="22"/>
      <c r="N299" s="124"/>
    </row>
    <row r="300" spans="1:14" ht="19.5" customHeight="1">
      <c r="A300" s="20"/>
      <c r="B300" s="21"/>
      <c r="C300" s="22"/>
      <c r="D300" s="189"/>
      <c r="E300" s="190"/>
      <c r="F300" s="81"/>
      <c r="G300" s="22"/>
      <c r="H300" s="22"/>
      <c r="I300" s="22"/>
      <c r="N300" s="124"/>
    </row>
    <row r="301" spans="1:14" ht="19.5" customHeight="1">
      <c r="A301" s="20"/>
      <c r="B301" s="21"/>
      <c r="C301" s="22"/>
      <c r="D301" s="189"/>
      <c r="E301" s="190"/>
      <c r="F301" s="81"/>
      <c r="G301" s="22"/>
      <c r="H301" s="22"/>
      <c r="I301" s="22"/>
      <c r="N301" s="124"/>
    </row>
    <row r="302" spans="1:14" ht="19.5" customHeight="1">
      <c r="A302" s="20"/>
      <c r="B302" s="21"/>
      <c r="C302" s="22"/>
      <c r="D302" s="189"/>
      <c r="E302" s="190"/>
      <c r="F302" s="81"/>
      <c r="G302" s="22"/>
      <c r="H302" s="22"/>
      <c r="I302" s="22"/>
      <c r="N302" s="124"/>
    </row>
    <row r="303" spans="1:14" ht="19.5" customHeight="1">
      <c r="A303" s="20"/>
      <c r="B303" s="21"/>
      <c r="C303" s="22"/>
      <c r="D303" s="189"/>
      <c r="E303" s="190"/>
      <c r="F303" s="81"/>
      <c r="G303" s="22"/>
      <c r="H303" s="22"/>
      <c r="I303" s="22"/>
      <c r="N303" s="124"/>
    </row>
    <row r="304" spans="1:14" ht="19.5" customHeight="1">
      <c r="A304" s="20"/>
      <c r="B304" s="21"/>
      <c r="C304" s="22"/>
      <c r="D304" s="189"/>
      <c r="E304" s="190"/>
      <c r="F304" s="81"/>
      <c r="G304" s="22"/>
      <c r="H304" s="22"/>
      <c r="I304" s="22"/>
      <c r="N304" s="124"/>
    </row>
    <row r="305" spans="1:14" ht="19.5" customHeight="1">
      <c r="A305" s="20"/>
      <c r="B305" s="21"/>
      <c r="C305" s="22"/>
      <c r="D305" s="189"/>
      <c r="E305" s="190"/>
      <c r="F305" s="81"/>
      <c r="G305" s="22"/>
      <c r="H305" s="22"/>
      <c r="I305" s="22"/>
      <c r="N305" s="124"/>
    </row>
    <row r="306" spans="1:14" ht="19.5" customHeight="1">
      <c r="A306" s="20"/>
      <c r="B306" s="21"/>
      <c r="C306" s="22"/>
      <c r="D306" s="189"/>
      <c r="E306" s="190"/>
      <c r="F306" s="81"/>
      <c r="G306" s="22"/>
      <c r="H306" s="22"/>
      <c r="I306" s="22"/>
      <c r="N306" s="124"/>
    </row>
    <row r="307" spans="1:14" ht="19.5" customHeight="1">
      <c r="A307" s="20"/>
      <c r="B307" s="21"/>
      <c r="C307" s="22"/>
      <c r="D307" s="189"/>
      <c r="E307" s="190"/>
      <c r="F307" s="81"/>
      <c r="G307" s="22"/>
      <c r="H307" s="22"/>
      <c r="I307" s="22"/>
      <c r="N307" s="124"/>
    </row>
    <row r="308" spans="1:14" ht="19.5" customHeight="1">
      <c r="A308" s="20"/>
      <c r="B308" s="21"/>
      <c r="C308" s="22"/>
      <c r="D308" s="189"/>
      <c r="E308" s="190"/>
      <c r="F308" s="81"/>
      <c r="G308" s="22"/>
      <c r="H308" s="22"/>
      <c r="I308" s="22"/>
      <c r="N308" s="124"/>
    </row>
    <row r="309" spans="1:14" ht="19.5" customHeight="1">
      <c r="A309" s="20"/>
      <c r="B309" s="21"/>
      <c r="C309" s="22"/>
      <c r="D309" s="189"/>
      <c r="E309" s="190"/>
      <c r="F309" s="81"/>
      <c r="G309" s="22"/>
      <c r="H309" s="22"/>
      <c r="I309" s="22"/>
      <c r="N309" s="124"/>
    </row>
    <row r="310" spans="1:14" ht="19.5" customHeight="1">
      <c r="A310" s="20"/>
      <c r="B310" s="21"/>
      <c r="C310" s="22"/>
      <c r="D310" s="189"/>
      <c r="E310" s="190"/>
      <c r="F310" s="81"/>
      <c r="G310" s="22"/>
      <c r="H310" s="22"/>
      <c r="I310" s="22"/>
      <c r="N310" s="124"/>
    </row>
    <row r="311" spans="1:14" ht="19.5" customHeight="1">
      <c r="A311" s="20"/>
      <c r="B311" s="21"/>
      <c r="C311" s="22"/>
      <c r="D311" s="189"/>
      <c r="E311" s="190"/>
      <c r="F311" s="81"/>
      <c r="G311" s="22"/>
      <c r="H311" s="22"/>
      <c r="I311" s="22"/>
      <c r="N311" s="124"/>
    </row>
    <row r="312" spans="1:14" ht="19.5" customHeight="1">
      <c r="A312" s="20"/>
      <c r="B312" s="21"/>
      <c r="C312" s="22"/>
      <c r="D312" s="189"/>
      <c r="E312" s="190"/>
      <c r="F312" s="81"/>
      <c r="G312" s="22"/>
      <c r="H312" s="22"/>
      <c r="I312" s="22"/>
      <c r="N312" s="124"/>
    </row>
    <row r="313" spans="1:14" ht="19.5" customHeight="1">
      <c r="A313" s="20"/>
      <c r="B313" s="21"/>
      <c r="C313" s="22"/>
      <c r="D313" s="189"/>
      <c r="E313" s="190"/>
      <c r="F313" s="81"/>
      <c r="G313" s="22"/>
      <c r="H313" s="22"/>
      <c r="I313" s="22"/>
      <c r="N313" s="124"/>
    </row>
    <row r="314" spans="1:14" ht="19.5" customHeight="1">
      <c r="A314" s="20"/>
      <c r="B314" s="21"/>
      <c r="C314" s="22"/>
      <c r="D314" s="189"/>
      <c r="E314" s="190"/>
      <c r="F314" s="81"/>
      <c r="G314" s="22"/>
      <c r="H314" s="22"/>
      <c r="I314" s="22"/>
      <c r="N314" s="124"/>
    </row>
    <row r="315" spans="1:14" ht="19.5" customHeight="1">
      <c r="A315" s="20"/>
      <c r="B315" s="21"/>
      <c r="C315" s="22"/>
      <c r="D315" s="189"/>
      <c r="E315" s="190"/>
      <c r="F315" s="81"/>
      <c r="G315" s="22"/>
      <c r="H315" s="22"/>
      <c r="I315" s="22"/>
      <c r="N315" s="124"/>
    </row>
    <row r="316" spans="1:14" ht="19.5" customHeight="1">
      <c r="A316" s="20"/>
      <c r="B316" s="21"/>
      <c r="C316" s="22"/>
      <c r="D316" s="189"/>
      <c r="E316" s="190"/>
      <c r="F316" s="81"/>
      <c r="G316" s="22"/>
      <c r="H316" s="22"/>
      <c r="I316" s="22"/>
      <c r="N316" s="124"/>
    </row>
    <row r="317" spans="1:14" ht="19.5" customHeight="1">
      <c r="A317" s="20"/>
      <c r="B317" s="21"/>
      <c r="C317" s="22"/>
      <c r="D317" s="189"/>
      <c r="E317" s="190"/>
      <c r="F317" s="81"/>
      <c r="G317" s="22"/>
      <c r="H317" s="22"/>
      <c r="I317" s="22"/>
      <c r="N317" s="124"/>
    </row>
    <row r="318" spans="1:14" ht="19.5" customHeight="1">
      <c r="A318" s="20"/>
      <c r="B318" s="21"/>
      <c r="C318" s="22"/>
      <c r="D318" s="189"/>
      <c r="E318" s="190"/>
      <c r="F318" s="81"/>
      <c r="G318" s="22"/>
      <c r="H318" s="22"/>
      <c r="I318" s="22"/>
      <c r="N318" s="124"/>
    </row>
    <row r="319" spans="1:14" ht="19.5" customHeight="1">
      <c r="A319" s="20"/>
      <c r="B319" s="21"/>
      <c r="C319" s="22"/>
      <c r="D319" s="189"/>
      <c r="E319" s="190"/>
      <c r="F319" s="81"/>
      <c r="G319" s="22"/>
      <c r="H319" s="22"/>
      <c r="I319" s="22"/>
      <c r="N319" s="124"/>
    </row>
    <row r="320" spans="1:14" ht="19.5" customHeight="1">
      <c r="A320" s="20"/>
      <c r="B320" s="21"/>
      <c r="C320" s="22"/>
      <c r="D320" s="189"/>
      <c r="E320" s="190"/>
      <c r="F320" s="81"/>
      <c r="G320" s="22"/>
      <c r="H320" s="22"/>
      <c r="I320" s="22"/>
      <c r="N320" s="124"/>
    </row>
    <row r="321" spans="1:14" ht="19.5" customHeight="1">
      <c r="A321" s="20"/>
      <c r="B321" s="21"/>
      <c r="C321" s="22"/>
      <c r="D321" s="189"/>
      <c r="E321" s="190"/>
      <c r="F321" s="81"/>
      <c r="G321" s="22"/>
      <c r="H321" s="22"/>
      <c r="I321" s="22"/>
      <c r="N321" s="124"/>
    </row>
    <row r="322" spans="1:14" ht="19.5" customHeight="1">
      <c r="A322" s="20"/>
      <c r="B322" s="21"/>
      <c r="C322" s="22"/>
      <c r="D322" s="189"/>
      <c r="E322" s="190"/>
      <c r="F322" s="81"/>
      <c r="G322" s="22"/>
      <c r="H322" s="22"/>
      <c r="I322" s="22"/>
      <c r="N322" s="124"/>
    </row>
    <row r="323" spans="1:14" ht="19.5" customHeight="1">
      <c r="A323" s="20"/>
      <c r="B323" s="21"/>
      <c r="C323" s="22"/>
      <c r="D323" s="189"/>
      <c r="E323" s="190"/>
      <c r="F323" s="81"/>
      <c r="G323" s="22"/>
      <c r="H323" s="22"/>
      <c r="I323" s="22"/>
      <c r="N323" s="124"/>
    </row>
    <row r="324" spans="1:14" ht="19.5" customHeight="1">
      <c r="A324" s="20"/>
      <c r="B324" s="21"/>
      <c r="C324" s="22"/>
      <c r="D324" s="189"/>
      <c r="E324" s="190"/>
      <c r="F324" s="81"/>
      <c r="G324" s="22"/>
      <c r="H324" s="22"/>
      <c r="I324" s="22"/>
      <c r="N324" s="124"/>
    </row>
    <row r="325" spans="1:14" ht="19.5" customHeight="1">
      <c r="A325" s="20"/>
      <c r="B325" s="21"/>
      <c r="C325" s="22"/>
      <c r="D325" s="189"/>
      <c r="E325" s="190"/>
      <c r="F325" s="81"/>
      <c r="G325" s="22"/>
      <c r="H325" s="22"/>
      <c r="I325" s="22"/>
      <c r="N325" s="124"/>
    </row>
    <row r="326" spans="1:14" ht="19.5" customHeight="1">
      <c r="A326" s="20"/>
      <c r="B326" s="21"/>
      <c r="C326" s="22"/>
      <c r="D326" s="189"/>
      <c r="E326" s="190"/>
      <c r="F326" s="81"/>
      <c r="G326" s="22"/>
      <c r="H326" s="22"/>
      <c r="I326" s="22"/>
      <c r="N326" s="124"/>
    </row>
    <row r="327" spans="1:14" ht="19.5" customHeight="1">
      <c r="A327" s="20"/>
      <c r="B327" s="21"/>
      <c r="C327" s="22"/>
      <c r="D327" s="189"/>
      <c r="E327" s="190"/>
      <c r="F327" s="81"/>
      <c r="G327" s="22"/>
      <c r="H327" s="22"/>
      <c r="I327" s="22"/>
      <c r="N327" s="124"/>
    </row>
    <row r="328" spans="1:14" ht="19.5" customHeight="1">
      <c r="A328" s="20"/>
      <c r="B328" s="21"/>
      <c r="C328" s="22"/>
      <c r="D328" s="189"/>
      <c r="E328" s="190"/>
      <c r="F328" s="81"/>
      <c r="G328" s="22"/>
      <c r="H328" s="22"/>
      <c r="I328" s="22"/>
      <c r="N328" s="124"/>
    </row>
    <row r="329" spans="1:14" ht="19.5" customHeight="1">
      <c r="A329" s="20"/>
      <c r="B329" s="21"/>
      <c r="C329" s="22"/>
      <c r="D329" s="189"/>
      <c r="E329" s="190"/>
      <c r="F329" s="81"/>
      <c r="G329" s="22"/>
      <c r="H329" s="22"/>
      <c r="I329" s="22"/>
      <c r="N329" s="124"/>
    </row>
    <row r="330" spans="1:14" ht="19.5" customHeight="1">
      <c r="A330" s="20"/>
      <c r="B330" s="21"/>
      <c r="C330" s="22"/>
      <c r="D330" s="189"/>
      <c r="E330" s="190"/>
      <c r="F330" s="81"/>
      <c r="G330" s="22"/>
      <c r="H330" s="22"/>
      <c r="I330" s="22"/>
      <c r="N330" s="124"/>
    </row>
    <row r="331" spans="1:14" ht="19.5" customHeight="1">
      <c r="A331" s="20"/>
      <c r="B331" s="21"/>
      <c r="C331" s="22"/>
      <c r="D331" s="189"/>
      <c r="E331" s="190"/>
      <c r="F331" s="81"/>
      <c r="G331" s="22"/>
      <c r="H331" s="22"/>
      <c r="I331" s="22"/>
      <c r="N331" s="124"/>
    </row>
    <row r="332" spans="1:14" ht="19.5" customHeight="1">
      <c r="A332" s="20"/>
      <c r="B332" s="21"/>
      <c r="C332" s="22"/>
      <c r="D332" s="189"/>
      <c r="E332" s="190"/>
      <c r="F332" s="81"/>
      <c r="G332" s="22"/>
      <c r="H332" s="22"/>
      <c r="I332" s="22"/>
      <c r="N332" s="124"/>
    </row>
    <row r="333" spans="1:14" ht="19.5" customHeight="1">
      <c r="A333" s="20"/>
      <c r="B333" s="21"/>
      <c r="C333" s="22"/>
      <c r="D333" s="189"/>
      <c r="E333" s="190"/>
      <c r="F333" s="81"/>
      <c r="G333" s="22"/>
      <c r="H333" s="22"/>
      <c r="I333" s="22"/>
      <c r="N333" s="124"/>
    </row>
    <row r="334" spans="1:14" ht="19.5" customHeight="1">
      <c r="A334" s="20"/>
      <c r="B334" s="21"/>
      <c r="C334" s="22"/>
      <c r="D334" s="189"/>
      <c r="E334" s="190"/>
      <c r="F334" s="81"/>
      <c r="G334" s="22"/>
      <c r="H334" s="22"/>
      <c r="I334" s="22"/>
      <c r="N334" s="124"/>
    </row>
    <row r="335" spans="1:14" ht="19.5" customHeight="1">
      <c r="A335" s="20"/>
      <c r="B335" s="21"/>
      <c r="C335" s="22"/>
      <c r="D335" s="189"/>
      <c r="E335" s="190"/>
      <c r="F335" s="81"/>
      <c r="G335" s="22"/>
      <c r="H335" s="22"/>
      <c r="I335" s="22"/>
      <c r="N335" s="124"/>
    </row>
    <row r="336" spans="1:14" ht="19.5" customHeight="1">
      <c r="A336" s="20"/>
      <c r="B336" s="21"/>
      <c r="C336" s="22"/>
      <c r="D336" s="189"/>
      <c r="E336" s="190"/>
      <c r="F336" s="81"/>
      <c r="G336" s="22"/>
      <c r="H336" s="22"/>
      <c r="I336" s="22"/>
      <c r="N336" s="124"/>
    </row>
    <row r="337" spans="1:14" ht="19.5" customHeight="1">
      <c r="A337" s="20"/>
      <c r="B337" s="21"/>
      <c r="C337" s="22"/>
      <c r="D337" s="189"/>
      <c r="E337" s="190"/>
      <c r="F337" s="81"/>
      <c r="G337" s="22"/>
      <c r="H337" s="22"/>
      <c r="I337" s="22"/>
      <c r="N337" s="124"/>
    </row>
    <row r="338" spans="1:14" ht="19.5" customHeight="1">
      <c r="A338" s="20"/>
      <c r="B338" s="21"/>
      <c r="C338" s="22"/>
      <c r="D338" s="189"/>
      <c r="E338" s="190"/>
      <c r="F338" s="81"/>
      <c r="G338" s="22"/>
      <c r="H338" s="22"/>
      <c r="I338" s="22"/>
      <c r="N338" s="124"/>
    </row>
    <row r="339" spans="1:14" ht="19.5" customHeight="1">
      <c r="A339" s="20"/>
      <c r="B339" s="21"/>
      <c r="C339" s="22"/>
      <c r="D339" s="189"/>
      <c r="E339" s="190"/>
      <c r="F339" s="81"/>
      <c r="G339" s="22"/>
      <c r="H339" s="22"/>
      <c r="I339" s="22"/>
      <c r="N339" s="124"/>
    </row>
    <row r="340" spans="1:14" ht="19.5" customHeight="1">
      <c r="A340" s="20"/>
      <c r="B340" s="21"/>
      <c r="C340" s="22"/>
      <c r="D340" s="189"/>
      <c r="E340" s="190"/>
      <c r="F340" s="81"/>
      <c r="G340" s="22"/>
      <c r="H340" s="22"/>
      <c r="I340" s="22"/>
      <c r="N340" s="124"/>
    </row>
    <row r="341" spans="1:14" ht="19.5" customHeight="1">
      <c r="A341" s="20"/>
      <c r="B341" s="21"/>
      <c r="C341" s="22"/>
      <c r="D341" s="189"/>
      <c r="E341" s="190"/>
      <c r="F341" s="81"/>
      <c r="G341" s="22"/>
      <c r="H341" s="22"/>
      <c r="I341" s="22"/>
      <c r="N341" s="124"/>
    </row>
    <row r="342" spans="1:14" ht="19.5" customHeight="1">
      <c r="A342" s="20"/>
      <c r="B342" s="21"/>
      <c r="C342" s="22"/>
      <c r="D342" s="189"/>
      <c r="E342" s="190"/>
      <c r="F342" s="81"/>
      <c r="G342" s="22"/>
      <c r="H342" s="22"/>
      <c r="I342" s="22"/>
      <c r="N342" s="124"/>
    </row>
    <row r="343" spans="1:14" ht="19.5" customHeight="1">
      <c r="A343" s="20"/>
      <c r="B343" s="21"/>
      <c r="C343" s="22"/>
      <c r="D343" s="189"/>
      <c r="E343" s="190"/>
      <c r="F343" s="81"/>
      <c r="G343" s="22"/>
      <c r="H343" s="22"/>
      <c r="I343" s="22"/>
      <c r="N343" s="124"/>
    </row>
    <row r="344" spans="1:14" ht="19.5" customHeight="1">
      <c r="A344" s="20"/>
      <c r="B344" s="21"/>
      <c r="C344" s="22"/>
      <c r="D344" s="189"/>
      <c r="E344" s="190"/>
      <c r="F344" s="81"/>
      <c r="G344" s="22"/>
      <c r="H344" s="22"/>
      <c r="I344" s="22"/>
      <c r="N344" s="124"/>
    </row>
    <row r="345" spans="1:14" ht="19.5" customHeight="1">
      <c r="A345" s="20"/>
      <c r="B345" s="21"/>
      <c r="C345" s="22"/>
      <c r="D345" s="189"/>
      <c r="E345" s="190"/>
      <c r="F345" s="81"/>
      <c r="G345" s="22"/>
      <c r="H345" s="22"/>
      <c r="I345" s="22"/>
      <c r="N345" s="124"/>
    </row>
    <row r="346" spans="1:14" ht="19.5" customHeight="1">
      <c r="A346" s="20"/>
      <c r="B346" s="21"/>
      <c r="C346" s="22"/>
      <c r="D346" s="189"/>
      <c r="E346" s="190"/>
      <c r="F346" s="81"/>
      <c r="G346" s="22"/>
      <c r="H346" s="22"/>
      <c r="I346" s="22"/>
      <c r="N346" s="124"/>
    </row>
    <row r="347" spans="1:14" ht="19.5" customHeight="1">
      <c r="A347" s="20"/>
      <c r="B347" s="21"/>
      <c r="C347" s="22"/>
      <c r="D347" s="189"/>
      <c r="E347" s="190"/>
      <c r="F347" s="81"/>
      <c r="G347" s="22"/>
      <c r="H347" s="22"/>
      <c r="I347" s="22"/>
      <c r="N347" s="124"/>
    </row>
    <row r="348" spans="1:14" ht="19.5" customHeight="1">
      <c r="A348" s="20"/>
      <c r="B348" s="21"/>
      <c r="C348" s="22"/>
      <c r="D348" s="189"/>
      <c r="E348" s="190"/>
      <c r="F348" s="81"/>
      <c r="G348" s="22"/>
      <c r="H348" s="22"/>
      <c r="I348" s="22"/>
      <c r="N348" s="124"/>
    </row>
    <row r="349" spans="1:14" ht="19.5" customHeight="1">
      <c r="A349" s="20"/>
      <c r="B349" s="21"/>
      <c r="C349" s="22"/>
      <c r="D349" s="189"/>
      <c r="E349" s="190"/>
      <c r="F349" s="81"/>
      <c r="G349" s="22"/>
      <c r="H349" s="22"/>
      <c r="I349" s="22"/>
      <c r="N349" s="124"/>
    </row>
    <row r="350" spans="1:14" ht="19.5" customHeight="1">
      <c r="A350" s="20"/>
      <c r="B350" s="21"/>
      <c r="C350" s="22"/>
      <c r="D350" s="189"/>
      <c r="E350" s="190"/>
      <c r="F350" s="81"/>
      <c r="G350" s="22"/>
      <c r="H350" s="22"/>
      <c r="I350" s="22"/>
      <c r="N350" s="124"/>
    </row>
    <row r="351" spans="1:14" ht="19.5" customHeight="1">
      <c r="A351" s="20"/>
      <c r="B351" s="21"/>
      <c r="C351" s="22"/>
      <c r="D351" s="189"/>
      <c r="E351" s="190"/>
      <c r="F351" s="81"/>
      <c r="G351" s="22"/>
      <c r="H351" s="22"/>
      <c r="I351" s="22"/>
      <c r="N351" s="124"/>
    </row>
    <row r="352" spans="1:14" ht="19.5" customHeight="1">
      <c r="A352" s="20"/>
      <c r="B352" s="21"/>
      <c r="C352" s="22"/>
      <c r="D352" s="189"/>
      <c r="E352" s="190"/>
      <c r="F352" s="81"/>
      <c r="G352" s="22"/>
      <c r="H352" s="22"/>
      <c r="I352" s="22"/>
      <c r="N352" s="124"/>
    </row>
    <row r="353" spans="1:14" ht="19.5" customHeight="1">
      <c r="A353" s="20"/>
      <c r="B353" s="21"/>
      <c r="C353" s="22"/>
      <c r="D353" s="189"/>
      <c r="E353" s="190"/>
      <c r="F353" s="81"/>
      <c r="G353" s="22"/>
      <c r="H353" s="22"/>
      <c r="I353" s="22"/>
      <c r="N353" s="124"/>
    </row>
    <row r="354" spans="1:14" ht="19.5" customHeight="1">
      <c r="A354" s="20"/>
      <c r="B354" s="21"/>
      <c r="C354" s="22"/>
      <c r="D354" s="189"/>
      <c r="E354" s="190"/>
      <c r="F354" s="81"/>
      <c r="G354" s="22"/>
      <c r="H354" s="22"/>
      <c r="I354" s="22"/>
      <c r="N354" s="124"/>
    </row>
    <row r="355" spans="1:14" ht="19.5" customHeight="1">
      <c r="A355" s="20"/>
      <c r="B355" s="21"/>
      <c r="C355" s="22"/>
      <c r="D355" s="189"/>
      <c r="E355" s="190"/>
      <c r="F355" s="81"/>
      <c r="G355" s="22"/>
      <c r="H355" s="22"/>
      <c r="I355" s="22"/>
      <c r="N355" s="124"/>
    </row>
    <row r="356" spans="1:14" ht="19.5" customHeight="1">
      <c r="A356" s="20"/>
      <c r="B356" s="21"/>
      <c r="C356" s="22"/>
      <c r="D356" s="189"/>
      <c r="E356" s="190"/>
      <c r="F356" s="81"/>
      <c r="G356" s="22"/>
      <c r="H356" s="22"/>
      <c r="I356" s="22"/>
      <c r="N356" s="124"/>
    </row>
    <row r="357" spans="1:14" ht="19.5" customHeight="1">
      <c r="A357" s="20"/>
      <c r="B357" s="21"/>
      <c r="C357" s="22"/>
      <c r="D357" s="189"/>
      <c r="E357" s="190"/>
      <c r="F357" s="81"/>
      <c r="G357" s="22"/>
      <c r="H357" s="22"/>
      <c r="I357" s="22"/>
      <c r="N357" s="124"/>
    </row>
    <row r="358" spans="1:14" ht="19.5" customHeight="1">
      <c r="A358" s="20"/>
      <c r="B358" s="21"/>
      <c r="C358" s="22"/>
      <c r="D358" s="189"/>
      <c r="E358" s="190"/>
      <c r="F358" s="81"/>
      <c r="G358" s="22"/>
      <c r="H358" s="22"/>
      <c r="I358" s="22"/>
      <c r="N358" s="124"/>
    </row>
    <row r="359" spans="1:14" ht="19.5" customHeight="1">
      <c r="A359" s="20"/>
      <c r="B359" s="21"/>
      <c r="C359" s="22"/>
      <c r="D359" s="189"/>
      <c r="E359" s="190"/>
      <c r="F359" s="81"/>
      <c r="G359" s="22"/>
      <c r="H359" s="22"/>
      <c r="I359" s="22"/>
      <c r="N359" s="124"/>
    </row>
    <row r="360" spans="1:14" ht="19.5" customHeight="1">
      <c r="A360" s="20"/>
      <c r="B360" s="21"/>
      <c r="C360" s="22"/>
      <c r="D360" s="189"/>
      <c r="E360" s="190"/>
      <c r="F360" s="81"/>
      <c r="G360" s="22"/>
      <c r="H360" s="22"/>
      <c r="I360" s="22"/>
      <c r="N360" s="124"/>
    </row>
    <row r="361" spans="1:14" ht="19.5" customHeight="1">
      <c r="A361" s="20"/>
      <c r="B361" s="21"/>
      <c r="C361" s="22"/>
      <c r="D361" s="189"/>
      <c r="E361" s="190"/>
      <c r="F361" s="81"/>
      <c r="G361" s="22"/>
      <c r="H361" s="22"/>
      <c r="I361" s="22"/>
      <c r="N361" s="124"/>
    </row>
    <row r="362" spans="1:14" ht="19.5" customHeight="1">
      <c r="A362" s="20"/>
      <c r="B362" s="21"/>
      <c r="C362" s="22"/>
      <c r="D362" s="189"/>
      <c r="E362" s="190"/>
      <c r="F362" s="81"/>
      <c r="G362" s="22"/>
      <c r="H362" s="22"/>
      <c r="I362" s="22"/>
      <c r="N362" s="124"/>
    </row>
    <row r="363" spans="1:14" ht="19.5" customHeight="1">
      <c r="A363" s="20"/>
      <c r="B363" s="21"/>
      <c r="C363" s="22"/>
      <c r="D363" s="189"/>
      <c r="E363" s="190"/>
      <c r="F363" s="81"/>
      <c r="G363" s="22"/>
      <c r="H363" s="22"/>
      <c r="I363" s="22"/>
      <c r="N363" s="124"/>
    </row>
    <row r="364" spans="1:14" ht="19.5" customHeight="1">
      <c r="A364" s="20"/>
      <c r="B364" s="21"/>
      <c r="C364" s="22"/>
      <c r="D364" s="189"/>
      <c r="E364" s="190"/>
      <c r="F364" s="81"/>
      <c r="G364" s="22"/>
      <c r="H364" s="22"/>
      <c r="I364" s="22"/>
      <c r="N364" s="124"/>
    </row>
    <row r="365" spans="1:14" ht="19.5" customHeight="1">
      <c r="A365" s="20"/>
      <c r="B365" s="21"/>
      <c r="C365" s="22"/>
      <c r="D365" s="189"/>
      <c r="E365" s="190"/>
      <c r="F365" s="81"/>
      <c r="G365" s="22"/>
      <c r="H365" s="22"/>
      <c r="I365" s="22"/>
      <c r="N365" s="124"/>
    </row>
    <row r="366" spans="1:14" ht="19.5" customHeight="1">
      <c r="A366" s="20"/>
      <c r="B366" s="21"/>
      <c r="C366" s="22"/>
      <c r="D366" s="189"/>
      <c r="E366" s="190"/>
      <c r="F366" s="81"/>
      <c r="G366" s="22"/>
      <c r="H366" s="22"/>
      <c r="I366" s="22"/>
      <c r="N366" s="124"/>
    </row>
    <row r="367" spans="1:14" ht="19.5" customHeight="1">
      <c r="A367" s="20"/>
      <c r="B367" s="21"/>
      <c r="C367" s="22"/>
      <c r="D367" s="189"/>
      <c r="E367" s="190"/>
      <c r="F367" s="81"/>
      <c r="G367" s="22"/>
      <c r="H367" s="22"/>
      <c r="I367" s="22"/>
      <c r="N367" s="124"/>
    </row>
    <row r="368" spans="1:14" ht="19.5" customHeight="1">
      <c r="A368" s="20"/>
      <c r="B368" s="21"/>
      <c r="C368" s="22"/>
      <c r="D368" s="189"/>
      <c r="E368" s="190"/>
      <c r="F368" s="81"/>
      <c r="G368" s="22"/>
      <c r="H368" s="22"/>
      <c r="I368" s="22"/>
      <c r="N368" s="124"/>
    </row>
    <row r="369" spans="1:14" ht="19.5" customHeight="1">
      <c r="A369" s="20"/>
      <c r="B369" s="21"/>
      <c r="C369" s="22"/>
      <c r="D369" s="189"/>
      <c r="E369" s="190"/>
      <c r="F369" s="81"/>
      <c r="G369" s="22"/>
      <c r="H369" s="22"/>
      <c r="I369" s="22"/>
      <c r="N369" s="124"/>
    </row>
    <row r="370" spans="1:14" ht="19.5" customHeight="1">
      <c r="A370" s="20"/>
      <c r="B370" s="21"/>
      <c r="C370" s="22"/>
      <c r="D370" s="189"/>
      <c r="E370" s="190"/>
      <c r="F370" s="81"/>
      <c r="G370" s="22"/>
      <c r="H370" s="22"/>
      <c r="I370" s="22"/>
      <c r="N370" s="124"/>
    </row>
    <row r="371" spans="1:14" ht="19.5" customHeight="1">
      <c r="A371" s="20"/>
      <c r="B371" s="21"/>
      <c r="C371" s="22"/>
      <c r="D371" s="189"/>
      <c r="E371" s="190"/>
      <c r="F371" s="81"/>
      <c r="G371" s="22"/>
      <c r="H371" s="22"/>
      <c r="I371" s="22"/>
      <c r="N371" s="124"/>
    </row>
    <row r="372" spans="1:14" ht="19.5" customHeight="1">
      <c r="A372" s="20"/>
      <c r="B372" s="21"/>
      <c r="C372" s="22"/>
      <c r="D372" s="189"/>
      <c r="E372" s="190"/>
      <c r="F372" s="81"/>
      <c r="G372" s="22"/>
      <c r="H372" s="22"/>
      <c r="I372" s="22"/>
      <c r="N372" s="124"/>
    </row>
    <row r="373" spans="1:14" ht="19.5" customHeight="1">
      <c r="A373" s="20"/>
      <c r="B373" s="21"/>
      <c r="C373" s="22"/>
      <c r="D373" s="189"/>
      <c r="E373" s="190"/>
      <c r="F373" s="81"/>
      <c r="G373" s="22"/>
      <c r="H373" s="22"/>
      <c r="I373" s="22"/>
      <c r="N373" s="124"/>
    </row>
    <row r="374" spans="1:14" ht="19.5" customHeight="1">
      <c r="A374" s="20"/>
      <c r="B374" s="21"/>
      <c r="C374" s="22"/>
      <c r="D374" s="189"/>
      <c r="E374" s="190"/>
      <c r="F374" s="81"/>
      <c r="G374" s="22"/>
      <c r="H374" s="22"/>
      <c r="I374" s="22"/>
      <c r="N374" s="124"/>
    </row>
    <row r="375" spans="1:14" ht="19.5" customHeight="1">
      <c r="A375" s="20"/>
      <c r="B375" s="21"/>
      <c r="C375" s="22"/>
      <c r="D375" s="189"/>
      <c r="E375" s="190"/>
      <c r="F375" s="81"/>
      <c r="G375" s="22"/>
      <c r="H375" s="22"/>
      <c r="I375" s="22"/>
      <c r="N375" s="124"/>
    </row>
    <row r="376" spans="1:14" ht="19.5" customHeight="1">
      <c r="A376" s="20"/>
      <c r="B376" s="21"/>
      <c r="C376" s="22"/>
      <c r="D376" s="189"/>
      <c r="E376" s="190"/>
      <c r="F376" s="81"/>
      <c r="G376" s="22"/>
      <c r="H376" s="22"/>
      <c r="I376" s="22"/>
      <c r="N376" s="124"/>
    </row>
    <row r="377" spans="1:14" ht="19.5" customHeight="1">
      <c r="A377" s="20"/>
      <c r="B377" s="21"/>
      <c r="C377" s="22"/>
      <c r="D377" s="189"/>
      <c r="E377" s="190"/>
      <c r="F377" s="81"/>
      <c r="G377" s="22"/>
      <c r="H377" s="22"/>
      <c r="I377" s="22"/>
      <c r="N377" s="124"/>
    </row>
    <row r="378" spans="1:14" ht="19.5" customHeight="1">
      <c r="A378" s="20"/>
      <c r="B378" s="21"/>
      <c r="C378" s="22"/>
      <c r="D378" s="189"/>
      <c r="E378" s="190"/>
      <c r="F378" s="81"/>
      <c r="G378" s="22"/>
      <c r="H378" s="22"/>
      <c r="I378" s="22"/>
      <c r="N378" s="124"/>
    </row>
    <row r="379" spans="1:14" ht="19.5" customHeight="1">
      <c r="A379" s="20"/>
      <c r="B379" s="21"/>
      <c r="C379" s="22"/>
      <c r="D379" s="189"/>
      <c r="E379" s="190"/>
      <c r="F379" s="81"/>
      <c r="G379" s="22"/>
      <c r="H379" s="22"/>
      <c r="I379" s="22"/>
      <c r="N379" s="124"/>
    </row>
    <row r="380" spans="1:14" ht="19.5" customHeight="1">
      <c r="A380" s="20"/>
      <c r="B380" s="21"/>
      <c r="C380" s="22"/>
      <c r="D380" s="189"/>
      <c r="E380" s="190"/>
      <c r="F380" s="81"/>
      <c r="G380" s="22"/>
      <c r="H380" s="22"/>
      <c r="I380" s="22"/>
      <c r="N380" s="124"/>
    </row>
    <row r="381" spans="1:14" ht="19.5" customHeight="1">
      <c r="A381" s="20"/>
      <c r="B381" s="21"/>
      <c r="C381" s="22"/>
      <c r="D381" s="189"/>
      <c r="E381" s="190"/>
      <c r="F381" s="81"/>
      <c r="G381" s="22"/>
      <c r="H381" s="22"/>
      <c r="I381" s="22"/>
      <c r="N381" s="124"/>
    </row>
    <row r="382" spans="1:14" ht="19.5" customHeight="1">
      <c r="A382" s="20"/>
      <c r="B382" s="21"/>
      <c r="C382" s="22"/>
      <c r="D382" s="189"/>
      <c r="E382" s="190"/>
      <c r="F382" s="81"/>
      <c r="G382" s="22"/>
      <c r="H382" s="22"/>
      <c r="I382" s="22"/>
      <c r="N382" s="124"/>
    </row>
    <row r="383" spans="1:14" ht="19.5" customHeight="1">
      <c r="A383" s="20"/>
      <c r="B383" s="21"/>
      <c r="C383" s="22"/>
      <c r="D383" s="189"/>
      <c r="E383" s="190"/>
      <c r="F383" s="81"/>
      <c r="G383" s="22"/>
      <c r="H383" s="22"/>
      <c r="I383" s="22"/>
      <c r="N383" s="124"/>
    </row>
    <row r="384" spans="1:14" ht="19.5" customHeight="1">
      <c r="A384" s="20"/>
      <c r="B384" s="21"/>
      <c r="C384" s="22"/>
      <c r="D384" s="189"/>
      <c r="E384" s="190"/>
      <c r="F384" s="81"/>
      <c r="G384" s="22"/>
      <c r="H384" s="22"/>
      <c r="I384" s="22"/>
      <c r="N384" s="124"/>
    </row>
    <row r="385" spans="1:14" ht="19.5" customHeight="1">
      <c r="A385" s="20"/>
      <c r="B385" s="21"/>
      <c r="C385" s="22"/>
      <c r="D385" s="189"/>
      <c r="E385" s="190"/>
      <c r="F385" s="81"/>
      <c r="G385" s="22"/>
      <c r="H385" s="22"/>
      <c r="I385" s="22"/>
      <c r="N385" s="124"/>
    </row>
    <row r="386" spans="1:14" ht="19.5" customHeight="1">
      <c r="A386" s="20"/>
      <c r="B386" s="21"/>
      <c r="C386" s="22"/>
      <c r="D386" s="189"/>
      <c r="E386" s="190"/>
      <c r="F386" s="81"/>
      <c r="G386" s="22"/>
      <c r="H386" s="22"/>
      <c r="I386" s="22"/>
      <c r="N386" s="124"/>
    </row>
    <row r="387" spans="1:14" ht="19.5" customHeight="1">
      <c r="A387" s="20"/>
      <c r="B387" s="21"/>
      <c r="C387" s="22"/>
      <c r="D387" s="189"/>
      <c r="E387" s="190"/>
      <c r="F387" s="81"/>
      <c r="G387" s="22"/>
      <c r="H387" s="22"/>
      <c r="I387" s="22"/>
      <c r="N387" s="124"/>
    </row>
    <row r="388" spans="1:14" ht="19.5" customHeight="1">
      <c r="A388" s="20"/>
      <c r="B388" s="21"/>
      <c r="C388" s="22"/>
      <c r="D388" s="189"/>
      <c r="E388" s="190"/>
      <c r="F388" s="81"/>
      <c r="G388" s="22"/>
      <c r="H388" s="22"/>
      <c r="I388" s="22"/>
      <c r="N388" s="124"/>
    </row>
    <row r="389" spans="1:14" ht="19.5" customHeight="1">
      <c r="A389" s="20"/>
      <c r="B389" s="21"/>
      <c r="C389" s="22"/>
      <c r="D389" s="189"/>
      <c r="E389" s="190"/>
      <c r="F389" s="81"/>
      <c r="G389" s="22"/>
      <c r="H389" s="22"/>
      <c r="I389" s="22"/>
      <c r="N389" s="124"/>
    </row>
    <row r="390" spans="1:14" ht="19.5" customHeight="1">
      <c r="A390" s="20"/>
      <c r="B390" s="21"/>
      <c r="C390" s="22"/>
      <c r="D390" s="189"/>
      <c r="E390" s="190"/>
      <c r="F390" s="81"/>
      <c r="G390" s="22"/>
      <c r="H390" s="22"/>
      <c r="I390" s="22"/>
      <c r="N390" s="124"/>
    </row>
    <row r="391" spans="1:14" ht="19.5" customHeight="1">
      <c r="A391" s="20"/>
      <c r="B391" s="21"/>
      <c r="C391" s="22"/>
      <c r="D391" s="189"/>
      <c r="E391" s="190"/>
      <c r="F391" s="81"/>
      <c r="G391" s="22"/>
      <c r="H391" s="22"/>
      <c r="I391" s="22"/>
      <c r="N391" s="124"/>
    </row>
    <row r="392" spans="1:14" ht="19.5" customHeight="1">
      <c r="A392" s="20"/>
      <c r="B392" s="21"/>
      <c r="C392" s="22"/>
      <c r="D392" s="189"/>
      <c r="E392" s="190"/>
      <c r="F392" s="81"/>
      <c r="G392" s="22"/>
      <c r="H392" s="22"/>
      <c r="I392" s="22"/>
      <c r="N392" s="124"/>
    </row>
    <row r="393" spans="1:14" ht="19.5" customHeight="1">
      <c r="A393" s="20"/>
      <c r="B393" s="21"/>
      <c r="C393" s="22"/>
      <c r="D393" s="189"/>
      <c r="E393" s="190"/>
      <c r="F393" s="81"/>
      <c r="G393" s="22"/>
      <c r="H393" s="22"/>
      <c r="I393" s="22"/>
      <c r="N393" s="124"/>
    </row>
    <row r="394" spans="1:14" ht="19.5" customHeight="1">
      <c r="A394" s="20"/>
      <c r="B394" s="21"/>
      <c r="C394" s="22"/>
      <c r="D394" s="189"/>
      <c r="E394" s="190"/>
      <c r="F394" s="81"/>
      <c r="G394" s="22"/>
      <c r="H394" s="22"/>
      <c r="I394" s="22"/>
      <c r="N394" s="124"/>
    </row>
    <row r="395" spans="1:14" ht="19.5" customHeight="1">
      <c r="A395" s="20"/>
      <c r="B395" s="21"/>
      <c r="C395" s="22"/>
      <c r="D395" s="189"/>
      <c r="E395" s="190"/>
      <c r="F395" s="81"/>
      <c r="G395" s="22"/>
      <c r="H395" s="22"/>
      <c r="I395" s="22"/>
      <c r="N395" s="124"/>
    </row>
    <row r="396" spans="1:14" ht="19.5" customHeight="1">
      <c r="A396" s="20"/>
      <c r="B396" s="21"/>
      <c r="C396" s="22"/>
      <c r="D396" s="189"/>
      <c r="E396" s="190"/>
      <c r="F396" s="81"/>
      <c r="G396" s="22"/>
      <c r="H396" s="22"/>
      <c r="I396" s="22"/>
      <c r="N396" s="124"/>
    </row>
    <row r="397" spans="1:14" ht="19.5" customHeight="1">
      <c r="A397" s="20"/>
      <c r="B397" s="21"/>
      <c r="C397" s="22"/>
      <c r="D397" s="189"/>
      <c r="E397" s="190"/>
      <c r="F397" s="81"/>
      <c r="G397" s="22"/>
      <c r="H397" s="22"/>
      <c r="I397" s="22"/>
      <c r="N397" s="124"/>
    </row>
    <row r="398" spans="1:14" ht="19.5" customHeight="1">
      <c r="A398" s="20"/>
      <c r="B398" s="21"/>
      <c r="C398" s="22"/>
      <c r="D398" s="189"/>
      <c r="E398" s="190"/>
      <c r="F398" s="81"/>
      <c r="G398" s="22"/>
      <c r="H398" s="22"/>
      <c r="I398" s="22"/>
      <c r="N398" s="124"/>
    </row>
    <row r="399" spans="1:14" ht="19.5" customHeight="1">
      <c r="A399" s="20"/>
      <c r="B399" s="21"/>
      <c r="C399" s="22"/>
      <c r="D399" s="189"/>
      <c r="E399" s="190"/>
      <c r="F399" s="81"/>
      <c r="G399" s="22"/>
      <c r="H399" s="22"/>
      <c r="I399" s="22"/>
      <c r="N399" s="124"/>
    </row>
    <row r="400" spans="1:14" ht="19.5" customHeight="1">
      <c r="A400" s="20"/>
      <c r="B400" s="21"/>
      <c r="C400" s="22"/>
      <c r="D400" s="189"/>
      <c r="E400" s="190"/>
      <c r="F400" s="81"/>
      <c r="G400" s="22"/>
      <c r="H400" s="22"/>
      <c r="I400" s="22"/>
      <c r="N400" s="124"/>
    </row>
    <row r="401" spans="1:14" ht="19.5" customHeight="1">
      <c r="A401" s="20"/>
      <c r="B401" s="21"/>
      <c r="C401" s="22"/>
      <c r="D401" s="189"/>
      <c r="E401" s="190"/>
      <c r="F401" s="81"/>
      <c r="G401" s="22"/>
      <c r="H401" s="22"/>
      <c r="I401" s="22"/>
      <c r="N401" s="124"/>
    </row>
    <row r="402" spans="1:14" ht="19.5" customHeight="1">
      <c r="A402" s="20"/>
      <c r="B402" s="21"/>
      <c r="C402" s="22"/>
      <c r="D402" s="189"/>
      <c r="E402" s="190"/>
      <c r="F402" s="81"/>
      <c r="G402" s="22"/>
      <c r="H402" s="22"/>
      <c r="I402" s="22"/>
      <c r="N402" s="124"/>
    </row>
    <row r="403" spans="1:14" ht="19.5" customHeight="1">
      <c r="A403" s="20"/>
      <c r="B403" s="21"/>
      <c r="C403" s="22"/>
      <c r="D403" s="189"/>
      <c r="E403" s="190"/>
      <c r="F403" s="81"/>
      <c r="G403" s="22"/>
      <c r="H403" s="22"/>
      <c r="I403" s="22"/>
      <c r="N403" s="124"/>
    </row>
    <row r="404" spans="1:14" ht="19.5" customHeight="1">
      <c r="A404" s="20"/>
      <c r="B404" s="21"/>
      <c r="C404" s="22"/>
      <c r="D404" s="189"/>
      <c r="E404" s="190"/>
      <c r="F404" s="81"/>
      <c r="G404" s="22"/>
      <c r="H404" s="22"/>
      <c r="I404" s="22"/>
      <c r="N404" s="124"/>
    </row>
    <row r="405" spans="1:14" ht="19.5" customHeight="1">
      <c r="A405" s="20"/>
      <c r="B405" s="21"/>
      <c r="C405" s="22"/>
      <c r="D405" s="189"/>
      <c r="E405" s="190"/>
      <c r="F405" s="81"/>
      <c r="G405" s="22"/>
      <c r="H405" s="22"/>
      <c r="I405" s="22"/>
      <c r="N405" s="124"/>
    </row>
    <row r="406" spans="1:14" ht="19.5" customHeight="1">
      <c r="A406" s="20"/>
      <c r="B406" s="21"/>
      <c r="C406" s="22"/>
      <c r="D406" s="189"/>
      <c r="E406" s="190"/>
      <c r="F406" s="81"/>
      <c r="G406" s="22"/>
      <c r="H406" s="22"/>
      <c r="I406" s="22"/>
      <c r="N406" s="124"/>
    </row>
    <row r="407" spans="1:14" ht="19.5" customHeight="1">
      <c r="A407" s="20"/>
      <c r="B407" s="21"/>
      <c r="C407" s="22"/>
      <c r="D407" s="189"/>
      <c r="E407" s="190"/>
      <c r="F407" s="81"/>
      <c r="G407" s="22"/>
      <c r="H407" s="22"/>
      <c r="I407" s="22"/>
      <c r="N407" s="124"/>
    </row>
    <row r="408" spans="1:14" ht="19.5" customHeight="1">
      <c r="A408" s="20"/>
      <c r="B408" s="21"/>
      <c r="C408" s="22"/>
      <c r="D408" s="189"/>
      <c r="E408" s="190"/>
      <c r="F408" s="81"/>
      <c r="G408" s="22"/>
      <c r="H408" s="22"/>
      <c r="I408" s="22"/>
      <c r="N408" s="124"/>
    </row>
    <row r="409" spans="1:14" ht="19.5" customHeight="1">
      <c r="A409" s="20"/>
      <c r="B409" s="21"/>
      <c r="C409" s="22"/>
      <c r="D409" s="189"/>
      <c r="E409" s="190"/>
      <c r="F409" s="81"/>
      <c r="G409" s="22"/>
      <c r="H409" s="22"/>
      <c r="I409" s="22"/>
      <c r="N409" s="124"/>
    </row>
    <row r="410" spans="1:14" ht="19.5" customHeight="1">
      <c r="A410" s="20"/>
      <c r="B410" s="21"/>
      <c r="C410" s="22"/>
      <c r="D410" s="189"/>
      <c r="E410" s="190"/>
      <c r="F410" s="81"/>
      <c r="G410" s="22"/>
      <c r="H410" s="22"/>
      <c r="I410" s="22"/>
      <c r="N410" s="124"/>
    </row>
    <row r="411" spans="1:14" ht="19.5" customHeight="1">
      <c r="A411" s="20"/>
      <c r="B411" s="21"/>
      <c r="C411" s="22"/>
      <c r="D411" s="189"/>
      <c r="E411" s="190"/>
      <c r="F411" s="81"/>
      <c r="G411" s="22"/>
      <c r="H411" s="22"/>
      <c r="I411" s="22"/>
      <c r="N411" s="124"/>
    </row>
    <row r="412" spans="1:14" ht="19.5" customHeight="1">
      <c r="A412" s="20"/>
      <c r="B412" s="21"/>
      <c r="C412" s="22"/>
      <c r="D412" s="189"/>
      <c r="E412" s="190"/>
      <c r="F412" s="81"/>
      <c r="G412" s="22"/>
      <c r="H412" s="22"/>
      <c r="I412" s="22"/>
      <c r="N412" s="124"/>
    </row>
    <row r="413" spans="1:14" ht="19.5" customHeight="1">
      <c r="A413" s="20"/>
      <c r="B413" s="21"/>
      <c r="C413" s="22"/>
      <c r="D413" s="189"/>
      <c r="E413" s="190"/>
      <c r="F413" s="81"/>
      <c r="G413" s="22"/>
      <c r="H413" s="22"/>
      <c r="I413" s="22"/>
      <c r="N413" s="124"/>
    </row>
    <row r="414" spans="1:14" ht="19.5" customHeight="1">
      <c r="A414" s="20"/>
      <c r="B414" s="21"/>
      <c r="C414" s="22"/>
      <c r="D414" s="189"/>
      <c r="E414" s="190"/>
      <c r="F414" s="81"/>
      <c r="G414" s="22"/>
      <c r="H414" s="22"/>
      <c r="I414" s="22"/>
      <c r="N414" s="124"/>
    </row>
    <row r="415" spans="1:14" ht="19.5" customHeight="1">
      <c r="A415" s="20"/>
      <c r="B415" s="21"/>
      <c r="C415" s="22"/>
      <c r="D415" s="189"/>
      <c r="E415" s="190"/>
      <c r="F415" s="81"/>
      <c r="G415" s="22"/>
      <c r="H415" s="22"/>
      <c r="I415" s="22"/>
      <c r="N415" s="124"/>
    </row>
    <row r="416" spans="1:14" ht="19.5" customHeight="1">
      <c r="A416" s="20"/>
      <c r="B416" s="21"/>
      <c r="C416" s="22"/>
      <c r="D416" s="189"/>
      <c r="E416" s="190"/>
      <c r="F416" s="81"/>
      <c r="G416" s="22"/>
      <c r="H416" s="22"/>
      <c r="I416" s="22"/>
      <c r="N416" s="124"/>
    </row>
    <row r="417" spans="1:14" ht="19.5" customHeight="1">
      <c r="A417" s="20"/>
      <c r="B417" s="21"/>
      <c r="C417" s="22"/>
      <c r="D417" s="189"/>
      <c r="E417" s="190"/>
      <c r="F417" s="81"/>
      <c r="G417" s="22"/>
      <c r="H417" s="22"/>
      <c r="I417" s="22"/>
      <c r="N417" s="124"/>
    </row>
    <row r="418" spans="1:14" ht="19.5" customHeight="1">
      <c r="A418" s="20"/>
      <c r="B418" s="21"/>
      <c r="C418" s="22"/>
      <c r="D418" s="189"/>
      <c r="E418" s="190"/>
      <c r="F418" s="81"/>
      <c r="G418" s="22"/>
      <c r="H418" s="22"/>
      <c r="I418" s="22"/>
      <c r="N418" s="124"/>
    </row>
    <row r="419" spans="1:14" ht="19.5" customHeight="1">
      <c r="A419" s="20"/>
      <c r="B419" s="21"/>
      <c r="C419" s="22"/>
      <c r="D419" s="189"/>
      <c r="E419" s="190"/>
      <c r="F419" s="81"/>
      <c r="G419" s="22"/>
      <c r="H419" s="22"/>
      <c r="I419" s="22"/>
      <c r="N419" s="124"/>
    </row>
    <row r="420" spans="1:14" ht="19.5" customHeight="1">
      <c r="A420" s="20"/>
      <c r="B420" s="21"/>
      <c r="C420" s="22"/>
      <c r="D420" s="189"/>
      <c r="E420" s="190"/>
      <c r="F420" s="81"/>
      <c r="G420" s="22"/>
      <c r="H420" s="22"/>
      <c r="I420" s="22"/>
      <c r="N420" s="124"/>
    </row>
    <row r="421" spans="1:14" ht="19.5" customHeight="1">
      <c r="A421" s="20"/>
      <c r="B421" s="21"/>
      <c r="C421" s="22"/>
      <c r="D421" s="189"/>
      <c r="E421" s="190"/>
      <c r="F421" s="81"/>
      <c r="G421" s="22"/>
      <c r="H421" s="22"/>
      <c r="I421" s="22"/>
      <c r="N421" s="124"/>
    </row>
    <row r="422" spans="1:14" ht="19.5" customHeight="1">
      <c r="A422" s="20"/>
      <c r="B422" s="21"/>
      <c r="C422" s="22"/>
      <c r="D422" s="189"/>
      <c r="E422" s="190"/>
      <c r="F422" s="81"/>
      <c r="G422" s="22"/>
      <c r="H422" s="22"/>
      <c r="I422" s="22"/>
      <c r="N422" s="124"/>
    </row>
    <row r="423" spans="1:14" ht="19.5" customHeight="1">
      <c r="A423" s="20"/>
      <c r="B423" s="21"/>
      <c r="C423" s="22"/>
      <c r="D423" s="189"/>
      <c r="E423" s="190"/>
      <c r="F423" s="81"/>
      <c r="G423" s="22"/>
      <c r="H423" s="22"/>
      <c r="I423" s="22"/>
      <c r="N423" s="124"/>
    </row>
    <row r="424" spans="1:14" ht="19.5" customHeight="1">
      <c r="A424" s="20"/>
      <c r="B424" s="21"/>
      <c r="C424" s="22"/>
      <c r="D424" s="189"/>
      <c r="E424" s="190"/>
      <c r="F424" s="81"/>
      <c r="G424" s="22"/>
      <c r="H424" s="22"/>
      <c r="I424" s="22"/>
      <c r="N424" s="124"/>
    </row>
    <row r="425" spans="1:14" ht="19.5" customHeight="1">
      <c r="A425" s="20"/>
      <c r="B425" s="21"/>
      <c r="C425" s="22"/>
      <c r="D425" s="189"/>
      <c r="E425" s="190"/>
      <c r="F425" s="81"/>
      <c r="G425" s="22"/>
      <c r="H425" s="22"/>
      <c r="I425" s="22"/>
      <c r="N425" s="124"/>
    </row>
    <row r="426" spans="1:14" ht="19.5" customHeight="1">
      <c r="A426" s="20"/>
      <c r="B426" s="21"/>
      <c r="C426" s="22"/>
      <c r="D426" s="189"/>
      <c r="E426" s="190"/>
      <c r="F426" s="81"/>
      <c r="G426" s="22"/>
      <c r="H426" s="22"/>
      <c r="I426" s="22"/>
      <c r="N426" s="124"/>
    </row>
    <row r="427" spans="1:14" ht="19.5" customHeight="1">
      <c r="A427" s="20"/>
      <c r="B427" s="21"/>
      <c r="C427" s="22"/>
      <c r="D427" s="189"/>
      <c r="E427" s="190"/>
      <c r="F427" s="81"/>
      <c r="G427" s="22"/>
      <c r="H427" s="22"/>
      <c r="I427" s="22"/>
      <c r="N427" s="124"/>
    </row>
    <row r="428" spans="1:14" ht="19.5" customHeight="1">
      <c r="A428" s="20"/>
      <c r="B428" s="21"/>
      <c r="C428" s="22"/>
      <c r="D428" s="189"/>
      <c r="E428" s="190"/>
      <c r="F428" s="81"/>
      <c r="G428" s="22"/>
      <c r="H428" s="22"/>
      <c r="I428" s="22"/>
      <c r="N428" s="124"/>
    </row>
    <row r="429" spans="1:14" ht="19.5" customHeight="1">
      <c r="A429" s="20"/>
      <c r="B429" s="21"/>
      <c r="C429" s="22"/>
      <c r="D429" s="189"/>
      <c r="E429" s="190"/>
      <c r="F429" s="81"/>
      <c r="G429" s="22"/>
      <c r="H429" s="22"/>
      <c r="I429" s="22"/>
      <c r="N429" s="124"/>
    </row>
    <row r="430" spans="1:14" ht="19.5" customHeight="1">
      <c r="A430" s="20"/>
      <c r="B430" s="21"/>
      <c r="C430" s="22"/>
      <c r="D430" s="189"/>
      <c r="E430" s="190"/>
      <c r="F430" s="81"/>
      <c r="G430" s="22"/>
      <c r="H430" s="22"/>
      <c r="I430" s="22"/>
      <c r="N430" s="124"/>
    </row>
    <row r="431" spans="1:14" ht="19.5" customHeight="1">
      <c r="A431" s="20"/>
      <c r="B431" s="21"/>
      <c r="C431" s="22"/>
      <c r="D431" s="189"/>
      <c r="E431" s="190"/>
      <c r="F431" s="81"/>
      <c r="G431" s="22"/>
      <c r="H431" s="22"/>
      <c r="I431" s="22"/>
      <c r="N431" s="124"/>
    </row>
    <row r="432" spans="1:14" ht="19.5" customHeight="1">
      <c r="A432" s="20"/>
      <c r="B432" s="21"/>
      <c r="C432" s="22"/>
      <c r="D432" s="189"/>
      <c r="E432" s="190"/>
      <c r="F432" s="81"/>
      <c r="G432" s="22"/>
      <c r="H432" s="22"/>
      <c r="I432" s="22"/>
      <c r="N432" s="124"/>
    </row>
    <row r="433" spans="1:14" ht="19.5" customHeight="1">
      <c r="A433" s="20"/>
      <c r="B433" s="21"/>
      <c r="C433" s="22"/>
      <c r="D433" s="189"/>
      <c r="E433" s="190"/>
      <c r="F433" s="81"/>
      <c r="G433" s="22"/>
      <c r="H433" s="22"/>
      <c r="I433" s="22"/>
      <c r="N433" s="124"/>
    </row>
    <row r="434" spans="1:14" ht="19.5" customHeight="1">
      <c r="A434" s="20"/>
      <c r="B434" s="21"/>
      <c r="C434" s="22"/>
      <c r="D434" s="189"/>
      <c r="E434" s="190"/>
      <c r="F434" s="81"/>
      <c r="G434" s="22"/>
      <c r="H434" s="22"/>
      <c r="I434" s="22"/>
      <c r="N434" s="124"/>
    </row>
    <row r="435" spans="1:14" ht="19.5" customHeight="1">
      <c r="A435" s="20"/>
      <c r="B435" s="21"/>
      <c r="C435" s="22"/>
      <c r="D435" s="189"/>
      <c r="E435" s="190"/>
      <c r="F435" s="81"/>
      <c r="G435" s="22"/>
      <c r="H435" s="22"/>
      <c r="I435" s="22"/>
      <c r="N435" s="124"/>
    </row>
    <row r="436" spans="1:14" ht="19.5" customHeight="1">
      <c r="A436" s="20"/>
      <c r="B436" s="21"/>
      <c r="C436" s="22"/>
      <c r="D436" s="189"/>
      <c r="E436" s="190"/>
      <c r="F436" s="81"/>
      <c r="G436" s="22"/>
      <c r="H436" s="22"/>
      <c r="I436" s="22"/>
      <c r="N436" s="124"/>
    </row>
    <row r="437" spans="1:14" ht="19.5" customHeight="1">
      <c r="A437" s="20"/>
      <c r="B437" s="21"/>
      <c r="C437" s="22"/>
      <c r="D437" s="189"/>
      <c r="E437" s="190"/>
      <c r="F437" s="81"/>
      <c r="G437" s="22"/>
      <c r="H437" s="22"/>
      <c r="I437" s="22"/>
      <c r="N437" s="124"/>
    </row>
    <row r="438" spans="1:14" ht="19.5" customHeight="1">
      <c r="A438" s="20"/>
      <c r="B438" s="21"/>
      <c r="C438" s="22"/>
      <c r="D438" s="189"/>
      <c r="E438" s="190"/>
      <c r="F438" s="81"/>
      <c r="G438" s="22"/>
      <c r="H438" s="22"/>
      <c r="I438" s="22"/>
      <c r="N438" s="124"/>
    </row>
    <row r="439" spans="1:14" ht="19.5" customHeight="1">
      <c r="A439" s="20"/>
      <c r="B439" s="21"/>
      <c r="C439" s="22"/>
      <c r="D439" s="189"/>
      <c r="E439" s="190"/>
      <c r="F439" s="81"/>
      <c r="G439" s="22"/>
      <c r="H439" s="22"/>
      <c r="I439" s="22"/>
      <c r="N439" s="124"/>
    </row>
    <row r="440" spans="1:14" ht="19.5" customHeight="1">
      <c r="A440" s="20"/>
      <c r="B440" s="21"/>
      <c r="C440" s="22"/>
      <c r="D440" s="189"/>
      <c r="E440" s="190"/>
      <c r="F440" s="81"/>
      <c r="G440" s="22"/>
      <c r="H440" s="22"/>
      <c r="I440" s="22"/>
      <c r="N440" s="124"/>
    </row>
    <row r="441" spans="1:14" ht="19.5" customHeight="1">
      <c r="A441" s="20"/>
      <c r="B441" s="21"/>
      <c r="C441" s="22"/>
      <c r="D441" s="189"/>
      <c r="E441" s="190"/>
      <c r="F441" s="81"/>
      <c r="G441" s="22"/>
      <c r="H441" s="22"/>
      <c r="I441" s="22"/>
      <c r="N441" s="124"/>
    </row>
    <row r="442" spans="1:14" ht="19.5" customHeight="1">
      <c r="A442" s="20"/>
      <c r="B442" s="21"/>
      <c r="C442" s="22"/>
      <c r="D442" s="189"/>
      <c r="E442" s="190"/>
      <c r="F442" s="81"/>
      <c r="G442" s="22"/>
      <c r="H442" s="22"/>
      <c r="I442" s="22"/>
      <c r="N442" s="124"/>
    </row>
    <row r="443" spans="1:14" ht="19.5" customHeight="1">
      <c r="A443" s="20"/>
      <c r="B443" s="21"/>
      <c r="C443" s="22"/>
      <c r="D443" s="189"/>
      <c r="E443" s="190"/>
      <c r="F443" s="81"/>
      <c r="G443" s="22"/>
      <c r="H443" s="22"/>
      <c r="I443" s="22"/>
      <c r="N443" s="124"/>
    </row>
    <row r="444" spans="1:14" ht="19.5" customHeight="1">
      <c r="A444" s="20"/>
      <c r="B444" s="21"/>
      <c r="C444" s="22"/>
      <c r="D444" s="189"/>
      <c r="E444" s="190"/>
      <c r="F444" s="81"/>
      <c r="G444" s="22"/>
      <c r="H444" s="22"/>
      <c r="I444" s="22"/>
      <c r="N444" s="124"/>
    </row>
    <row r="445" spans="1:14" ht="19.5" customHeight="1">
      <c r="A445" s="20"/>
      <c r="B445" s="21"/>
      <c r="C445" s="22"/>
      <c r="D445" s="189"/>
      <c r="E445" s="190"/>
      <c r="F445" s="81"/>
      <c r="G445" s="22"/>
      <c r="H445" s="22"/>
      <c r="I445" s="22"/>
      <c r="N445" s="124"/>
    </row>
    <row r="446" spans="1:14" ht="19.5" customHeight="1">
      <c r="A446" s="20"/>
      <c r="B446" s="21"/>
      <c r="C446" s="22"/>
      <c r="D446" s="189"/>
      <c r="E446" s="190"/>
      <c r="F446" s="81"/>
      <c r="G446" s="22"/>
      <c r="H446" s="22"/>
      <c r="I446" s="22"/>
      <c r="N446" s="124"/>
    </row>
    <row r="447" spans="1:14" ht="19.5" customHeight="1">
      <c r="A447" s="20"/>
      <c r="B447" s="21"/>
      <c r="C447" s="22"/>
      <c r="D447" s="189"/>
      <c r="E447" s="190"/>
      <c r="F447" s="81"/>
      <c r="G447" s="22"/>
      <c r="H447" s="22"/>
      <c r="I447" s="22"/>
      <c r="N447" s="124"/>
    </row>
    <row r="448" spans="1:14" ht="19.5" customHeight="1">
      <c r="A448" s="20"/>
      <c r="B448" s="21"/>
      <c r="C448" s="22"/>
      <c r="D448" s="189"/>
      <c r="E448" s="190"/>
      <c r="F448" s="81"/>
      <c r="G448" s="22"/>
      <c r="H448" s="22"/>
      <c r="I448" s="22"/>
      <c r="N448" s="124"/>
    </row>
    <row r="449" spans="1:14" ht="19.5" customHeight="1">
      <c r="A449" s="20"/>
      <c r="B449" s="21"/>
      <c r="C449" s="22"/>
      <c r="D449" s="189"/>
      <c r="E449" s="190"/>
      <c r="F449" s="81"/>
      <c r="G449" s="22"/>
      <c r="H449" s="22"/>
      <c r="I449" s="22"/>
      <c r="N449" s="124"/>
    </row>
    <row r="450" spans="1:14" ht="19.5" customHeight="1">
      <c r="A450" s="20"/>
      <c r="B450" s="21"/>
      <c r="C450" s="22"/>
      <c r="D450" s="189"/>
      <c r="E450" s="190"/>
      <c r="F450" s="81"/>
      <c r="G450" s="22"/>
      <c r="H450" s="22"/>
      <c r="I450" s="22"/>
      <c r="N450" s="124"/>
    </row>
    <row r="451" spans="1:14" ht="19.5" customHeight="1">
      <c r="A451" s="20"/>
      <c r="B451" s="21"/>
      <c r="C451" s="22"/>
      <c r="D451" s="189"/>
      <c r="E451" s="190"/>
      <c r="F451" s="81"/>
      <c r="G451" s="22"/>
      <c r="H451" s="22"/>
      <c r="I451" s="22"/>
      <c r="N451" s="124"/>
    </row>
    <row r="452" spans="1:14" ht="19.5" customHeight="1">
      <c r="A452" s="20"/>
      <c r="B452" s="21"/>
      <c r="C452" s="22"/>
      <c r="D452" s="189"/>
      <c r="E452" s="190"/>
      <c r="F452" s="81"/>
      <c r="G452" s="22"/>
      <c r="H452" s="22"/>
      <c r="I452" s="22"/>
      <c r="N452" s="124"/>
    </row>
    <row r="453" spans="1:14" ht="19.5" customHeight="1">
      <c r="A453" s="20"/>
      <c r="B453" s="21"/>
      <c r="C453" s="22"/>
      <c r="D453" s="189"/>
      <c r="E453" s="190"/>
      <c r="F453" s="81"/>
      <c r="G453" s="22"/>
      <c r="H453" s="22"/>
      <c r="I453" s="22"/>
      <c r="N453" s="124"/>
    </row>
    <row r="454" spans="1:14" ht="19.5" customHeight="1">
      <c r="A454" s="20"/>
      <c r="B454" s="21"/>
      <c r="C454" s="22"/>
      <c r="D454" s="189"/>
      <c r="E454" s="190"/>
      <c r="F454" s="81"/>
      <c r="G454" s="22"/>
      <c r="H454" s="22"/>
      <c r="I454" s="22"/>
      <c r="N454" s="124"/>
    </row>
    <row r="455" spans="1:14" ht="19.5" customHeight="1">
      <c r="A455" s="20"/>
      <c r="B455" s="21"/>
      <c r="C455" s="22"/>
      <c r="D455" s="189"/>
      <c r="E455" s="190"/>
      <c r="F455" s="81"/>
      <c r="G455" s="22"/>
      <c r="H455" s="22"/>
      <c r="I455" s="22"/>
      <c r="N455" s="124"/>
    </row>
    <row r="456" spans="1:14" ht="19.5" customHeight="1">
      <c r="A456" s="20"/>
      <c r="B456" s="21"/>
      <c r="C456" s="22"/>
      <c r="D456" s="189"/>
      <c r="E456" s="190"/>
      <c r="F456" s="81"/>
      <c r="G456" s="22"/>
      <c r="H456" s="22"/>
      <c r="I456" s="22"/>
      <c r="N456" s="124"/>
    </row>
    <row r="457" spans="1:14" ht="19.5" customHeight="1">
      <c r="A457" s="20"/>
      <c r="B457" s="21"/>
      <c r="C457" s="22"/>
      <c r="D457" s="189"/>
      <c r="E457" s="190"/>
      <c r="F457" s="81"/>
      <c r="G457" s="22"/>
      <c r="H457" s="22"/>
      <c r="I457" s="22"/>
      <c r="N457" s="124"/>
    </row>
    <row r="458" spans="1:14" ht="19.5" customHeight="1">
      <c r="A458" s="20"/>
      <c r="B458" s="21"/>
      <c r="C458" s="22"/>
      <c r="D458" s="189"/>
      <c r="E458" s="190"/>
      <c r="F458" s="81"/>
      <c r="G458" s="22"/>
      <c r="H458" s="22"/>
      <c r="I458" s="22"/>
      <c r="N458" s="124"/>
    </row>
    <row r="459" spans="1:14" ht="19.5" customHeight="1">
      <c r="A459" s="20"/>
      <c r="B459" s="21"/>
      <c r="C459" s="22"/>
      <c r="D459" s="189"/>
      <c r="E459" s="190"/>
      <c r="F459" s="81"/>
      <c r="G459" s="22"/>
      <c r="H459" s="22"/>
      <c r="I459" s="22"/>
      <c r="N459" s="124"/>
    </row>
    <row r="460" spans="1:14" ht="19.5" customHeight="1">
      <c r="A460" s="20"/>
      <c r="B460" s="21"/>
      <c r="C460" s="22"/>
      <c r="D460" s="189"/>
      <c r="E460" s="190"/>
      <c r="F460" s="81"/>
      <c r="G460" s="22"/>
      <c r="H460" s="22"/>
      <c r="I460" s="22"/>
      <c r="N460" s="124"/>
    </row>
    <row r="461" spans="1:14" ht="19.5" customHeight="1">
      <c r="A461" s="20"/>
      <c r="B461" s="21"/>
      <c r="C461" s="22"/>
      <c r="D461" s="189"/>
      <c r="E461" s="190"/>
      <c r="F461" s="81"/>
      <c r="G461" s="22"/>
      <c r="H461" s="22"/>
      <c r="I461" s="22"/>
      <c r="N461" s="124"/>
    </row>
    <row r="462" spans="1:14" ht="19.5" customHeight="1">
      <c r="A462" s="20"/>
      <c r="B462" s="21"/>
      <c r="C462" s="22"/>
      <c r="D462" s="189"/>
      <c r="E462" s="190"/>
      <c r="F462" s="81"/>
      <c r="G462" s="22"/>
      <c r="H462" s="22"/>
      <c r="I462" s="22"/>
      <c r="N462" s="124"/>
    </row>
    <row r="463" spans="1:14" ht="19.5" customHeight="1">
      <c r="A463" s="20"/>
      <c r="B463" s="21"/>
      <c r="C463" s="22"/>
      <c r="D463" s="189"/>
      <c r="E463" s="190"/>
      <c r="F463" s="81"/>
      <c r="G463" s="22"/>
      <c r="H463" s="22"/>
      <c r="I463" s="22"/>
      <c r="N463" s="124"/>
    </row>
    <row r="464" spans="1:14" ht="19.5" customHeight="1">
      <c r="A464" s="20"/>
      <c r="B464" s="21"/>
      <c r="C464" s="22"/>
      <c r="D464" s="189"/>
      <c r="E464" s="190"/>
      <c r="F464" s="81"/>
      <c r="G464" s="22"/>
      <c r="H464" s="22"/>
      <c r="I464" s="22"/>
      <c r="N464" s="124"/>
    </row>
    <row r="465" spans="1:14" ht="19.5" customHeight="1">
      <c r="A465" s="20"/>
      <c r="B465" s="21"/>
      <c r="C465" s="22"/>
      <c r="D465" s="189"/>
      <c r="E465" s="190"/>
      <c r="F465" s="81"/>
      <c r="G465" s="22"/>
      <c r="H465" s="22"/>
      <c r="I465" s="22"/>
      <c r="N465" s="124"/>
    </row>
    <row r="466" spans="1:14" ht="19.5" customHeight="1">
      <c r="A466" s="20"/>
      <c r="B466" s="21"/>
      <c r="C466" s="22"/>
      <c r="D466" s="189"/>
      <c r="E466" s="190"/>
      <c r="F466" s="81"/>
      <c r="G466" s="22"/>
      <c r="H466" s="22"/>
      <c r="I466" s="22"/>
      <c r="N466" s="124"/>
    </row>
    <row r="467" spans="1:14" ht="19.5" customHeight="1">
      <c r="A467" s="20"/>
      <c r="B467" s="21"/>
      <c r="C467" s="22"/>
      <c r="D467" s="189"/>
      <c r="E467" s="190"/>
      <c r="F467" s="81"/>
      <c r="G467" s="22"/>
      <c r="H467" s="22"/>
      <c r="I467" s="22"/>
      <c r="N467" s="124"/>
    </row>
    <row r="468" spans="1:14" ht="19.5" customHeight="1">
      <c r="A468" s="20"/>
      <c r="B468" s="21"/>
      <c r="C468" s="22"/>
      <c r="D468" s="189"/>
      <c r="E468" s="190"/>
      <c r="F468" s="81"/>
      <c r="G468" s="22"/>
      <c r="H468" s="22"/>
      <c r="I468" s="22"/>
      <c r="N468" s="124"/>
    </row>
    <row r="469" spans="1:14" ht="19.5" customHeight="1">
      <c r="A469" s="20"/>
      <c r="B469" s="21"/>
      <c r="C469" s="22"/>
      <c r="D469" s="189"/>
      <c r="E469" s="190"/>
      <c r="F469" s="81"/>
      <c r="G469" s="22"/>
      <c r="H469" s="22"/>
      <c r="I469" s="22"/>
      <c r="N469" s="124"/>
    </row>
    <row r="470" spans="1:14" ht="19.5" customHeight="1">
      <c r="A470" s="20"/>
      <c r="B470" s="21"/>
      <c r="C470" s="22"/>
      <c r="D470" s="189"/>
      <c r="E470" s="190"/>
      <c r="F470" s="81"/>
      <c r="G470" s="22"/>
      <c r="H470" s="22"/>
      <c r="I470" s="22"/>
      <c r="N470" s="124"/>
    </row>
    <row r="471" spans="1:14" ht="19.5" customHeight="1">
      <c r="A471" s="20"/>
      <c r="B471" s="21"/>
      <c r="C471" s="22"/>
      <c r="D471" s="189"/>
      <c r="E471" s="190"/>
      <c r="F471" s="81"/>
      <c r="G471" s="22"/>
      <c r="H471" s="22"/>
      <c r="I471" s="22"/>
      <c r="N471" s="124"/>
    </row>
    <row r="472" spans="1:14" ht="19.5" customHeight="1">
      <c r="A472" s="20"/>
      <c r="B472" s="21"/>
      <c r="C472" s="22"/>
      <c r="D472" s="189"/>
      <c r="E472" s="190"/>
      <c r="F472" s="81"/>
      <c r="G472" s="22"/>
      <c r="H472" s="22"/>
      <c r="I472" s="22"/>
      <c r="N472" s="124"/>
    </row>
    <row r="473" spans="1:14" ht="19.5" customHeight="1">
      <c r="A473" s="20"/>
      <c r="B473" s="21"/>
      <c r="C473" s="22"/>
      <c r="D473" s="189"/>
      <c r="E473" s="190"/>
      <c r="F473" s="81"/>
      <c r="G473" s="22"/>
      <c r="H473" s="22"/>
      <c r="I473" s="22"/>
      <c r="N473" s="124"/>
    </row>
    <row r="474" spans="1:14" ht="19.5" customHeight="1">
      <c r="A474" s="20"/>
      <c r="B474" s="21"/>
      <c r="C474" s="22"/>
      <c r="D474" s="189"/>
      <c r="E474" s="190"/>
      <c r="F474" s="81"/>
      <c r="G474" s="22"/>
      <c r="H474" s="22"/>
      <c r="I474" s="22"/>
      <c r="N474" s="124"/>
    </row>
    <row r="475" spans="1:14" ht="19.5" customHeight="1">
      <c r="A475" s="20"/>
      <c r="B475" s="21"/>
      <c r="C475" s="22"/>
      <c r="D475" s="189"/>
      <c r="E475" s="190"/>
      <c r="F475" s="81"/>
      <c r="G475" s="22"/>
      <c r="H475" s="22"/>
      <c r="I475" s="22"/>
      <c r="N475" s="124"/>
    </row>
    <row r="476" spans="1:14" ht="19.5" customHeight="1">
      <c r="A476" s="20"/>
      <c r="B476" s="21"/>
      <c r="C476" s="22"/>
      <c r="D476" s="189"/>
      <c r="E476" s="190"/>
      <c r="F476" s="81"/>
      <c r="G476" s="22"/>
      <c r="H476" s="22"/>
      <c r="I476" s="22"/>
      <c r="N476" s="124"/>
    </row>
    <row r="477" spans="1:14" ht="19.5" customHeight="1">
      <c r="A477" s="20"/>
      <c r="B477" s="21"/>
      <c r="C477" s="22"/>
      <c r="D477" s="189"/>
      <c r="E477" s="190"/>
      <c r="F477" s="81"/>
      <c r="G477" s="22"/>
      <c r="H477" s="22"/>
      <c r="I477" s="22"/>
      <c r="N477" s="124"/>
    </row>
    <row r="478" spans="1:14" ht="19.5" customHeight="1">
      <c r="A478" s="20"/>
      <c r="B478" s="21"/>
      <c r="C478" s="22"/>
      <c r="D478" s="189"/>
      <c r="E478" s="190"/>
      <c r="F478" s="81"/>
      <c r="G478" s="22"/>
      <c r="H478" s="22"/>
      <c r="I478" s="22"/>
      <c r="N478" s="124"/>
    </row>
    <row r="479" spans="1:14" ht="19.5" customHeight="1">
      <c r="A479" s="20"/>
      <c r="B479" s="21"/>
      <c r="C479" s="22"/>
      <c r="D479" s="189"/>
      <c r="E479" s="190"/>
      <c r="F479" s="81"/>
      <c r="G479" s="22"/>
      <c r="H479" s="22"/>
      <c r="I479" s="22"/>
      <c r="N479" s="124"/>
    </row>
    <row r="480" spans="1:14" ht="19.5" customHeight="1">
      <c r="A480" s="20"/>
      <c r="B480" s="21"/>
      <c r="C480" s="22"/>
      <c r="D480" s="189"/>
      <c r="E480" s="190"/>
      <c r="F480" s="81"/>
      <c r="G480" s="22"/>
      <c r="H480" s="22"/>
      <c r="I480" s="22"/>
      <c r="N480" s="124"/>
    </row>
    <row r="481" spans="1:14" ht="19.5" customHeight="1">
      <c r="A481" s="20"/>
      <c r="B481" s="21"/>
      <c r="C481" s="22"/>
      <c r="D481" s="189"/>
      <c r="E481" s="190"/>
      <c r="F481" s="81"/>
      <c r="G481" s="22"/>
      <c r="H481" s="22"/>
      <c r="I481" s="22"/>
      <c r="N481" s="124"/>
    </row>
    <row r="482" spans="1:14" ht="19.5" customHeight="1">
      <c r="A482" s="20"/>
      <c r="B482" s="21"/>
      <c r="C482" s="22"/>
      <c r="D482" s="189"/>
      <c r="E482" s="190"/>
      <c r="F482" s="81"/>
      <c r="G482" s="22"/>
      <c r="H482" s="22"/>
      <c r="I482" s="22"/>
      <c r="N482" s="124"/>
    </row>
    <row r="483" spans="1:14" ht="19.5" customHeight="1">
      <c r="A483" s="20"/>
      <c r="B483" s="21"/>
      <c r="C483" s="22"/>
      <c r="D483" s="189"/>
      <c r="E483" s="190"/>
      <c r="F483" s="81"/>
      <c r="G483" s="22"/>
      <c r="H483" s="22"/>
      <c r="I483" s="22"/>
      <c r="N483" s="124"/>
    </row>
    <row r="484" spans="1:14" ht="19.5" customHeight="1">
      <c r="A484" s="20"/>
      <c r="B484" s="21"/>
      <c r="C484" s="22"/>
      <c r="D484" s="189"/>
      <c r="E484" s="190"/>
      <c r="F484" s="81"/>
      <c r="G484" s="22"/>
      <c r="H484" s="22"/>
      <c r="I484" s="22"/>
      <c r="N484" s="124"/>
    </row>
    <row r="485" spans="1:14" ht="19.5" customHeight="1">
      <c r="A485" s="20"/>
      <c r="B485" s="21"/>
      <c r="C485" s="22"/>
      <c r="D485" s="189"/>
      <c r="E485" s="190"/>
      <c r="F485" s="81"/>
      <c r="G485" s="22"/>
      <c r="H485" s="22"/>
      <c r="I485" s="22"/>
      <c r="N485" s="124"/>
    </row>
    <row r="486" spans="1:14" ht="19.5" customHeight="1">
      <c r="A486" s="20"/>
      <c r="B486" s="21"/>
      <c r="C486" s="22"/>
      <c r="D486" s="189"/>
      <c r="E486" s="190"/>
      <c r="F486" s="81"/>
      <c r="G486" s="22"/>
      <c r="H486" s="22"/>
      <c r="I486" s="22"/>
      <c r="N486" s="124"/>
    </row>
    <row r="487" spans="1:14" ht="19.5" customHeight="1">
      <c r="A487" s="20"/>
      <c r="B487" s="21"/>
      <c r="C487" s="22"/>
      <c r="D487" s="189"/>
      <c r="E487" s="190"/>
      <c r="F487" s="81"/>
      <c r="G487" s="22"/>
      <c r="H487" s="22"/>
      <c r="I487" s="22"/>
      <c r="N487" s="124"/>
    </row>
    <row r="488" spans="1:14" ht="19.5" customHeight="1">
      <c r="A488" s="20"/>
      <c r="B488" s="21"/>
      <c r="C488" s="22"/>
      <c r="D488" s="189"/>
      <c r="E488" s="190"/>
      <c r="F488" s="81"/>
      <c r="G488" s="22"/>
      <c r="H488" s="22"/>
      <c r="I488" s="22"/>
      <c r="N488" s="124"/>
    </row>
    <row r="489" spans="1:14" ht="19.5" customHeight="1">
      <c r="A489" s="20"/>
      <c r="B489" s="21"/>
      <c r="C489" s="22"/>
      <c r="D489" s="189"/>
      <c r="E489" s="190"/>
      <c r="F489" s="81"/>
      <c r="G489" s="22"/>
      <c r="H489" s="22"/>
      <c r="I489" s="22"/>
      <c r="N489" s="124"/>
    </row>
    <row r="490" spans="1:14" ht="19.5" customHeight="1">
      <c r="A490" s="20"/>
      <c r="B490" s="21"/>
      <c r="C490" s="22"/>
      <c r="D490" s="189"/>
      <c r="E490" s="190"/>
      <c r="F490" s="81"/>
      <c r="G490" s="22"/>
      <c r="H490" s="22"/>
      <c r="I490" s="22"/>
      <c r="N490" s="124"/>
    </row>
    <row r="491" spans="1:14" ht="19.5" customHeight="1">
      <c r="A491" s="20"/>
      <c r="B491" s="21"/>
      <c r="C491" s="22"/>
      <c r="D491" s="189"/>
      <c r="E491" s="190"/>
      <c r="F491" s="81"/>
      <c r="G491" s="22"/>
      <c r="H491" s="22"/>
      <c r="I491" s="22"/>
      <c r="N491" s="124"/>
    </row>
    <row r="492" spans="1:14" ht="19.5" customHeight="1">
      <c r="A492" s="20"/>
      <c r="B492" s="21"/>
      <c r="C492" s="22"/>
      <c r="D492" s="189"/>
      <c r="E492" s="190"/>
      <c r="F492" s="81"/>
      <c r="G492" s="22"/>
      <c r="H492" s="22"/>
      <c r="I492" s="22"/>
      <c r="N492" s="124"/>
    </row>
    <row r="493" spans="1:14" ht="19.5" customHeight="1">
      <c r="A493" s="20"/>
      <c r="B493" s="21"/>
      <c r="C493" s="22"/>
      <c r="D493" s="189"/>
      <c r="E493" s="190"/>
      <c r="F493" s="81"/>
      <c r="G493" s="22"/>
      <c r="H493" s="22"/>
      <c r="I493" s="22"/>
      <c r="N493" s="124"/>
    </row>
    <row r="494" spans="1:14" ht="19.5" customHeight="1">
      <c r="A494" s="20"/>
      <c r="B494" s="21"/>
      <c r="C494" s="22"/>
      <c r="D494" s="189"/>
      <c r="E494" s="190"/>
      <c r="F494" s="81"/>
      <c r="G494" s="22"/>
      <c r="H494" s="22"/>
      <c r="I494" s="22"/>
      <c r="N494" s="124"/>
    </row>
    <row r="495" spans="1:14" ht="19.5" customHeight="1">
      <c r="A495" s="20"/>
      <c r="B495" s="21"/>
      <c r="C495" s="22"/>
      <c r="D495" s="189"/>
      <c r="E495" s="190"/>
      <c r="F495" s="81"/>
      <c r="G495" s="22"/>
      <c r="H495" s="22"/>
      <c r="I495" s="22"/>
      <c r="N495" s="124"/>
    </row>
    <row r="496" spans="1:14" ht="19.5" customHeight="1">
      <c r="A496" s="20"/>
      <c r="B496" s="21"/>
      <c r="C496" s="22"/>
      <c r="D496" s="189"/>
      <c r="E496" s="190"/>
      <c r="F496" s="81"/>
      <c r="G496" s="22"/>
      <c r="H496" s="22"/>
      <c r="I496" s="22"/>
      <c r="N496" s="124"/>
    </row>
    <row r="497" spans="1:14" ht="19.5" customHeight="1">
      <c r="A497" s="20"/>
      <c r="B497" s="21"/>
      <c r="C497" s="22"/>
      <c r="D497" s="189"/>
      <c r="E497" s="190"/>
      <c r="F497" s="81"/>
      <c r="G497" s="22"/>
      <c r="H497" s="22"/>
      <c r="I497" s="22"/>
      <c r="N497" s="124"/>
    </row>
    <row r="498" spans="1:14" ht="19.5" customHeight="1">
      <c r="A498" s="20"/>
      <c r="B498" s="21"/>
      <c r="C498" s="22"/>
      <c r="D498" s="189"/>
      <c r="E498" s="190"/>
      <c r="F498" s="81"/>
      <c r="G498" s="22"/>
      <c r="H498" s="22"/>
      <c r="I498" s="22"/>
      <c r="N498" s="124"/>
    </row>
    <row r="499" spans="1:14" ht="19.5" customHeight="1">
      <c r="A499" s="20"/>
      <c r="B499" s="21"/>
      <c r="C499" s="22"/>
      <c r="D499" s="189"/>
      <c r="E499" s="190"/>
      <c r="F499" s="81"/>
      <c r="G499" s="22"/>
      <c r="H499" s="22"/>
      <c r="I499" s="22"/>
      <c r="N499" s="124"/>
    </row>
    <row r="500" spans="1:14" ht="19.5" customHeight="1">
      <c r="A500" s="20"/>
      <c r="B500" s="21"/>
      <c r="C500" s="22"/>
      <c r="D500" s="189"/>
      <c r="E500" s="190"/>
      <c r="F500" s="81"/>
      <c r="G500" s="22"/>
      <c r="H500" s="22"/>
      <c r="I500" s="22"/>
      <c r="N500" s="124"/>
    </row>
    <row r="501" spans="1:14" ht="19.5" customHeight="1">
      <c r="A501" s="20"/>
      <c r="B501" s="21"/>
      <c r="C501" s="22"/>
      <c r="D501" s="189"/>
      <c r="E501" s="190"/>
      <c r="F501" s="81"/>
      <c r="G501" s="22"/>
      <c r="H501" s="22"/>
      <c r="I501" s="22"/>
      <c r="N501" s="124"/>
    </row>
    <row r="502" spans="1:14" ht="19.5" customHeight="1">
      <c r="A502" s="20"/>
      <c r="B502" s="21"/>
      <c r="C502" s="22"/>
      <c r="D502" s="189"/>
      <c r="E502" s="190"/>
      <c r="F502" s="81"/>
      <c r="G502" s="22"/>
      <c r="H502" s="22"/>
      <c r="I502" s="22"/>
      <c r="N502" s="124"/>
    </row>
    <row r="503" spans="1:14" ht="19.5" customHeight="1">
      <c r="A503" s="20"/>
      <c r="B503" s="21"/>
      <c r="C503" s="22"/>
      <c r="D503" s="189"/>
      <c r="E503" s="190"/>
      <c r="F503" s="81"/>
      <c r="G503" s="22"/>
      <c r="H503" s="22"/>
      <c r="I503" s="22"/>
      <c r="N503" s="124"/>
    </row>
    <row r="504" spans="1:14" ht="19.5" customHeight="1">
      <c r="A504" s="20"/>
      <c r="B504" s="21"/>
      <c r="C504" s="22"/>
      <c r="D504" s="189"/>
      <c r="E504" s="190"/>
      <c r="F504" s="81"/>
      <c r="G504" s="22"/>
      <c r="H504" s="22"/>
      <c r="I504" s="22"/>
      <c r="N504" s="124"/>
    </row>
    <row r="505" spans="1:14" ht="19.5" customHeight="1">
      <c r="A505" s="20"/>
      <c r="B505" s="21"/>
      <c r="C505" s="22"/>
      <c r="D505" s="189"/>
      <c r="E505" s="190"/>
      <c r="F505" s="81"/>
      <c r="G505" s="22"/>
      <c r="H505" s="22"/>
      <c r="I505" s="22"/>
      <c r="N505" s="124"/>
    </row>
    <row r="506" spans="1:14" ht="19.5" customHeight="1">
      <c r="A506" s="20"/>
      <c r="B506" s="21"/>
      <c r="C506" s="22"/>
      <c r="D506" s="189"/>
      <c r="E506" s="190"/>
      <c r="F506" s="81"/>
      <c r="G506" s="22"/>
      <c r="H506" s="22"/>
      <c r="I506" s="22"/>
      <c r="N506" s="124"/>
    </row>
    <row r="507" spans="1:14" ht="19.5" customHeight="1">
      <c r="A507" s="20"/>
      <c r="B507" s="21"/>
      <c r="C507" s="22"/>
      <c r="D507" s="189"/>
      <c r="E507" s="190"/>
      <c r="F507" s="81"/>
      <c r="G507" s="22"/>
      <c r="H507" s="22"/>
      <c r="I507" s="22"/>
      <c r="N507" s="124"/>
    </row>
    <row r="508" spans="1:14" ht="19.5" customHeight="1">
      <c r="A508" s="20"/>
      <c r="B508" s="21"/>
      <c r="C508" s="22"/>
      <c r="D508" s="189"/>
      <c r="E508" s="190"/>
      <c r="F508" s="81"/>
      <c r="G508" s="22"/>
      <c r="H508" s="22"/>
      <c r="I508" s="22"/>
      <c r="N508" s="124"/>
    </row>
    <row r="509" spans="1:14" ht="19.5" customHeight="1">
      <c r="A509" s="20"/>
      <c r="B509" s="21"/>
      <c r="C509" s="22"/>
      <c r="D509" s="189"/>
      <c r="E509" s="190"/>
      <c r="F509" s="81"/>
      <c r="G509" s="22"/>
      <c r="H509" s="22"/>
      <c r="I509" s="22"/>
      <c r="N509" s="124"/>
    </row>
    <row r="510" spans="1:14" ht="19.5" customHeight="1">
      <c r="A510" s="20"/>
      <c r="B510" s="21"/>
      <c r="C510" s="22"/>
      <c r="D510" s="189"/>
      <c r="E510" s="190"/>
      <c r="F510" s="81"/>
      <c r="G510" s="22"/>
      <c r="H510" s="22"/>
      <c r="I510" s="22"/>
      <c r="N510" s="124"/>
    </row>
    <row r="511" spans="1:14" ht="19.5" customHeight="1">
      <c r="A511" s="20"/>
      <c r="B511" s="21"/>
      <c r="C511" s="22"/>
      <c r="D511" s="189"/>
      <c r="E511" s="190"/>
      <c r="F511" s="81"/>
      <c r="G511" s="22"/>
      <c r="H511" s="22"/>
      <c r="I511" s="22"/>
      <c r="N511" s="124"/>
    </row>
    <row r="512" spans="1:14" ht="19.5" customHeight="1">
      <c r="A512" s="20"/>
      <c r="B512" s="21"/>
      <c r="C512" s="22"/>
      <c r="D512" s="189"/>
      <c r="E512" s="190"/>
      <c r="F512" s="81"/>
      <c r="G512" s="22"/>
      <c r="H512" s="22"/>
      <c r="I512" s="22"/>
      <c r="N512" s="124"/>
    </row>
    <row r="513" spans="1:14" ht="19.5" customHeight="1">
      <c r="A513" s="20"/>
      <c r="B513" s="21"/>
      <c r="C513" s="22"/>
      <c r="D513" s="189"/>
      <c r="E513" s="190"/>
      <c r="F513" s="81"/>
      <c r="G513" s="22"/>
      <c r="H513" s="22"/>
      <c r="I513" s="22"/>
      <c r="N513" s="124"/>
    </row>
    <row r="514" spans="1:14" ht="19.5" customHeight="1">
      <c r="A514" s="20"/>
      <c r="B514" s="21"/>
      <c r="C514" s="22"/>
      <c r="D514" s="189"/>
      <c r="E514" s="190"/>
      <c r="F514" s="81"/>
      <c r="G514" s="22"/>
      <c r="H514" s="22"/>
      <c r="I514" s="22"/>
      <c r="N514" s="124"/>
    </row>
    <row r="515" spans="1:14" ht="19.5" customHeight="1">
      <c r="A515" s="20"/>
      <c r="B515" s="21"/>
      <c r="C515" s="22"/>
      <c r="D515" s="189"/>
      <c r="E515" s="190"/>
      <c r="F515" s="81"/>
      <c r="G515" s="22"/>
      <c r="H515" s="22"/>
      <c r="I515" s="22"/>
      <c r="N515" s="124"/>
    </row>
    <row r="516" spans="1:14" ht="19.5" customHeight="1">
      <c r="A516" s="20"/>
      <c r="B516" s="21"/>
      <c r="C516" s="22"/>
      <c r="D516" s="189"/>
      <c r="E516" s="190"/>
      <c r="F516" s="81"/>
      <c r="G516" s="22"/>
      <c r="H516" s="22"/>
      <c r="I516" s="22"/>
      <c r="N516" s="124"/>
    </row>
    <row r="517" spans="1:14" ht="19.5" customHeight="1">
      <c r="A517" s="20"/>
      <c r="B517" s="21"/>
      <c r="C517" s="22"/>
      <c r="D517" s="189"/>
      <c r="E517" s="190"/>
      <c r="F517" s="81"/>
      <c r="G517" s="22"/>
      <c r="H517" s="22"/>
      <c r="I517" s="22"/>
      <c r="N517" s="124"/>
    </row>
    <row r="518" spans="1:14" ht="19.5" customHeight="1">
      <c r="A518" s="20"/>
      <c r="B518" s="21"/>
      <c r="C518" s="22"/>
      <c r="D518" s="189"/>
      <c r="E518" s="190"/>
      <c r="F518" s="81"/>
      <c r="G518" s="22"/>
      <c r="H518" s="22"/>
      <c r="I518" s="22"/>
      <c r="N518" s="124"/>
    </row>
    <row r="519" spans="1:14" ht="19.5" customHeight="1">
      <c r="A519" s="20"/>
      <c r="B519" s="21"/>
      <c r="C519" s="22"/>
      <c r="D519" s="189"/>
      <c r="E519" s="190"/>
      <c r="F519" s="81"/>
      <c r="G519" s="22"/>
      <c r="H519" s="22"/>
      <c r="I519" s="22"/>
      <c r="N519" s="124"/>
    </row>
    <row r="520" spans="1:14" ht="19.5" customHeight="1">
      <c r="A520" s="20"/>
      <c r="B520" s="21"/>
      <c r="C520" s="22"/>
      <c r="D520" s="189"/>
      <c r="E520" s="190"/>
      <c r="F520" s="81"/>
      <c r="G520" s="22"/>
      <c r="H520" s="22"/>
      <c r="I520" s="22"/>
      <c r="N520" s="124"/>
    </row>
    <row r="521" spans="1:14" ht="19.5" customHeight="1">
      <c r="A521" s="20"/>
      <c r="B521" s="21"/>
      <c r="C521" s="22"/>
      <c r="D521" s="189"/>
      <c r="E521" s="190"/>
      <c r="F521" s="81"/>
      <c r="G521" s="22"/>
      <c r="H521" s="22"/>
      <c r="I521" s="22"/>
      <c r="N521" s="124"/>
    </row>
    <row r="522" spans="1:14" ht="19.5" customHeight="1">
      <c r="A522" s="20"/>
      <c r="B522" s="21"/>
      <c r="C522" s="22"/>
      <c r="D522" s="189"/>
      <c r="E522" s="190"/>
      <c r="F522" s="81"/>
      <c r="G522" s="22"/>
      <c r="H522" s="22"/>
      <c r="I522" s="22"/>
      <c r="N522" s="124"/>
    </row>
    <row r="523" spans="1:14" ht="19.5" customHeight="1">
      <c r="A523" s="20"/>
      <c r="B523" s="21"/>
      <c r="C523" s="22"/>
      <c r="D523" s="189"/>
      <c r="E523" s="190"/>
      <c r="F523" s="81"/>
      <c r="G523" s="22"/>
      <c r="H523" s="22"/>
      <c r="I523" s="22"/>
      <c r="N523" s="124"/>
    </row>
    <row r="524" spans="1:14" ht="19.5" customHeight="1">
      <c r="A524" s="20"/>
      <c r="B524" s="21"/>
      <c r="C524" s="22"/>
      <c r="D524" s="189"/>
      <c r="E524" s="190"/>
      <c r="F524" s="81"/>
      <c r="G524" s="22"/>
      <c r="H524" s="22"/>
      <c r="I524" s="22"/>
      <c r="N524" s="124"/>
    </row>
    <row r="525" spans="1:14" ht="19.5" customHeight="1">
      <c r="A525" s="20"/>
      <c r="B525" s="21"/>
      <c r="C525" s="22"/>
      <c r="D525" s="189"/>
      <c r="E525" s="190"/>
      <c r="F525" s="81"/>
      <c r="G525" s="22"/>
      <c r="H525" s="22"/>
      <c r="I525" s="22"/>
      <c r="N525" s="124"/>
    </row>
    <row r="526" spans="1:14" ht="19.5" customHeight="1">
      <c r="A526" s="20"/>
      <c r="B526" s="21"/>
      <c r="C526" s="22"/>
      <c r="D526" s="189"/>
      <c r="E526" s="190"/>
      <c r="F526" s="81"/>
      <c r="G526" s="22"/>
      <c r="H526" s="22"/>
      <c r="I526" s="22"/>
      <c r="N526" s="124"/>
    </row>
    <row r="527" spans="1:14" ht="19.5" customHeight="1">
      <c r="A527" s="20"/>
      <c r="B527" s="21"/>
      <c r="C527" s="22"/>
      <c r="D527" s="189"/>
      <c r="E527" s="190"/>
      <c r="F527" s="81"/>
      <c r="G527" s="22"/>
      <c r="H527" s="22"/>
      <c r="I527" s="22"/>
      <c r="N527" s="124"/>
    </row>
    <row r="528" spans="1:14" ht="19.5" customHeight="1">
      <c r="A528" s="20"/>
      <c r="B528" s="21"/>
      <c r="C528" s="22"/>
      <c r="D528" s="189"/>
      <c r="E528" s="190"/>
      <c r="F528" s="81"/>
      <c r="G528" s="22"/>
      <c r="H528" s="22"/>
      <c r="I528" s="22"/>
      <c r="N528" s="124"/>
    </row>
    <row r="529" spans="1:14" ht="19.5" customHeight="1">
      <c r="A529" s="20"/>
      <c r="B529" s="21"/>
      <c r="C529" s="22"/>
      <c r="D529" s="189"/>
      <c r="E529" s="190"/>
      <c r="F529" s="81"/>
      <c r="G529" s="22"/>
      <c r="H529" s="22"/>
      <c r="I529" s="22"/>
      <c r="N529" s="124"/>
    </row>
    <row r="530" spans="1:14" ht="19.5" customHeight="1">
      <c r="A530" s="20"/>
      <c r="B530" s="21"/>
      <c r="C530" s="22"/>
      <c r="D530" s="189"/>
      <c r="E530" s="190"/>
      <c r="F530" s="81"/>
      <c r="G530" s="22"/>
      <c r="H530" s="22"/>
      <c r="I530" s="22"/>
      <c r="N530" s="124"/>
    </row>
    <row r="531" spans="1:14" ht="19.5" customHeight="1">
      <c r="A531" s="20"/>
      <c r="B531" s="21"/>
      <c r="C531" s="22"/>
      <c r="D531" s="189"/>
      <c r="E531" s="190"/>
      <c r="F531" s="81"/>
      <c r="G531" s="22"/>
      <c r="H531" s="22"/>
      <c r="I531" s="22"/>
      <c r="N531" s="124"/>
    </row>
    <row r="532" spans="1:14" ht="19.5" customHeight="1">
      <c r="A532" s="20"/>
      <c r="B532" s="21"/>
      <c r="C532" s="22"/>
      <c r="D532" s="189"/>
      <c r="E532" s="190"/>
      <c r="F532" s="81"/>
      <c r="G532" s="22"/>
      <c r="H532" s="22"/>
      <c r="I532" s="22"/>
      <c r="N532" s="124"/>
    </row>
    <row r="533" spans="1:14" ht="19.5" customHeight="1">
      <c r="A533" s="20"/>
      <c r="B533" s="21"/>
      <c r="C533" s="22"/>
      <c r="D533" s="189"/>
      <c r="E533" s="190"/>
      <c r="F533" s="81"/>
      <c r="G533" s="22"/>
      <c r="H533" s="22"/>
      <c r="I533" s="22"/>
      <c r="N533" s="124"/>
    </row>
    <row r="534" spans="1:14" ht="19.5" customHeight="1">
      <c r="A534" s="20"/>
      <c r="B534" s="21"/>
      <c r="C534" s="22"/>
      <c r="D534" s="189"/>
      <c r="E534" s="190"/>
      <c r="F534" s="81"/>
      <c r="G534" s="22"/>
      <c r="H534" s="22"/>
      <c r="I534" s="22"/>
      <c r="N534" s="124"/>
    </row>
    <row r="535" spans="1:14" ht="19.5" customHeight="1">
      <c r="A535" s="20"/>
      <c r="B535" s="21"/>
      <c r="C535" s="22"/>
      <c r="D535" s="189"/>
      <c r="E535" s="190"/>
      <c r="F535" s="81"/>
      <c r="G535" s="22"/>
      <c r="H535" s="22"/>
      <c r="I535" s="22"/>
      <c r="N535" s="124"/>
    </row>
    <row r="536" spans="1:14" ht="19.5" customHeight="1">
      <c r="A536" s="20"/>
      <c r="B536" s="21"/>
      <c r="C536" s="22"/>
      <c r="D536" s="189"/>
      <c r="E536" s="190"/>
      <c r="F536" s="81"/>
      <c r="G536" s="22"/>
      <c r="H536" s="22"/>
      <c r="I536" s="22"/>
      <c r="N536" s="124"/>
    </row>
    <row r="537" spans="1:14" ht="19.5" customHeight="1">
      <c r="A537" s="20"/>
      <c r="B537" s="21"/>
      <c r="C537" s="22"/>
      <c r="D537" s="189"/>
      <c r="E537" s="190"/>
      <c r="F537" s="81"/>
      <c r="G537" s="22"/>
      <c r="H537" s="22"/>
      <c r="I537" s="22"/>
      <c r="N537" s="124"/>
    </row>
    <row r="538" spans="1:14" ht="19.5" customHeight="1">
      <c r="A538" s="20"/>
      <c r="B538" s="21"/>
      <c r="C538" s="22"/>
      <c r="D538" s="189"/>
      <c r="E538" s="190"/>
      <c r="F538" s="81"/>
      <c r="G538" s="22"/>
      <c r="H538" s="22"/>
      <c r="I538" s="22"/>
      <c r="N538" s="124"/>
    </row>
    <row r="539" spans="1:14" ht="19.5" customHeight="1">
      <c r="A539" s="20"/>
      <c r="B539" s="21"/>
      <c r="C539" s="22"/>
      <c r="D539" s="189"/>
      <c r="E539" s="190"/>
      <c r="F539" s="81"/>
      <c r="G539" s="22"/>
      <c r="H539" s="22"/>
      <c r="I539" s="22"/>
      <c r="N539" s="124"/>
    </row>
    <row r="540" spans="1:14" ht="19.5" customHeight="1">
      <c r="A540" s="20"/>
      <c r="B540" s="21"/>
      <c r="C540" s="22"/>
      <c r="D540" s="189"/>
      <c r="E540" s="190"/>
      <c r="F540" s="81"/>
      <c r="G540" s="22"/>
      <c r="H540" s="22"/>
      <c r="I540" s="22"/>
      <c r="N540" s="124"/>
    </row>
    <row r="541" spans="1:14" ht="19.5" customHeight="1">
      <c r="A541" s="20"/>
      <c r="B541" s="21"/>
      <c r="C541" s="22"/>
      <c r="D541" s="189"/>
      <c r="E541" s="190"/>
      <c r="F541" s="81"/>
      <c r="G541" s="22"/>
      <c r="H541" s="22"/>
      <c r="I541" s="22"/>
      <c r="N541" s="124"/>
    </row>
    <row r="542" spans="1:14" ht="19.5" customHeight="1">
      <c r="A542" s="20"/>
      <c r="B542" s="21"/>
      <c r="C542" s="22"/>
      <c r="D542" s="189"/>
      <c r="E542" s="190"/>
      <c r="F542" s="81"/>
      <c r="G542" s="22"/>
      <c r="H542" s="22"/>
      <c r="I542" s="22"/>
      <c r="N542" s="124"/>
    </row>
    <row r="543" spans="1:14" ht="19.5" customHeight="1">
      <c r="A543" s="20"/>
      <c r="B543" s="21"/>
      <c r="C543" s="22"/>
      <c r="D543" s="189"/>
      <c r="E543" s="190"/>
      <c r="F543" s="81"/>
      <c r="G543" s="22"/>
      <c r="H543" s="22"/>
      <c r="I543" s="22"/>
      <c r="N543" s="124"/>
    </row>
    <row r="544" spans="1:14" ht="19.5" customHeight="1">
      <c r="A544" s="20"/>
      <c r="B544" s="21"/>
      <c r="C544" s="22"/>
      <c r="D544" s="189"/>
      <c r="E544" s="190"/>
      <c r="F544" s="81"/>
      <c r="G544" s="22"/>
      <c r="H544" s="22"/>
      <c r="I544" s="22"/>
      <c r="N544" s="124"/>
    </row>
    <row r="545" spans="1:14" ht="19.5" customHeight="1">
      <c r="A545" s="20"/>
      <c r="B545" s="21"/>
      <c r="C545" s="22"/>
      <c r="D545" s="189"/>
      <c r="E545" s="190"/>
      <c r="F545" s="81"/>
      <c r="G545" s="22"/>
      <c r="H545" s="22"/>
      <c r="I545" s="22"/>
      <c r="N545" s="124"/>
    </row>
    <row r="546" spans="1:14" ht="19.5" customHeight="1">
      <c r="A546" s="20"/>
      <c r="B546" s="21"/>
      <c r="C546" s="22"/>
      <c r="D546" s="189"/>
      <c r="E546" s="190"/>
      <c r="F546" s="81"/>
      <c r="G546" s="22"/>
      <c r="H546" s="22"/>
      <c r="I546" s="22"/>
      <c r="N546" s="124"/>
    </row>
    <row r="547" spans="1:14" ht="19.5" customHeight="1">
      <c r="A547" s="20"/>
      <c r="B547" s="21"/>
      <c r="C547" s="22"/>
      <c r="D547" s="189"/>
      <c r="E547" s="190"/>
      <c r="F547" s="81"/>
      <c r="G547" s="22"/>
      <c r="H547" s="22"/>
      <c r="I547" s="22"/>
      <c r="N547" s="124"/>
    </row>
    <row r="548" spans="1:14" ht="19.5" customHeight="1">
      <c r="A548" s="20"/>
      <c r="B548" s="21"/>
      <c r="C548" s="22"/>
      <c r="D548" s="189"/>
      <c r="E548" s="190"/>
      <c r="F548" s="81"/>
      <c r="G548" s="22"/>
      <c r="H548" s="22"/>
      <c r="I548" s="22"/>
      <c r="N548" s="124"/>
    </row>
    <row r="549" spans="1:14" ht="19.5" customHeight="1">
      <c r="A549" s="20"/>
      <c r="B549" s="21"/>
      <c r="C549" s="22"/>
      <c r="D549" s="189"/>
      <c r="E549" s="190"/>
      <c r="F549" s="81"/>
      <c r="G549" s="22"/>
      <c r="H549" s="22"/>
      <c r="I549" s="22"/>
      <c r="N549" s="124"/>
    </row>
    <row r="550" spans="1:14" ht="19.5" customHeight="1">
      <c r="A550" s="20"/>
      <c r="B550" s="21"/>
      <c r="C550" s="22"/>
      <c r="D550" s="189"/>
      <c r="E550" s="190"/>
      <c r="F550" s="81"/>
      <c r="G550" s="22"/>
      <c r="H550" s="22"/>
      <c r="I550" s="22"/>
      <c r="N550" s="124"/>
    </row>
    <row r="551" spans="1:14" ht="19.5" customHeight="1">
      <c r="A551" s="20"/>
      <c r="B551" s="21"/>
      <c r="C551" s="22"/>
      <c r="D551" s="189"/>
      <c r="E551" s="190"/>
      <c r="F551" s="81"/>
      <c r="G551" s="22"/>
      <c r="H551" s="22"/>
      <c r="I551" s="22"/>
      <c r="N551" s="124"/>
    </row>
    <row r="552" spans="1:14" ht="19.5" customHeight="1">
      <c r="A552" s="20"/>
      <c r="B552" s="21"/>
      <c r="C552" s="22"/>
      <c r="D552" s="189"/>
      <c r="E552" s="190"/>
      <c r="F552" s="81"/>
      <c r="G552" s="22"/>
      <c r="H552" s="22"/>
      <c r="I552" s="22"/>
      <c r="N552" s="124"/>
    </row>
    <row r="553" spans="1:14" ht="19.5" customHeight="1">
      <c r="A553" s="20"/>
      <c r="B553" s="21"/>
      <c r="C553" s="22"/>
      <c r="D553" s="189"/>
      <c r="E553" s="190"/>
      <c r="F553" s="81"/>
      <c r="G553" s="22"/>
      <c r="H553" s="22"/>
      <c r="I553" s="22"/>
      <c r="N553" s="124"/>
    </row>
    <row r="554" spans="1:14" ht="19.5" customHeight="1">
      <c r="A554" s="20"/>
      <c r="B554" s="21"/>
      <c r="C554" s="22"/>
      <c r="D554" s="189"/>
      <c r="E554" s="190"/>
      <c r="F554" s="81"/>
      <c r="G554" s="22"/>
      <c r="H554" s="22"/>
      <c r="I554" s="22"/>
      <c r="N554" s="124"/>
    </row>
    <row r="555" spans="1:14" ht="19.5" customHeight="1">
      <c r="A555" s="20"/>
      <c r="B555" s="21"/>
      <c r="C555" s="22"/>
      <c r="D555" s="189"/>
      <c r="E555" s="190"/>
      <c r="F555" s="81"/>
      <c r="G555" s="22"/>
      <c r="H555" s="22"/>
      <c r="I555" s="22"/>
      <c r="N555" s="124"/>
    </row>
    <row r="556" spans="1:14" ht="19.5" customHeight="1">
      <c r="A556" s="20"/>
      <c r="B556" s="21"/>
      <c r="C556" s="22"/>
      <c r="D556" s="189"/>
      <c r="E556" s="190"/>
      <c r="F556" s="81"/>
      <c r="G556" s="22"/>
      <c r="H556" s="22"/>
      <c r="I556" s="22"/>
      <c r="N556" s="124"/>
    </row>
    <row r="557" spans="1:14" ht="19.5" customHeight="1">
      <c r="A557" s="20"/>
      <c r="B557" s="21"/>
      <c r="C557" s="22"/>
      <c r="D557" s="189"/>
      <c r="E557" s="190"/>
      <c r="F557" s="81"/>
      <c r="G557" s="22"/>
      <c r="H557" s="22"/>
      <c r="I557" s="22"/>
      <c r="N557" s="124"/>
    </row>
    <row r="558" spans="1:14" ht="19.5" customHeight="1">
      <c r="A558" s="20"/>
      <c r="B558" s="21"/>
      <c r="C558" s="22"/>
      <c r="D558" s="189"/>
      <c r="E558" s="190"/>
      <c r="F558" s="81"/>
      <c r="G558" s="22"/>
      <c r="H558" s="22"/>
      <c r="I558" s="22"/>
      <c r="N558" s="124"/>
    </row>
    <row r="559" spans="1:14" ht="19.5" customHeight="1">
      <c r="A559" s="20"/>
      <c r="B559" s="21"/>
      <c r="C559" s="22"/>
      <c r="D559" s="189"/>
      <c r="E559" s="190"/>
      <c r="F559" s="81"/>
      <c r="G559" s="22"/>
      <c r="H559" s="22"/>
      <c r="I559" s="22"/>
      <c r="N559" s="124"/>
    </row>
    <row r="560" spans="1:14" ht="19.5" customHeight="1">
      <c r="A560" s="20"/>
      <c r="B560" s="21"/>
      <c r="C560" s="22"/>
      <c r="D560" s="189"/>
      <c r="E560" s="190"/>
      <c r="F560" s="81"/>
      <c r="G560" s="22"/>
      <c r="H560" s="22"/>
      <c r="I560" s="22"/>
      <c r="N560" s="124"/>
    </row>
    <row r="561" spans="1:14" ht="19.5" customHeight="1">
      <c r="A561" s="20"/>
      <c r="B561" s="21"/>
      <c r="C561" s="22"/>
      <c r="D561" s="189"/>
      <c r="E561" s="190"/>
      <c r="F561" s="81"/>
      <c r="G561" s="22"/>
      <c r="H561" s="22"/>
      <c r="I561" s="22"/>
      <c r="N561" s="124"/>
    </row>
    <row r="562" spans="1:14" ht="19.5" customHeight="1">
      <c r="A562" s="20"/>
      <c r="B562" s="21"/>
      <c r="C562" s="22"/>
      <c r="D562" s="189"/>
      <c r="E562" s="190"/>
      <c r="F562" s="81"/>
      <c r="G562" s="22"/>
      <c r="H562" s="22"/>
      <c r="I562" s="22"/>
      <c r="N562" s="124"/>
    </row>
    <row r="563" spans="1:14" ht="19.5" customHeight="1">
      <c r="A563" s="20"/>
      <c r="B563" s="21"/>
      <c r="C563" s="22"/>
      <c r="D563" s="189"/>
      <c r="E563" s="190"/>
      <c r="F563" s="81"/>
      <c r="G563" s="22"/>
      <c r="H563" s="22"/>
      <c r="I563" s="22"/>
      <c r="N563" s="124"/>
    </row>
    <row r="564" spans="1:14" ht="19.5" customHeight="1">
      <c r="A564" s="20"/>
      <c r="B564" s="21"/>
      <c r="C564" s="22"/>
      <c r="D564" s="189"/>
      <c r="E564" s="190"/>
      <c r="F564" s="81"/>
      <c r="G564" s="22"/>
      <c r="H564" s="22"/>
      <c r="I564" s="22"/>
      <c r="N564" s="124"/>
    </row>
    <row r="565" spans="1:14" ht="19.5" customHeight="1">
      <c r="A565" s="20"/>
      <c r="B565" s="21"/>
      <c r="C565" s="22"/>
      <c r="D565" s="189"/>
      <c r="E565" s="190"/>
      <c r="F565" s="81"/>
      <c r="G565" s="22"/>
      <c r="H565" s="22"/>
      <c r="I565" s="22"/>
      <c r="N565" s="124"/>
    </row>
    <row r="566" spans="1:14" ht="19.5" customHeight="1">
      <c r="A566" s="20"/>
      <c r="B566" s="21"/>
      <c r="C566" s="22"/>
      <c r="D566" s="189"/>
      <c r="E566" s="190"/>
      <c r="F566" s="81"/>
      <c r="G566" s="22"/>
      <c r="H566" s="22"/>
      <c r="I566" s="22"/>
      <c r="N566" s="124"/>
    </row>
    <row r="567" spans="1:14" ht="19.5" customHeight="1">
      <c r="A567" s="20"/>
      <c r="B567" s="21"/>
      <c r="C567" s="22"/>
      <c r="D567" s="189"/>
      <c r="E567" s="190"/>
      <c r="F567" s="81"/>
      <c r="G567" s="22"/>
      <c r="H567" s="22"/>
      <c r="I567" s="22"/>
      <c r="N567" s="124"/>
    </row>
    <row r="568" spans="1:14" ht="19.5" customHeight="1">
      <c r="A568" s="20"/>
      <c r="B568" s="21"/>
      <c r="C568" s="22"/>
      <c r="D568" s="189"/>
      <c r="E568" s="190"/>
      <c r="F568" s="81"/>
      <c r="G568" s="22"/>
      <c r="H568" s="22"/>
      <c r="I568" s="22"/>
      <c r="N568" s="124"/>
    </row>
    <row r="569" spans="1:14" ht="19.5" customHeight="1">
      <c r="A569" s="20"/>
      <c r="B569" s="21"/>
      <c r="C569" s="22"/>
      <c r="D569" s="189"/>
      <c r="E569" s="190"/>
      <c r="F569" s="81"/>
      <c r="G569" s="22"/>
      <c r="H569" s="22"/>
      <c r="I569" s="22"/>
      <c r="N569" s="124"/>
    </row>
    <row r="570" spans="1:14" ht="19.5" customHeight="1">
      <c r="A570" s="20"/>
      <c r="B570" s="21"/>
      <c r="C570" s="22"/>
      <c r="D570" s="189"/>
      <c r="E570" s="190"/>
      <c r="F570" s="81"/>
      <c r="G570" s="22"/>
      <c r="H570" s="22"/>
      <c r="I570" s="22"/>
      <c r="N570" s="124"/>
    </row>
    <row r="571" spans="1:14" ht="19.5" customHeight="1">
      <c r="A571" s="20"/>
      <c r="B571" s="21"/>
      <c r="C571" s="22"/>
      <c r="D571" s="189"/>
      <c r="E571" s="190"/>
      <c r="F571" s="81"/>
      <c r="G571" s="22"/>
      <c r="H571" s="22"/>
      <c r="I571" s="22"/>
      <c r="N571" s="124"/>
    </row>
    <row r="572" spans="1:14" ht="19.5" customHeight="1">
      <c r="A572" s="20"/>
      <c r="B572" s="21"/>
      <c r="C572" s="22"/>
      <c r="D572" s="189"/>
      <c r="E572" s="190"/>
      <c r="F572" s="81"/>
      <c r="G572" s="22"/>
      <c r="H572" s="22"/>
      <c r="I572" s="22"/>
      <c r="N572" s="124"/>
    </row>
    <row r="573" spans="1:14" ht="19.5" customHeight="1">
      <c r="A573" s="20"/>
      <c r="B573" s="21"/>
      <c r="C573" s="22"/>
      <c r="D573" s="189"/>
      <c r="E573" s="190"/>
      <c r="F573" s="81"/>
      <c r="G573" s="22"/>
      <c r="H573" s="22"/>
      <c r="I573" s="22"/>
      <c r="N573" s="124"/>
    </row>
    <row r="574" spans="1:14" ht="19.5" customHeight="1">
      <c r="A574" s="20"/>
      <c r="B574" s="21"/>
      <c r="C574" s="22"/>
      <c r="D574" s="189"/>
      <c r="E574" s="190"/>
      <c r="F574" s="81"/>
      <c r="G574" s="22"/>
      <c r="H574" s="22"/>
      <c r="I574" s="22"/>
      <c r="N574" s="124"/>
    </row>
    <row r="575" spans="1:14" ht="19.5" customHeight="1">
      <c r="A575" s="20"/>
      <c r="B575" s="21"/>
      <c r="C575" s="22"/>
      <c r="D575" s="189"/>
      <c r="E575" s="190"/>
      <c r="F575" s="81"/>
      <c r="G575" s="22"/>
      <c r="H575" s="22"/>
      <c r="I575" s="22"/>
      <c r="N575" s="124"/>
    </row>
    <row r="576" spans="1:14" ht="19.5" customHeight="1">
      <c r="A576" s="20"/>
      <c r="B576" s="21"/>
      <c r="C576" s="22"/>
      <c r="D576" s="189"/>
      <c r="E576" s="190"/>
      <c r="F576" s="81"/>
      <c r="G576" s="22"/>
      <c r="H576" s="22"/>
      <c r="I576" s="22"/>
      <c r="N576" s="124"/>
    </row>
    <row r="577" spans="1:14" ht="19.5" customHeight="1">
      <c r="A577" s="20"/>
      <c r="B577" s="21"/>
      <c r="C577" s="22"/>
      <c r="D577" s="189"/>
      <c r="E577" s="190"/>
      <c r="F577" s="81"/>
      <c r="G577" s="22"/>
      <c r="H577" s="22"/>
      <c r="I577" s="22"/>
      <c r="N577" s="124"/>
    </row>
    <row r="578" spans="1:14" ht="19.5" customHeight="1">
      <c r="A578" s="20"/>
      <c r="B578" s="21"/>
      <c r="C578" s="22"/>
      <c r="D578" s="189"/>
      <c r="E578" s="190"/>
      <c r="F578" s="81"/>
      <c r="G578" s="22"/>
      <c r="H578" s="22"/>
      <c r="I578" s="22"/>
      <c r="N578" s="124"/>
    </row>
    <row r="579" spans="1:14" ht="19.5" customHeight="1">
      <c r="A579" s="20"/>
      <c r="B579" s="21"/>
      <c r="C579" s="22"/>
      <c r="D579" s="189"/>
      <c r="E579" s="190"/>
      <c r="F579" s="81"/>
      <c r="G579" s="22"/>
      <c r="H579" s="22"/>
      <c r="I579" s="22"/>
      <c r="N579" s="124"/>
    </row>
    <row r="580" spans="1:14" ht="19.5" customHeight="1">
      <c r="A580" s="20"/>
      <c r="B580" s="21"/>
      <c r="C580" s="22"/>
      <c r="D580" s="189"/>
      <c r="E580" s="190"/>
      <c r="F580" s="81"/>
      <c r="G580" s="22"/>
      <c r="H580" s="22"/>
      <c r="I580" s="22"/>
      <c r="N580" s="124"/>
    </row>
    <row r="581" spans="1:14" ht="19.5" customHeight="1">
      <c r="A581" s="20"/>
      <c r="B581" s="21"/>
      <c r="C581" s="22"/>
      <c r="D581" s="189"/>
      <c r="E581" s="190"/>
      <c r="F581" s="81"/>
      <c r="G581" s="22"/>
      <c r="H581" s="22"/>
      <c r="I581" s="22"/>
      <c r="N581" s="124"/>
    </row>
    <row r="582" spans="1:14" ht="19.5" customHeight="1">
      <c r="A582" s="20"/>
      <c r="B582" s="21"/>
      <c r="C582" s="22"/>
      <c r="D582" s="189"/>
      <c r="E582" s="190"/>
      <c r="F582" s="81"/>
      <c r="G582" s="22"/>
      <c r="H582" s="22"/>
      <c r="I582" s="22"/>
      <c r="N582" s="124"/>
    </row>
    <row r="583" spans="1:14" ht="19.5" customHeight="1">
      <c r="A583" s="20"/>
      <c r="B583" s="21"/>
      <c r="C583" s="22"/>
      <c r="D583" s="189"/>
      <c r="E583" s="190"/>
      <c r="F583" s="81"/>
      <c r="G583" s="22"/>
      <c r="H583" s="22"/>
      <c r="I583" s="22"/>
      <c r="N583" s="124"/>
    </row>
    <row r="584" spans="1:14" ht="19.5" customHeight="1">
      <c r="A584" s="20"/>
      <c r="B584" s="21"/>
      <c r="C584" s="22"/>
      <c r="D584" s="189"/>
      <c r="E584" s="190"/>
      <c r="F584" s="81"/>
      <c r="G584" s="22"/>
      <c r="H584" s="22"/>
      <c r="I584" s="22"/>
      <c r="N584" s="124"/>
    </row>
    <row r="585" spans="1:14" ht="19.5" customHeight="1">
      <c r="A585" s="20"/>
      <c r="B585" s="21"/>
      <c r="C585" s="22"/>
      <c r="D585" s="189"/>
      <c r="E585" s="190"/>
      <c r="F585" s="81"/>
      <c r="G585" s="22"/>
      <c r="H585" s="22"/>
      <c r="I585" s="22"/>
      <c r="N585" s="124"/>
    </row>
    <row r="586" spans="1:14" ht="19.5" customHeight="1">
      <c r="A586" s="20"/>
      <c r="B586" s="21"/>
      <c r="C586" s="22"/>
      <c r="D586" s="189"/>
      <c r="E586" s="190"/>
      <c r="F586" s="81"/>
      <c r="G586" s="22"/>
      <c r="H586" s="22"/>
      <c r="I586" s="22"/>
      <c r="N586" s="124"/>
    </row>
    <row r="587" spans="1:14" ht="19.5" customHeight="1">
      <c r="A587" s="20"/>
      <c r="B587" s="21"/>
      <c r="C587" s="22"/>
      <c r="D587" s="189"/>
      <c r="E587" s="190"/>
      <c r="F587" s="81"/>
      <c r="G587" s="22"/>
      <c r="H587" s="22"/>
      <c r="I587" s="22"/>
      <c r="N587" s="124"/>
    </row>
    <row r="588" spans="1:14" ht="19.5" customHeight="1">
      <c r="A588" s="20"/>
      <c r="B588" s="21"/>
      <c r="C588" s="22"/>
      <c r="D588" s="189"/>
      <c r="E588" s="190"/>
      <c r="F588" s="81"/>
      <c r="G588" s="22"/>
      <c r="H588" s="22"/>
      <c r="I588" s="22"/>
      <c r="N588" s="124"/>
    </row>
    <row r="589" spans="1:14" ht="19.5" customHeight="1">
      <c r="A589" s="20"/>
      <c r="B589" s="21"/>
      <c r="C589" s="22"/>
      <c r="D589" s="189"/>
      <c r="E589" s="190"/>
      <c r="F589" s="81"/>
      <c r="G589" s="22"/>
      <c r="H589" s="22"/>
      <c r="I589" s="22"/>
      <c r="N589" s="124"/>
    </row>
    <row r="590" spans="1:14" ht="19.5" customHeight="1">
      <c r="A590" s="20"/>
      <c r="B590" s="21"/>
      <c r="C590" s="22"/>
      <c r="D590" s="189"/>
      <c r="E590" s="190"/>
      <c r="F590" s="81"/>
      <c r="G590" s="22"/>
      <c r="H590" s="22"/>
      <c r="I590" s="22"/>
      <c r="N590" s="124"/>
    </row>
    <row r="591" spans="1:14" ht="19.5" customHeight="1">
      <c r="A591" s="20"/>
      <c r="B591" s="21"/>
      <c r="C591" s="22"/>
      <c r="D591" s="189"/>
      <c r="E591" s="190"/>
      <c r="F591" s="81"/>
      <c r="G591" s="22"/>
      <c r="H591" s="22"/>
      <c r="I591" s="22"/>
      <c r="N591" s="124"/>
    </row>
    <row r="592" spans="1:14" ht="19.5" customHeight="1">
      <c r="A592" s="20"/>
      <c r="B592" s="21"/>
      <c r="C592" s="22"/>
      <c r="D592" s="189"/>
      <c r="E592" s="190"/>
      <c r="F592" s="81"/>
      <c r="G592" s="22"/>
      <c r="H592" s="22"/>
      <c r="I592" s="22"/>
      <c r="N592" s="124"/>
    </row>
    <row r="593" spans="1:14" ht="19.5" customHeight="1">
      <c r="A593" s="20"/>
      <c r="B593" s="21"/>
      <c r="C593" s="22"/>
      <c r="D593" s="189"/>
      <c r="E593" s="190"/>
      <c r="F593" s="81"/>
      <c r="G593" s="22"/>
      <c r="H593" s="22"/>
      <c r="I593" s="22"/>
      <c r="N593" s="124"/>
    </row>
    <row r="594" spans="1:14" ht="19.5" customHeight="1">
      <c r="A594" s="20"/>
      <c r="B594" s="21"/>
      <c r="C594" s="22"/>
      <c r="D594" s="189"/>
      <c r="E594" s="190"/>
      <c r="F594" s="81"/>
      <c r="G594" s="22"/>
      <c r="H594" s="22"/>
      <c r="I594" s="22"/>
      <c r="N594" s="124"/>
    </row>
    <row r="595" spans="1:14" ht="19.5" customHeight="1">
      <c r="A595" s="20"/>
      <c r="B595" s="21"/>
      <c r="C595" s="22"/>
      <c r="D595" s="189"/>
      <c r="E595" s="190"/>
      <c r="F595" s="81"/>
      <c r="G595" s="22"/>
      <c r="H595" s="22"/>
      <c r="I595" s="22"/>
      <c r="N595" s="124"/>
    </row>
    <row r="596" spans="1:14" ht="19.5" customHeight="1">
      <c r="A596" s="20"/>
      <c r="B596" s="21"/>
      <c r="C596" s="22"/>
      <c r="D596" s="189"/>
      <c r="E596" s="190"/>
      <c r="F596" s="81"/>
      <c r="G596" s="22"/>
      <c r="H596" s="22"/>
      <c r="I596" s="22"/>
      <c r="N596" s="124"/>
    </row>
    <row r="597" spans="1:14" ht="19.5" customHeight="1">
      <c r="A597" s="20"/>
      <c r="B597" s="21"/>
      <c r="C597" s="22"/>
      <c r="D597" s="189"/>
      <c r="E597" s="190"/>
      <c r="F597" s="81"/>
      <c r="G597" s="22"/>
      <c r="H597" s="22"/>
      <c r="I597" s="22"/>
      <c r="N597" s="124"/>
    </row>
    <row r="598" spans="1:14" ht="19.5" customHeight="1">
      <c r="A598" s="20"/>
      <c r="B598" s="21"/>
      <c r="C598" s="22"/>
      <c r="D598" s="189"/>
      <c r="E598" s="190"/>
      <c r="F598" s="81"/>
      <c r="G598" s="22"/>
      <c r="H598" s="22"/>
      <c r="I598" s="22"/>
      <c r="N598" s="124"/>
    </row>
    <row r="599" spans="1:14" ht="19.5" customHeight="1">
      <c r="A599" s="20"/>
      <c r="B599" s="21"/>
      <c r="C599" s="22"/>
      <c r="D599" s="189"/>
      <c r="E599" s="190"/>
      <c r="F599" s="81"/>
      <c r="G599" s="22"/>
      <c r="H599" s="22"/>
      <c r="I599" s="22"/>
      <c r="N599" s="124"/>
    </row>
    <row r="600" spans="1:14" ht="19.5" customHeight="1">
      <c r="A600" s="20"/>
      <c r="B600" s="21"/>
      <c r="C600" s="22"/>
      <c r="D600" s="189"/>
      <c r="E600" s="190"/>
      <c r="F600" s="81"/>
      <c r="G600" s="22"/>
      <c r="H600" s="22"/>
      <c r="I600" s="22"/>
      <c r="N600" s="124"/>
    </row>
    <row r="601" spans="1:14" ht="19.5" customHeight="1">
      <c r="A601" s="20"/>
      <c r="B601" s="21"/>
      <c r="C601" s="22"/>
      <c r="D601" s="189"/>
      <c r="E601" s="190"/>
      <c r="F601" s="81"/>
      <c r="G601" s="22"/>
      <c r="H601" s="22"/>
      <c r="I601" s="22"/>
      <c r="N601" s="124"/>
    </row>
    <row r="602" spans="1:14" ht="19.5" customHeight="1">
      <c r="A602" s="20"/>
      <c r="B602" s="21"/>
      <c r="C602" s="22"/>
      <c r="D602" s="189"/>
      <c r="E602" s="190"/>
      <c r="F602" s="81"/>
      <c r="G602" s="22"/>
      <c r="H602" s="22"/>
      <c r="I602" s="22"/>
      <c r="N602" s="124"/>
    </row>
    <row r="603" spans="1:14" ht="19.5" customHeight="1">
      <c r="A603" s="20"/>
      <c r="B603" s="21"/>
      <c r="C603" s="22"/>
      <c r="D603" s="189"/>
      <c r="E603" s="190"/>
      <c r="F603" s="81"/>
      <c r="G603" s="22"/>
      <c r="H603" s="22"/>
      <c r="I603" s="22"/>
      <c r="N603" s="124"/>
    </row>
    <row r="604" spans="1:14" ht="19.5" customHeight="1">
      <c r="A604" s="20"/>
      <c r="B604" s="21"/>
      <c r="C604" s="22"/>
      <c r="D604" s="189"/>
      <c r="E604" s="190"/>
      <c r="F604" s="81"/>
      <c r="G604" s="22"/>
      <c r="H604" s="22"/>
      <c r="I604" s="22"/>
      <c r="N604" s="124"/>
    </row>
    <row r="605" spans="1:14" ht="19.5" customHeight="1">
      <c r="A605" s="20"/>
      <c r="B605" s="21"/>
      <c r="C605" s="22"/>
      <c r="D605" s="189"/>
      <c r="E605" s="190"/>
      <c r="F605" s="81"/>
      <c r="G605" s="22"/>
      <c r="H605" s="22"/>
      <c r="I605" s="22"/>
      <c r="N605" s="124"/>
    </row>
    <row r="606" spans="1:14" ht="19.5" customHeight="1">
      <c r="A606" s="20"/>
      <c r="B606" s="21"/>
      <c r="C606" s="22"/>
      <c r="D606" s="189"/>
      <c r="E606" s="190"/>
      <c r="F606" s="81"/>
      <c r="G606" s="22"/>
      <c r="H606" s="22"/>
      <c r="I606" s="22"/>
      <c r="N606" s="124"/>
    </row>
    <row r="607" spans="1:14" ht="19.5" customHeight="1">
      <c r="A607" s="20"/>
      <c r="B607" s="21"/>
      <c r="C607" s="22"/>
      <c r="D607" s="189"/>
      <c r="E607" s="190"/>
      <c r="F607" s="81"/>
      <c r="G607" s="22"/>
      <c r="H607" s="22"/>
      <c r="I607" s="22"/>
      <c r="N607" s="124"/>
    </row>
    <row r="608" spans="1:14" ht="19.5" customHeight="1">
      <c r="A608" s="20"/>
      <c r="B608" s="21"/>
      <c r="C608" s="22"/>
      <c r="D608" s="189"/>
      <c r="E608" s="190"/>
      <c r="F608" s="81"/>
      <c r="G608" s="22"/>
      <c r="H608" s="22"/>
      <c r="I608" s="22"/>
      <c r="N608" s="124"/>
    </row>
    <row r="609" spans="1:14" ht="19.5" customHeight="1">
      <c r="A609" s="20"/>
      <c r="B609" s="21"/>
      <c r="C609" s="22"/>
      <c r="D609" s="189"/>
      <c r="E609" s="190"/>
      <c r="F609" s="81"/>
      <c r="G609" s="22"/>
      <c r="H609" s="22"/>
      <c r="I609" s="22"/>
      <c r="N609" s="124"/>
    </row>
    <row r="610" spans="1:14" ht="19.5" customHeight="1">
      <c r="A610" s="20"/>
      <c r="B610" s="21"/>
      <c r="C610" s="22"/>
      <c r="D610" s="189"/>
      <c r="E610" s="190"/>
      <c r="F610" s="81"/>
      <c r="G610" s="22"/>
      <c r="H610" s="22"/>
      <c r="I610" s="22"/>
      <c r="N610" s="124"/>
    </row>
    <row r="611" spans="1:14" ht="19.5" customHeight="1">
      <c r="A611" s="20"/>
      <c r="B611" s="21"/>
      <c r="C611" s="22"/>
      <c r="D611" s="189"/>
      <c r="E611" s="190"/>
      <c r="F611" s="81"/>
      <c r="G611" s="22"/>
      <c r="H611" s="22"/>
      <c r="I611" s="22"/>
      <c r="N611" s="124"/>
    </row>
    <row r="612" spans="1:14" ht="19.5" customHeight="1">
      <c r="A612" s="20"/>
      <c r="B612" s="21"/>
      <c r="C612" s="22"/>
      <c r="D612" s="189"/>
      <c r="E612" s="190"/>
      <c r="F612" s="81"/>
      <c r="G612" s="22"/>
      <c r="H612" s="22"/>
      <c r="I612" s="22"/>
      <c r="N612" s="124"/>
    </row>
    <row r="613" spans="1:14" ht="19.5" customHeight="1">
      <c r="A613" s="20"/>
      <c r="B613" s="21"/>
      <c r="C613" s="22"/>
      <c r="D613" s="189"/>
      <c r="E613" s="190"/>
      <c r="F613" s="81"/>
      <c r="G613" s="22"/>
      <c r="H613" s="22"/>
      <c r="I613" s="22"/>
      <c r="N613" s="124"/>
    </row>
    <row r="614" spans="1:14" ht="19.5" customHeight="1">
      <c r="A614" s="20"/>
      <c r="B614" s="21"/>
      <c r="C614" s="22"/>
      <c r="D614" s="189"/>
      <c r="E614" s="190"/>
      <c r="F614" s="81"/>
      <c r="G614" s="22"/>
      <c r="H614" s="22"/>
      <c r="I614" s="22"/>
      <c r="N614" s="124"/>
    </row>
    <row r="615" spans="1:14" ht="19.5" customHeight="1">
      <c r="A615" s="20"/>
      <c r="B615" s="21"/>
      <c r="C615" s="22"/>
      <c r="D615" s="189"/>
      <c r="E615" s="190"/>
      <c r="F615" s="81"/>
      <c r="G615" s="22"/>
      <c r="H615" s="22"/>
      <c r="I615" s="22"/>
      <c r="N615" s="124"/>
    </row>
    <row r="616" spans="1:14" ht="19.5" customHeight="1">
      <c r="A616" s="20"/>
      <c r="B616" s="21"/>
      <c r="C616" s="22"/>
      <c r="D616" s="189"/>
      <c r="E616" s="190"/>
      <c r="F616" s="81"/>
      <c r="G616" s="22"/>
      <c r="H616" s="22"/>
      <c r="I616" s="22"/>
      <c r="N616" s="124"/>
    </row>
    <row r="617" spans="1:14" ht="19.5" customHeight="1">
      <c r="A617" s="20"/>
      <c r="B617" s="21"/>
      <c r="C617" s="22"/>
      <c r="D617" s="189"/>
      <c r="E617" s="190"/>
      <c r="F617" s="81"/>
      <c r="G617" s="22"/>
      <c r="H617" s="22"/>
      <c r="I617" s="22"/>
      <c r="N617" s="124"/>
    </row>
    <row r="618" spans="1:14" ht="19.5" customHeight="1">
      <c r="A618" s="20"/>
      <c r="B618" s="21"/>
      <c r="C618" s="22"/>
      <c r="D618" s="189"/>
      <c r="E618" s="190"/>
      <c r="F618" s="81"/>
      <c r="G618" s="22"/>
      <c r="H618" s="22"/>
      <c r="I618" s="22"/>
      <c r="N618" s="124"/>
    </row>
    <row r="619" spans="1:14" ht="19.5" customHeight="1">
      <c r="A619" s="20"/>
      <c r="B619" s="21"/>
      <c r="C619" s="22"/>
      <c r="D619" s="189"/>
      <c r="E619" s="190"/>
      <c r="F619" s="81"/>
      <c r="G619" s="22"/>
      <c r="H619" s="22"/>
      <c r="I619" s="22"/>
      <c r="N619" s="124"/>
    </row>
    <row r="620" spans="1:14" ht="19.5" customHeight="1">
      <c r="A620" s="20"/>
      <c r="B620" s="21"/>
      <c r="C620" s="22"/>
      <c r="D620" s="189"/>
      <c r="E620" s="190"/>
      <c r="F620" s="81"/>
      <c r="G620" s="22"/>
      <c r="H620" s="22"/>
      <c r="I620" s="22"/>
      <c r="N620" s="124"/>
    </row>
    <row r="621" spans="1:14" ht="19.5" customHeight="1">
      <c r="A621" s="20"/>
      <c r="B621" s="21"/>
      <c r="C621" s="22"/>
      <c r="D621" s="189"/>
      <c r="E621" s="190"/>
      <c r="F621" s="81"/>
      <c r="G621" s="22"/>
      <c r="H621" s="22"/>
      <c r="I621" s="22"/>
      <c r="N621" s="124"/>
    </row>
    <row r="622" spans="1:14" ht="19.5" customHeight="1">
      <c r="A622" s="20"/>
      <c r="B622" s="21"/>
      <c r="C622" s="22"/>
      <c r="D622" s="189"/>
      <c r="E622" s="190"/>
      <c r="F622" s="81"/>
      <c r="G622" s="22"/>
      <c r="H622" s="22"/>
      <c r="I622" s="22"/>
      <c r="N622" s="124"/>
    </row>
    <row r="623" spans="1:14" ht="19.5" customHeight="1">
      <c r="A623" s="20"/>
      <c r="B623" s="21"/>
      <c r="C623" s="22"/>
      <c r="D623" s="189"/>
      <c r="E623" s="190"/>
      <c r="F623" s="81"/>
      <c r="G623" s="22"/>
      <c r="H623" s="22"/>
      <c r="I623" s="22"/>
      <c r="N623" s="124"/>
    </row>
    <row r="624" spans="1:14" ht="19.5" customHeight="1">
      <c r="A624" s="20"/>
      <c r="B624" s="21"/>
      <c r="C624" s="22"/>
      <c r="D624" s="189"/>
      <c r="E624" s="190"/>
      <c r="F624" s="81"/>
      <c r="G624" s="22"/>
      <c r="H624" s="22"/>
      <c r="I624" s="22"/>
      <c r="N624" s="124"/>
    </row>
    <row r="625" spans="1:14" ht="19.5" customHeight="1">
      <c r="A625" s="20"/>
      <c r="B625" s="21"/>
      <c r="C625" s="22"/>
      <c r="D625" s="189"/>
      <c r="E625" s="190"/>
      <c r="F625" s="81"/>
      <c r="G625" s="22"/>
      <c r="H625" s="22"/>
      <c r="I625" s="22"/>
      <c r="N625" s="124"/>
    </row>
    <row r="626" spans="1:14" ht="19.5" customHeight="1">
      <c r="A626" s="20"/>
      <c r="B626" s="21"/>
      <c r="C626" s="22"/>
      <c r="D626" s="189"/>
      <c r="E626" s="190"/>
      <c r="F626" s="81"/>
      <c r="G626" s="22"/>
      <c r="H626" s="22"/>
      <c r="I626" s="22"/>
      <c r="N626" s="124"/>
    </row>
    <row r="627" spans="1:14" ht="19.5" customHeight="1">
      <c r="A627" s="20"/>
      <c r="B627" s="21"/>
      <c r="C627" s="22"/>
      <c r="D627" s="189"/>
      <c r="E627" s="190"/>
      <c r="F627" s="81"/>
      <c r="G627" s="22"/>
      <c r="H627" s="22"/>
      <c r="I627" s="22"/>
      <c r="N627" s="124"/>
    </row>
    <row r="628" spans="1:14" ht="19.5" customHeight="1">
      <c r="A628" s="20"/>
      <c r="B628" s="21"/>
      <c r="C628" s="22"/>
      <c r="D628" s="189"/>
      <c r="E628" s="190"/>
      <c r="F628" s="81"/>
      <c r="G628" s="22"/>
      <c r="H628" s="22"/>
      <c r="I628" s="22"/>
      <c r="N628" s="124"/>
    </row>
    <row r="629" spans="1:14" ht="19.5" customHeight="1">
      <c r="A629" s="20"/>
      <c r="B629" s="21"/>
      <c r="C629" s="22"/>
      <c r="D629" s="189"/>
      <c r="E629" s="190"/>
      <c r="F629" s="81"/>
      <c r="G629" s="22"/>
      <c r="H629" s="22"/>
      <c r="I629" s="22"/>
      <c r="N629" s="124"/>
    </row>
    <row r="630" spans="1:14" ht="19.5" customHeight="1">
      <c r="A630" s="20"/>
      <c r="B630" s="21"/>
      <c r="C630" s="22"/>
      <c r="D630" s="189"/>
      <c r="E630" s="190"/>
      <c r="F630" s="81"/>
      <c r="G630" s="22"/>
      <c r="H630" s="22"/>
      <c r="I630" s="22"/>
      <c r="N630" s="124"/>
    </row>
    <row r="631" spans="1:14" ht="19.5" customHeight="1">
      <c r="A631" s="20"/>
      <c r="B631" s="21"/>
      <c r="C631" s="22"/>
      <c r="D631" s="189"/>
      <c r="E631" s="190"/>
      <c r="F631" s="81"/>
      <c r="G631" s="22"/>
      <c r="H631" s="22"/>
      <c r="I631" s="22"/>
      <c r="N631" s="124"/>
    </row>
    <row r="632" spans="1:14" ht="19.5" customHeight="1">
      <c r="A632" s="20"/>
      <c r="B632" s="21"/>
      <c r="C632" s="22"/>
      <c r="D632" s="189"/>
      <c r="E632" s="190"/>
      <c r="F632" s="81"/>
      <c r="G632" s="22"/>
      <c r="H632" s="22"/>
      <c r="I632" s="22"/>
      <c r="N632" s="124"/>
    </row>
    <row r="633" spans="1:14" ht="19.5" customHeight="1">
      <c r="A633" s="20"/>
      <c r="B633" s="21"/>
      <c r="C633" s="22"/>
      <c r="D633" s="189"/>
      <c r="E633" s="190"/>
      <c r="F633" s="81"/>
      <c r="G633" s="22"/>
      <c r="H633" s="22"/>
      <c r="I633" s="22"/>
      <c r="N633" s="124"/>
    </row>
    <row r="634" spans="1:14" ht="19.5" customHeight="1">
      <c r="A634" s="20"/>
      <c r="B634" s="21"/>
      <c r="C634" s="22"/>
      <c r="D634" s="189"/>
      <c r="E634" s="190"/>
      <c r="F634" s="81"/>
      <c r="G634" s="22"/>
      <c r="H634" s="22"/>
      <c r="I634" s="22"/>
      <c r="N634" s="124"/>
    </row>
    <row r="635" spans="1:14" ht="19.5" customHeight="1">
      <c r="A635" s="20"/>
      <c r="B635" s="21"/>
      <c r="C635" s="22"/>
      <c r="D635" s="189"/>
      <c r="E635" s="190"/>
      <c r="F635" s="81"/>
      <c r="G635" s="22"/>
      <c r="H635" s="22"/>
      <c r="I635" s="22"/>
      <c r="N635" s="124"/>
    </row>
    <row r="636" spans="1:14" ht="19.5" customHeight="1">
      <c r="A636" s="20"/>
      <c r="B636" s="21"/>
      <c r="C636" s="22"/>
      <c r="D636" s="189"/>
      <c r="E636" s="190"/>
      <c r="F636" s="81"/>
      <c r="G636" s="22"/>
      <c r="H636" s="22"/>
      <c r="I636" s="22"/>
      <c r="N636" s="124"/>
    </row>
    <row r="637" spans="1:14" ht="19.5" customHeight="1">
      <c r="A637" s="20"/>
      <c r="B637" s="21"/>
      <c r="C637" s="22"/>
      <c r="D637" s="189"/>
      <c r="E637" s="190"/>
      <c r="F637" s="81"/>
      <c r="G637" s="22"/>
      <c r="H637" s="22"/>
      <c r="I637" s="22"/>
      <c r="N637" s="124"/>
    </row>
    <row r="638" spans="1:14" ht="19.5" customHeight="1">
      <c r="A638" s="20"/>
      <c r="B638" s="21"/>
      <c r="C638" s="22"/>
      <c r="D638" s="189"/>
      <c r="E638" s="190"/>
      <c r="F638" s="81"/>
      <c r="G638" s="22"/>
      <c r="H638" s="22"/>
      <c r="I638" s="22"/>
      <c r="N638" s="124"/>
    </row>
    <row r="639" spans="1:14" ht="19.5" customHeight="1">
      <c r="A639" s="20"/>
      <c r="B639" s="21"/>
      <c r="C639" s="22"/>
      <c r="D639" s="189"/>
      <c r="E639" s="190"/>
      <c r="F639" s="81"/>
      <c r="G639" s="22"/>
      <c r="H639" s="22"/>
      <c r="I639" s="22"/>
      <c r="N639" s="124"/>
    </row>
    <row r="640" spans="1:14" ht="19.5" customHeight="1">
      <c r="A640" s="20"/>
      <c r="B640" s="21"/>
      <c r="C640" s="22"/>
      <c r="D640" s="189"/>
      <c r="E640" s="190"/>
      <c r="F640" s="81"/>
      <c r="G640" s="22"/>
      <c r="H640" s="22"/>
      <c r="I640" s="22"/>
      <c r="N640" s="124"/>
    </row>
    <row r="641" spans="1:14" ht="19.5" customHeight="1">
      <c r="A641" s="20"/>
      <c r="B641" s="21"/>
      <c r="C641" s="22"/>
      <c r="D641" s="189"/>
      <c r="E641" s="190"/>
      <c r="F641" s="81"/>
      <c r="G641" s="22"/>
      <c r="H641" s="22"/>
      <c r="I641" s="22"/>
      <c r="N641" s="124"/>
    </row>
    <row r="642" spans="1:14" ht="19.5" customHeight="1">
      <c r="A642" s="20"/>
      <c r="B642" s="21"/>
      <c r="C642" s="22"/>
      <c r="D642" s="189"/>
      <c r="E642" s="190"/>
      <c r="F642" s="81"/>
      <c r="G642" s="22"/>
      <c r="H642" s="22"/>
      <c r="I642" s="22"/>
      <c r="N642" s="124"/>
    </row>
    <row r="643" spans="1:14" ht="19.5" customHeight="1">
      <c r="A643" s="20"/>
      <c r="B643" s="21"/>
      <c r="C643" s="22"/>
      <c r="D643" s="189"/>
      <c r="E643" s="190"/>
      <c r="F643" s="81"/>
      <c r="G643" s="22"/>
      <c r="H643" s="22"/>
      <c r="I643" s="22"/>
      <c r="N643" s="124"/>
    </row>
    <row r="644" spans="1:14" ht="19.5" customHeight="1">
      <c r="A644" s="20"/>
      <c r="B644" s="21"/>
      <c r="C644" s="22"/>
      <c r="D644" s="189"/>
      <c r="E644" s="190"/>
      <c r="F644" s="81"/>
      <c r="G644" s="22"/>
      <c r="H644" s="22"/>
      <c r="I644" s="22"/>
      <c r="N644" s="124"/>
    </row>
    <row r="645" spans="1:14" ht="19.5" customHeight="1">
      <c r="A645" s="20"/>
      <c r="B645" s="21"/>
      <c r="C645" s="22"/>
      <c r="D645" s="189"/>
      <c r="E645" s="190"/>
      <c r="F645" s="81"/>
      <c r="G645" s="22"/>
      <c r="H645" s="22"/>
      <c r="I645" s="22"/>
      <c r="N645" s="124"/>
    </row>
    <row r="646" spans="1:14" ht="19.5" customHeight="1">
      <c r="A646" s="20"/>
      <c r="B646" s="21"/>
      <c r="C646" s="22"/>
      <c r="D646" s="189"/>
      <c r="E646" s="190"/>
      <c r="F646" s="81"/>
      <c r="G646" s="22"/>
      <c r="H646" s="22"/>
      <c r="I646" s="22"/>
      <c r="N646" s="124"/>
    </row>
    <row r="647" spans="1:14" ht="19.5" customHeight="1">
      <c r="A647" s="20"/>
      <c r="B647" s="21"/>
      <c r="C647" s="22"/>
      <c r="D647" s="189"/>
      <c r="E647" s="190"/>
      <c r="F647" s="81"/>
      <c r="G647" s="22"/>
      <c r="H647" s="22"/>
      <c r="I647" s="22"/>
      <c r="N647" s="124"/>
    </row>
    <row r="648" spans="1:14" ht="19.5" customHeight="1">
      <c r="A648" s="20"/>
      <c r="B648" s="21"/>
      <c r="C648" s="22"/>
      <c r="D648" s="189"/>
      <c r="E648" s="190"/>
      <c r="F648" s="81"/>
      <c r="G648" s="22"/>
      <c r="H648" s="22"/>
      <c r="I648" s="22"/>
      <c r="N648" s="124"/>
    </row>
    <row r="649" spans="1:14" ht="19.5" customHeight="1">
      <c r="A649" s="20"/>
      <c r="B649" s="21"/>
      <c r="C649" s="22"/>
      <c r="D649" s="189"/>
      <c r="E649" s="190"/>
      <c r="F649" s="81"/>
      <c r="G649" s="22"/>
      <c r="H649" s="22"/>
      <c r="I649" s="22"/>
      <c r="N649" s="124"/>
    </row>
    <row r="650" spans="1:14" ht="19.5" customHeight="1">
      <c r="A650" s="20"/>
      <c r="B650" s="21"/>
      <c r="C650" s="22"/>
      <c r="D650" s="189"/>
      <c r="E650" s="190"/>
      <c r="F650" s="81"/>
      <c r="G650" s="22"/>
      <c r="H650" s="22"/>
      <c r="I650" s="22"/>
      <c r="N650" s="124"/>
    </row>
    <row r="651" spans="1:14" ht="19.5" customHeight="1">
      <c r="A651" s="20"/>
      <c r="B651" s="21"/>
      <c r="C651" s="22"/>
      <c r="D651" s="189"/>
      <c r="E651" s="190"/>
      <c r="F651" s="81"/>
      <c r="G651" s="22"/>
      <c r="H651" s="22"/>
      <c r="I651" s="22"/>
      <c r="N651" s="124"/>
    </row>
    <row r="652" spans="1:14" ht="19.5" customHeight="1">
      <c r="A652" s="20"/>
      <c r="B652" s="21"/>
      <c r="C652" s="22"/>
      <c r="D652" s="189"/>
      <c r="E652" s="190"/>
      <c r="F652" s="81"/>
      <c r="G652" s="22"/>
      <c r="H652" s="22"/>
      <c r="I652" s="22"/>
      <c r="N652" s="124"/>
    </row>
    <row r="653" spans="1:14" ht="19.5" customHeight="1">
      <c r="A653" s="20"/>
      <c r="B653" s="21"/>
      <c r="C653" s="22"/>
      <c r="D653" s="189"/>
      <c r="E653" s="190"/>
      <c r="F653" s="81"/>
      <c r="G653" s="22"/>
      <c r="H653" s="22"/>
      <c r="I653" s="22"/>
      <c r="N653" s="124"/>
    </row>
    <row r="654" spans="1:14" ht="19.5" customHeight="1">
      <c r="A654" s="20"/>
      <c r="B654" s="21"/>
      <c r="C654" s="22"/>
      <c r="D654" s="189"/>
      <c r="E654" s="190"/>
      <c r="F654" s="81"/>
      <c r="G654" s="22"/>
      <c r="H654" s="22"/>
      <c r="I654" s="22"/>
      <c r="N654" s="124"/>
    </row>
    <row r="655" spans="1:14" ht="19.5" customHeight="1">
      <c r="A655" s="20"/>
      <c r="B655" s="21"/>
      <c r="C655" s="22"/>
      <c r="D655" s="189"/>
      <c r="E655" s="190"/>
      <c r="F655" s="81"/>
      <c r="G655" s="22"/>
      <c r="H655" s="22"/>
      <c r="I655" s="22"/>
      <c r="N655" s="124"/>
    </row>
    <row r="656" spans="1:14" ht="19.5" customHeight="1">
      <c r="A656" s="20"/>
      <c r="B656" s="21"/>
      <c r="C656" s="22"/>
      <c r="D656" s="189"/>
      <c r="E656" s="190"/>
      <c r="F656" s="81"/>
      <c r="G656" s="22"/>
      <c r="H656" s="22"/>
      <c r="I656" s="22"/>
      <c r="N656" s="124"/>
    </row>
    <row r="657" spans="1:14" ht="19.5" customHeight="1">
      <c r="A657" s="20"/>
      <c r="B657" s="21"/>
      <c r="C657" s="22"/>
      <c r="D657" s="189"/>
      <c r="E657" s="190"/>
      <c r="F657" s="81"/>
      <c r="G657" s="22"/>
      <c r="H657" s="22"/>
      <c r="I657" s="22"/>
      <c r="N657" s="124"/>
    </row>
    <row r="658" spans="1:14" ht="19.5" customHeight="1">
      <c r="A658" s="20"/>
      <c r="B658" s="21"/>
      <c r="C658" s="22"/>
      <c r="D658" s="189"/>
      <c r="E658" s="190"/>
      <c r="F658" s="81"/>
      <c r="G658" s="22"/>
      <c r="H658" s="22"/>
      <c r="I658" s="22"/>
      <c r="N658" s="124"/>
    </row>
    <row r="659" spans="1:14" ht="19.5" customHeight="1">
      <c r="A659" s="20"/>
      <c r="B659" s="21"/>
      <c r="C659" s="22"/>
      <c r="D659" s="189"/>
      <c r="E659" s="190"/>
      <c r="F659" s="81"/>
      <c r="G659" s="22"/>
      <c r="H659" s="22"/>
      <c r="I659" s="22"/>
      <c r="N659" s="124"/>
    </row>
    <row r="660" spans="1:14" ht="19.5" customHeight="1">
      <c r="A660" s="20"/>
      <c r="B660" s="21"/>
      <c r="C660" s="22"/>
      <c r="D660" s="189"/>
      <c r="E660" s="190"/>
      <c r="F660" s="81"/>
      <c r="G660" s="22"/>
      <c r="H660" s="22"/>
      <c r="I660" s="22"/>
      <c r="N660" s="124"/>
    </row>
    <row r="661" spans="1:14" ht="19.5" customHeight="1">
      <c r="A661" s="20"/>
      <c r="B661" s="21"/>
      <c r="C661" s="22"/>
      <c r="D661" s="189"/>
      <c r="E661" s="190"/>
      <c r="F661" s="81"/>
      <c r="G661" s="22"/>
      <c r="H661" s="22"/>
      <c r="I661" s="22"/>
      <c r="N661" s="124"/>
    </row>
    <row r="662" spans="1:14" ht="19.5" customHeight="1">
      <c r="A662" s="20"/>
      <c r="B662" s="21"/>
      <c r="C662" s="22"/>
      <c r="D662" s="189"/>
      <c r="E662" s="190"/>
      <c r="F662" s="81"/>
      <c r="G662" s="22"/>
      <c r="H662" s="22"/>
      <c r="I662" s="22"/>
      <c r="N662" s="124"/>
    </row>
    <row r="663" spans="1:14" ht="19.5" customHeight="1">
      <c r="A663" s="20"/>
      <c r="B663" s="21"/>
      <c r="C663" s="22"/>
      <c r="D663" s="189"/>
      <c r="E663" s="190"/>
      <c r="F663" s="81"/>
      <c r="G663" s="22"/>
      <c r="H663" s="22"/>
      <c r="I663" s="22"/>
      <c r="N663" s="124"/>
    </row>
    <row r="664" spans="1:14" ht="19.5" customHeight="1">
      <c r="A664" s="20"/>
      <c r="B664" s="21"/>
      <c r="C664" s="22"/>
      <c r="D664" s="189"/>
      <c r="E664" s="190"/>
      <c r="F664" s="81"/>
      <c r="G664" s="22"/>
      <c r="H664" s="22"/>
      <c r="I664" s="22"/>
      <c r="N664" s="124"/>
    </row>
    <row r="665" spans="1:14" ht="19.5" customHeight="1">
      <c r="A665" s="20"/>
      <c r="B665" s="21"/>
      <c r="C665" s="22"/>
      <c r="D665" s="189"/>
      <c r="E665" s="190"/>
      <c r="F665" s="81"/>
      <c r="G665" s="22"/>
      <c r="H665" s="22"/>
      <c r="I665" s="22"/>
      <c r="N665" s="124"/>
    </row>
    <row r="666" spans="1:14" ht="19.5" customHeight="1">
      <c r="A666" s="20"/>
      <c r="B666" s="21"/>
      <c r="C666" s="22"/>
      <c r="D666" s="189"/>
      <c r="E666" s="190"/>
      <c r="F666" s="81"/>
      <c r="G666" s="22"/>
      <c r="H666" s="22"/>
      <c r="I666" s="22"/>
      <c r="N666" s="124"/>
    </row>
    <row r="667" spans="1:14" ht="19.5" customHeight="1">
      <c r="A667" s="20"/>
      <c r="B667" s="21"/>
      <c r="C667" s="22"/>
      <c r="D667" s="189"/>
      <c r="E667" s="190"/>
      <c r="F667" s="81"/>
      <c r="G667" s="22"/>
      <c r="H667" s="22"/>
      <c r="I667" s="22"/>
      <c r="N667" s="124"/>
    </row>
    <row r="668" spans="1:14" ht="19.5" customHeight="1">
      <c r="A668" s="20"/>
      <c r="B668" s="21"/>
      <c r="C668" s="22"/>
      <c r="D668" s="189"/>
      <c r="E668" s="190"/>
      <c r="F668" s="81"/>
      <c r="G668" s="22"/>
      <c r="H668" s="22"/>
      <c r="I668" s="22"/>
      <c r="N668" s="124"/>
    </row>
    <row r="669" spans="1:14" ht="19.5" customHeight="1">
      <c r="A669" s="20"/>
      <c r="B669" s="21"/>
      <c r="C669" s="22"/>
      <c r="D669" s="189"/>
      <c r="E669" s="190"/>
      <c r="F669" s="81"/>
      <c r="G669" s="22"/>
      <c r="H669" s="22"/>
      <c r="I669" s="22"/>
      <c r="N669" s="124"/>
    </row>
    <row r="670" spans="1:14" ht="19.5" customHeight="1">
      <c r="A670" s="20"/>
      <c r="B670" s="21"/>
      <c r="C670" s="22"/>
      <c r="D670" s="189"/>
      <c r="E670" s="190"/>
      <c r="F670" s="81"/>
      <c r="G670" s="22"/>
      <c r="H670" s="22"/>
      <c r="I670" s="22"/>
      <c r="N670" s="124"/>
    </row>
    <row r="671" spans="1:14" ht="19.5" customHeight="1">
      <c r="A671" s="20"/>
      <c r="B671" s="21"/>
      <c r="C671" s="22"/>
      <c r="D671" s="189"/>
      <c r="E671" s="190"/>
      <c r="F671" s="81"/>
      <c r="G671" s="22"/>
      <c r="H671" s="22"/>
      <c r="I671" s="22"/>
      <c r="N671" s="124"/>
    </row>
    <row r="672" spans="1:14" ht="19.5" customHeight="1">
      <c r="A672" s="20"/>
      <c r="B672" s="21"/>
      <c r="C672" s="22"/>
      <c r="D672" s="189"/>
      <c r="E672" s="190"/>
      <c r="F672" s="81"/>
      <c r="G672" s="22"/>
      <c r="H672" s="22"/>
      <c r="I672" s="22"/>
      <c r="N672" s="124"/>
    </row>
    <row r="673" spans="1:14" ht="19.5" customHeight="1">
      <c r="A673" s="20"/>
      <c r="B673" s="21"/>
      <c r="C673" s="22"/>
      <c r="D673" s="189"/>
      <c r="E673" s="190"/>
      <c r="F673" s="81"/>
      <c r="G673" s="22"/>
      <c r="H673" s="22"/>
      <c r="I673" s="22"/>
      <c r="N673" s="124"/>
    </row>
    <row r="674" spans="1:14" ht="19.5" customHeight="1">
      <c r="A674" s="20"/>
      <c r="B674" s="21"/>
      <c r="C674" s="22"/>
      <c r="D674" s="189"/>
      <c r="E674" s="190"/>
      <c r="F674" s="81"/>
      <c r="G674" s="22"/>
      <c r="H674" s="22"/>
      <c r="I674" s="22"/>
      <c r="N674" s="124"/>
    </row>
    <row r="675" spans="1:14" ht="19.5" customHeight="1">
      <c r="A675" s="20"/>
      <c r="B675" s="21"/>
      <c r="C675" s="22"/>
      <c r="D675" s="189"/>
      <c r="E675" s="190"/>
      <c r="F675" s="81"/>
      <c r="G675" s="22"/>
      <c r="H675" s="22"/>
      <c r="I675" s="22"/>
      <c r="N675" s="124"/>
    </row>
    <row r="676" spans="1:14" ht="19.5" customHeight="1">
      <c r="A676" s="20"/>
      <c r="B676" s="21"/>
      <c r="C676" s="22"/>
      <c r="D676" s="189"/>
      <c r="E676" s="190"/>
      <c r="F676" s="81"/>
      <c r="G676" s="22"/>
      <c r="H676" s="22"/>
      <c r="I676" s="22"/>
      <c r="N676" s="124"/>
    </row>
    <row r="677" spans="1:14" ht="19.5" customHeight="1">
      <c r="A677" s="20"/>
      <c r="B677" s="21"/>
      <c r="C677" s="22"/>
      <c r="D677" s="189"/>
      <c r="E677" s="190"/>
      <c r="F677" s="81"/>
      <c r="G677" s="22"/>
      <c r="H677" s="22"/>
      <c r="I677" s="22"/>
      <c r="N677" s="124"/>
    </row>
    <row r="678" spans="1:14" ht="19.5" customHeight="1">
      <c r="A678" s="20"/>
      <c r="B678" s="21"/>
      <c r="C678" s="22"/>
      <c r="D678" s="189"/>
      <c r="E678" s="190"/>
      <c r="F678" s="81"/>
      <c r="G678" s="22"/>
      <c r="H678" s="22"/>
      <c r="I678" s="22"/>
      <c r="N678" s="124"/>
    </row>
    <row r="679" spans="1:14" ht="19.5" customHeight="1">
      <c r="A679" s="20"/>
      <c r="B679" s="21"/>
      <c r="C679" s="22"/>
      <c r="D679" s="189"/>
      <c r="E679" s="190"/>
      <c r="F679" s="81"/>
      <c r="G679" s="22"/>
      <c r="H679" s="22"/>
      <c r="I679" s="22"/>
      <c r="N679" s="124"/>
    </row>
    <row r="680" spans="1:14" ht="19.5" customHeight="1">
      <c r="A680" s="20"/>
      <c r="B680" s="21"/>
      <c r="C680" s="22"/>
      <c r="D680" s="189"/>
      <c r="E680" s="190"/>
      <c r="F680" s="81"/>
      <c r="G680" s="22"/>
      <c r="H680" s="22"/>
      <c r="I680" s="22"/>
      <c r="N680" s="124"/>
    </row>
    <row r="681" spans="1:14" ht="19.5" customHeight="1">
      <c r="A681" s="20"/>
      <c r="B681" s="21"/>
      <c r="C681" s="22"/>
      <c r="D681" s="189"/>
      <c r="E681" s="190"/>
      <c r="F681" s="81"/>
      <c r="G681" s="22"/>
      <c r="H681" s="22"/>
      <c r="I681" s="22"/>
      <c r="N681" s="124"/>
    </row>
    <row r="682" spans="1:14" ht="19.5" customHeight="1">
      <c r="A682" s="20"/>
      <c r="B682" s="21"/>
      <c r="C682" s="22"/>
      <c r="D682" s="189"/>
      <c r="E682" s="190"/>
      <c r="F682" s="81"/>
      <c r="G682" s="22"/>
      <c r="H682" s="22"/>
      <c r="I682" s="22"/>
      <c r="N682" s="124"/>
    </row>
    <row r="683" spans="1:14" ht="19.5" customHeight="1">
      <c r="A683" s="20"/>
      <c r="B683" s="21"/>
      <c r="C683" s="22"/>
      <c r="D683" s="189"/>
      <c r="E683" s="190"/>
      <c r="F683" s="81"/>
      <c r="G683" s="22"/>
      <c r="H683" s="22"/>
      <c r="I683" s="22"/>
      <c r="N683" s="124"/>
    </row>
    <row r="684" spans="1:14" ht="19.5" customHeight="1">
      <c r="A684" s="20"/>
      <c r="B684" s="21"/>
      <c r="C684" s="22"/>
      <c r="D684" s="189"/>
      <c r="E684" s="190"/>
      <c r="F684" s="81"/>
      <c r="G684" s="22"/>
      <c r="H684" s="22"/>
      <c r="I684" s="22"/>
      <c r="N684" s="124"/>
    </row>
    <row r="685" spans="1:14" ht="19.5" customHeight="1">
      <c r="A685" s="20"/>
      <c r="B685" s="21"/>
      <c r="C685" s="22"/>
      <c r="D685" s="189"/>
      <c r="E685" s="190"/>
      <c r="F685" s="81"/>
      <c r="G685" s="22"/>
      <c r="H685" s="22"/>
      <c r="I685" s="22"/>
      <c r="N685" s="124"/>
    </row>
    <row r="686" spans="1:14" ht="19.5" customHeight="1">
      <c r="A686" s="20"/>
      <c r="B686" s="21"/>
      <c r="C686" s="22"/>
      <c r="D686" s="189"/>
      <c r="E686" s="190"/>
      <c r="F686" s="81"/>
      <c r="G686" s="22"/>
      <c r="H686" s="22"/>
      <c r="I686" s="22"/>
      <c r="N686" s="124"/>
    </row>
    <row r="687" spans="1:14" ht="19.5" customHeight="1">
      <c r="A687" s="20"/>
      <c r="B687" s="21"/>
      <c r="C687" s="22"/>
      <c r="D687" s="189"/>
      <c r="E687" s="190"/>
      <c r="F687" s="81"/>
      <c r="G687" s="22"/>
      <c r="H687" s="22"/>
      <c r="I687" s="22"/>
      <c r="N687" s="124"/>
    </row>
    <row r="688" spans="1:14" ht="19.5" customHeight="1">
      <c r="A688" s="20"/>
      <c r="B688" s="21"/>
      <c r="C688" s="22"/>
      <c r="D688" s="189"/>
      <c r="E688" s="190"/>
      <c r="F688" s="81"/>
      <c r="G688" s="22"/>
      <c r="H688" s="22"/>
      <c r="I688" s="22"/>
      <c r="N688" s="124"/>
    </row>
    <row r="689" spans="1:14" ht="19.5" customHeight="1">
      <c r="A689" s="20"/>
      <c r="B689" s="21"/>
      <c r="C689" s="22"/>
      <c r="D689" s="189"/>
      <c r="E689" s="190"/>
      <c r="F689" s="81"/>
      <c r="G689" s="22"/>
      <c r="H689" s="22"/>
      <c r="I689" s="22"/>
      <c r="N689" s="124"/>
    </row>
    <row r="690" spans="1:14" ht="19.5" customHeight="1">
      <c r="A690" s="20"/>
      <c r="B690" s="21"/>
      <c r="C690" s="22"/>
      <c r="D690" s="189"/>
      <c r="E690" s="190"/>
      <c r="F690" s="81"/>
      <c r="G690" s="22"/>
      <c r="H690" s="22"/>
      <c r="I690" s="22"/>
      <c r="N690" s="124"/>
    </row>
    <row r="691" spans="1:14" ht="19.5" customHeight="1">
      <c r="A691" s="20"/>
      <c r="B691" s="21"/>
      <c r="C691" s="22"/>
      <c r="D691" s="189"/>
      <c r="E691" s="190"/>
      <c r="F691" s="81"/>
      <c r="G691" s="22"/>
      <c r="H691" s="22"/>
      <c r="I691" s="22"/>
      <c r="N691" s="124"/>
    </row>
    <row r="692" spans="1:14" ht="19.5" customHeight="1">
      <c r="A692" s="20"/>
      <c r="B692" s="21"/>
      <c r="C692" s="22"/>
      <c r="D692" s="189"/>
      <c r="E692" s="190"/>
      <c r="F692" s="81"/>
      <c r="G692" s="22"/>
      <c r="H692" s="22"/>
      <c r="I692" s="22"/>
      <c r="N692" s="124"/>
    </row>
    <row r="693" spans="1:14" ht="19.5" customHeight="1">
      <c r="A693" s="20"/>
      <c r="B693" s="21"/>
      <c r="C693" s="22"/>
      <c r="D693" s="189"/>
      <c r="E693" s="190"/>
      <c r="F693" s="81"/>
      <c r="G693" s="22"/>
      <c r="H693" s="22"/>
      <c r="I693" s="22"/>
      <c r="N693" s="124"/>
    </row>
    <row r="694" spans="1:14" ht="19.5" customHeight="1">
      <c r="A694" s="20"/>
      <c r="B694" s="21"/>
      <c r="C694" s="22"/>
      <c r="D694" s="189"/>
      <c r="E694" s="190"/>
      <c r="F694" s="81"/>
      <c r="G694" s="22"/>
      <c r="H694" s="22"/>
      <c r="I694" s="22"/>
      <c r="N694" s="124"/>
    </row>
    <row r="695" spans="1:14" ht="19.5" customHeight="1">
      <c r="A695" s="20"/>
      <c r="B695" s="21"/>
      <c r="C695" s="22"/>
      <c r="D695" s="189"/>
      <c r="E695" s="190"/>
      <c r="F695" s="81"/>
      <c r="G695" s="22"/>
      <c r="H695" s="22"/>
      <c r="I695" s="22"/>
      <c r="N695" s="124"/>
    </row>
    <row r="696" spans="1:14" ht="19.5" customHeight="1">
      <c r="A696" s="20"/>
      <c r="B696" s="21"/>
      <c r="C696" s="22"/>
      <c r="D696" s="189"/>
      <c r="E696" s="190"/>
      <c r="F696" s="81"/>
      <c r="G696" s="22"/>
      <c r="H696" s="22"/>
      <c r="I696" s="22"/>
      <c r="N696" s="124"/>
    </row>
    <row r="697" spans="1:14" ht="19.5" customHeight="1">
      <c r="A697" s="20"/>
      <c r="B697" s="21"/>
      <c r="C697" s="22"/>
      <c r="D697" s="189"/>
      <c r="E697" s="190"/>
      <c r="F697" s="81"/>
      <c r="G697" s="22"/>
      <c r="H697" s="22"/>
      <c r="I697" s="22"/>
      <c r="N697" s="124"/>
    </row>
    <row r="698" spans="1:14" ht="19.5" customHeight="1">
      <c r="A698" s="20"/>
      <c r="B698" s="21"/>
      <c r="C698" s="22"/>
      <c r="D698" s="189"/>
      <c r="E698" s="190"/>
      <c r="F698" s="81"/>
      <c r="G698" s="22"/>
      <c r="H698" s="22"/>
      <c r="I698" s="22"/>
      <c r="N698" s="124"/>
    </row>
    <row r="699" spans="1:14" ht="19.5" customHeight="1">
      <c r="A699" s="20"/>
      <c r="B699" s="21"/>
      <c r="C699" s="22"/>
      <c r="D699" s="189"/>
      <c r="E699" s="190"/>
      <c r="F699" s="81"/>
      <c r="G699" s="22"/>
      <c r="H699" s="22"/>
      <c r="I699" s="22"/>
      <c r="N699" s="124"/>
    </row>
    <row r="700" spans="1:14" ht="19.5" customHeight="1">
      <c r="A700" s="20"/>
      <c r="B700" s="21"/>
      <c r="C700" s="22"/>
      <c r="D700" s="189"/>
      <c r="E700" s="190"/>
      <c r="F700" s="81"/>
      <c r="G700" s="22"/>
      <c r="H700" s="22"/>
      <c r="I700" s="22"/>
      <c r="N700" s="124"/>
    </row>
    <row r="701" spans="1:14" ht="19.5" customHeight="1">
      <c r="A701" s="20"/>
      <c r="B701" s="21"/>
      <c r="C701" s="22"/>
      <c r="D701" s="189"/>
      <c r="E701" s="190"/>
      <c r="F701" s="81"/>
      <c r="G701" s="22"/>
      <c r="H701" s="22"/>
      <c r="I701" s="22"/>
      <c r="N701" s="124"/>
    </row>
    <row r="702" spans="1:14" ht="19.5" customHeight="1">
      <c r="A702" s="20"/>
      <c r="B702" s="21"/>
      <c r="C702" s="22"/>
      <c r="D702" s="189"/>
      <c r="E702" s="190"/>
      <c r="F702" s="81"/>
      <c r="G702" s="22"/>
      <c r="H702" s="22"/>
      <c r="I702" s="22"/>
      <c r="N702" s="124"/>
    </row>
    <row r="703" spans="1:14" ht="19.5" customHeight="1">
      <c r="A703" s="20"/>
      <c r="B703" s="21"/>
      <c r="C703" s="22"/>
      <c r="D703" s="189"/>
      <c r="E703" s="190"/>
      <c r="F703" s="81"/>
      <c r="G703" s="22"/>
      <c r="H703" s="22"/>
      <c r="I703" s="22"/>
      <c r="N703" s="124"/>
    </row>
    <row r="704" spans="1:14" ht="19.5" customHeight="1">
      <c r="A704" s="20"/>
      <c r="B704" s="21"/>
      <c r="C704" s="22"/>
      <c r="D704" s="189"/>
      <c r="E704" s="190"/>
      <c r="F704" s="81"/>
      <c r="G704" s="22"/>
      <c r="H704" s="22"/>
      <c r="I704" s="22"/>
      <c r="N704" s="124"/>
    </row>
    <row r="705" spans="1:14" ht="19.5" customHeight="1">
      <c r="A705" s="20"/>
      <c r="B705" s="21"/>
      <c r="C705" s="22"/>
      <c r="D705" s="189"/>
      <c r="E705" s="190"/>
      <c r="F705" s="81"/>
      <c r="G705" s="22"/>
      <c r="H705" s="22"/>
      <c r="I705" s="22"/>
      <c r="N705" s="124"/>
    </row>
    <row r="706" spans="1:14" ht="19.5" customHeight="1">
      <c r="A706" s="20"/>
      <c r="B706" s="21"/>
      <c r="C706" s="22"/>
      <c r="D706" s="189"/>
      <c r="E706" s="190"/>
      <c r="F706" s="81"/>
      <c r="G706" s="22"/>
      <c r="H706" s="22"/>
      <c r="I706" s="22"/>
      <c r="N706" s="124"/>
    </row>
    <row r="707" spans="1:14" ht="19.5" customHeight="1">
      <c r="A707" s="20"/>
      <c r="B707" s="21"/>
      <c r="C707" s="22"/>
      <c r="D707" s="189"/>
      <c r="E707" s="190"/>
      <c r="F707" s="81"/>
      <c r="G707" s="22"/>
      <c r="H707" s="22"/>
      <c r="I707" s="22"/>
      <c r="N707" s="124"/>
    </row>
    <row r="708" spans="1:14" ht="19.5" customHeight="1">
      <c r="A708" s="20"/>
      <c r="B708" s="21"/>
      <c r="C708" s="22"/>
      <c r="D708" s="189"/>
      <c r="E708" s="190"/>
      <c r="F708" s="81"/>
      <c r="G708" s="22"/>
      <c r="H708" s="22"/>
      <c r="I708" s="22"/>
      <c r="N708" s="124"/>
    </row>
    <row r="709" spans="1:14" ht="19.5" customHeight="1">
      <c r="A709" s="20"/>
      <c r="B709" s="21"/>
      <c r="C709" s="22"/>
      <c r="D709" s="189"/>
      <c r="E709" s="190"/>
      <c r="F709" s="81"/>
      <c r="G709" s="22"/>
      <c r="H709" s="22"/>
      <c r="I709" s="22"/>
      <c r="N709" s="124"/>
    </row>
    <row r="710" spans="1:14" ht="19.5" customHeight="1">
      <c r="A710" s="20"/>
      <c r="B710" s="21"/>
      <c r="C710" s="22"/>
      <c r="D710" s="189"/>
      <c r="E710" s="190"/>
      <c r="F710" s="81"/>
      <c r="G710" s="22"/>
      <c r="H710" s="22"/>
      <c r="I710" s="22"/>
      <c r="N710" s="124"/>
    </row>
    <row r="711" spans="1:14" ht="19.5" customHeight="1">
      <c r="A711" s="20"/>
      <c r="B711" s="21"/>
      <c r="C711" s="22"/>
      <c r="D711" s="189"/>
      <c r="E711" s="190"/>
      <c r="F711" s="81"/>
      <c r="G711" s="22"/>
      <c r="H711" s="22"/>
      <c r="I711" s="22"/>
      <c r="N711" s="124"/>
    </row>
    <row r="712" spans="1:14" ht="19.5" customHeight="1">
      <c r="A712" s="20"/>
      <c r="B712" s="21"/>
      <c r="C712" s="22"/>
      <c r="D712" s="189"/>
      <c r="E712" s="190"/>
      <c r="F712" s="81"/>
      <c r="G712" s="22"/>
      <c r="H712" s="22"/>
      <c r="I712" s="22"/>
      <c r="N712" s="124"/>
    </row>
    <row r="713" spans="1:14" ht="19.5" customHeight="1">
      <c r="A713" s="20"/>
      <c r="B713" s="21"/>
      <c r="C713" s="22"/>
      <c r="D713" s="189"/>
      <c r="E713" s="190"/>
      <c r="F713" s="81"/>
      <c r="G713" s="22"/>
      <c r="H713" s="22"/>
      <c r="I713" s="22"/>
      <c r="N713" s="124"/>
    </row>
    <row r="714" spans="1:14" ht="19.5" customHeight="1">
      <c r="A714" s="20"/>
      <c r="B714" s="21"/>
      <c r="C714" s="22"/>
      <c r="D714" s="189"/>
      <c r="E714" s="190"/>
      <c r="F714" s="81"/>
      <c r="G714" s="22"/>
      <c r="H714" s="22"/>
      <c r="I714" s="22"/>
      <c r="N714" s="124"/>
    </row>
    <row r="715" spans="1:14" ht="19.5" customHeight="1">
      <c r="A715" s="20"/>
      <c r="B715" s="21"/>
      <c r="C715" s="22"/>
      <c r="D715" s="189"/>
      <c r="E715" s="190"/>
      <c r="F715" s="81"/>
      <c r="G715" s="22"/>
      <c r="H715" s="22"/>
      <c r="I715" s="22"/>
      <c r="N715" s="124"/>
    </row>
    <row r="716" spans="1:14" ht="19.5" customHeight="1">
      <c r="A716" s="20"/>
      <c r="B716" s="21"/>
      <c r="C716" s="22"/>
      <c r="D716" s="189"/>
      <c r="E716" s="190"/>
      <c r="F716" s="81"/>
      <c r="G716" s="22"/>
      <c r="H716" s="22"/>
      <c r="I716" s="22"/>
      <c r="N716" s="124"/>
    </row>
    <row r="717" spans="1:14" ht="19.5" customHeight="1">
      <c r="A717" s="20"/>
      <c r="B717" s="21"/>
      <c r="C717" s="22"/>
      <c r="D717" s="189"/>
      <c r="E717" s="190"/>
      <c r="F717" s="81"/>
      <c r="G717" s="22"/>
      <c r="H717" s="22"/>
      <c r="I717" s="22"/>
      <c r="N717" s="124"/>
    </row>
    <row r="718" spans="1:14" ht="19.5" customHeight="1">
      <c r="A718" s="20"/>
      <c r="B718" s="21"/>
      <c r="C718" s="22"/>
      <c r="D718" s="189"/>
      <c r="E718" s="190"/>
      <c r="F718" s="81"/>
      <c r="G718" s="22"/>
      <c r="H718" s="22"/>
      <c r="I718" s="22"/>
      <c r="N718" s="124"/>
    </row>
    <row r="719" spans="1:14" ht="19.5" customHeight="1">
      <c r="A719" s="20"/>
      <c r="B719" s="21"/>
      <c r="C719" s="22"/>
      <c r="D719" s="189"/>
      <c r="E719" s="190"/>
      <c r="F719" s="81"/>
      <c r="G719" s="22"/>
      <c r="H719" s="22"/>
      <c r="I719" s="22"/>
      <c r="N719" s="124"/>
    </row>
    <row r="720" spans="1:14" ht="19.5" customHeight="1">
      <c r="A720" s="20"/>
      <c r="B720" s="21"/>
      <c r="C720" s="22"/>
      <c r="D720" s="189"/>
      <c r="E720" s="190"/>
      <c r="F720" s="81"/>
      <c r="G720" s="22"/>
      <c r="H720" s="22"/>
      <c r="I720" s="22"/>
      <c r="N720" s="124"/>
    </row>
    <row r="721" spans="1:14" ht="19.5" customHeight="1">
      <c r="A721" s="20"/>
      <c r="B721" s="21"/>
      <c r="C721" s="22"/>
      <c r="D721" s="189"/>
      <c r="E721" s="190"/>
      <c r="F721" s="81"/>
      <c r="G721" s="22"/>
      <c r="H721" s="22"/>
      <c r="I721" s="22"/>
      <c r="N721" s="124"/>
    </row>
    <row r="722" spans="1:14" ht="19.5" customHeight="1">
      <c r="A722" s="20"/>
      <c r="B722" s="21"/>
      <c r="C722" s="22"/>
      <c r="D722" s="189"/>
      <c r="E722" s="190"/>
      <c r="F722" s="81"/>
      <c r="G722" s="22"/>
      <c r="H722" s="22"/>
      <c r="I722" s="22"/>
      <c r="N722" s="124"/>
    </row>
    <row r="723" spans="1:14" ht="19.5" customHeight="1">
      <c r="A723" s="20"/>
      <c r="B723" s="21"/>
      <c r="C723" s="22"/>
      <c r="D723" s="189"/>
      <c r="E723" s="190"/>
      <c r="F723" s="81"/>
      <c r="G723" s="22"/>
      <c r="H723" s="22"/>
      <c r="I723" s="22"/>
      <c r="N723" s="124"/>
    </row>
    <row r="724" spans="1:14" ht="19.5" customHeight="1">
      <c r="A724" s="20"/>
      <c r="B724" s="21"/>
      <c r="C724" s="22"/>
      <c r="D724" s="189"/>
      <c r="E724" s="190"/>
      <c r="F724" s="81"/>
      <c r="G724" s="22"/>
      <c r="H724" s="22"/>
      <c r="I724" s="22"/>
      <c r="N724" s="124"/>
    </row>
    <row r="725" spans="1:14" ht="19.5" customHeight="1">
      <c r="A725" s="20"/>
      <c r="B725" s="21"/>
      <c r="C725" s="22"/>
      <c r="D725" s="189"/>
      <c r="E725" s="190"/>
      <c r="F725" s="81"/>
      <c r="G725" s="22"/>
      <c r="H725" s="22"/>
      <c r="I725" s="22"/>
      <c r="N725" s="124"/>
    </row>
    <row r="726" spans="1:14" ht="19.5" customHeight="1">
      <c r="A726" s="20"/>
      <c r="B726" s="21"/>
      <c r="C726" s="22"/>
      <c r="D726" s="189"/>
      <c r="E726" s="190"/>
      <c r="F726" s="81"/>
      <c r="G726" s="22"/>
      <c r="H726" s="22"/>
      <c r="I726" s="22"/>
      <c r="N726" s="124"/>
    </row>
    <row r="727" spans="1:14" ht="19.5" customHeight="1">
      <c r="A727" s="20"/>
      <c r="B727" s="21"/>
      <c r="C727" s="22"/>
      <c r="D727" s="189"/>
      <c r="E727" s="190"/>
      <c r="F727" s="81"/>
      <c r="G727" s="22"/>
      <c r="H727" s="22"/>
      <c r="I727" s="22"/>
      <c r="N727" s="124"/>
    </row>
    <row r="728" spans="1:14" ht="19.5" customHeight="1">
      <c r="A728" s="20"/>
      <c r="B728" s="21"/>
      <c r="C728" s="22"/>
      <c r="D728" s="189"/>
      <c r="E728" s="190"/>
      <c r="F728" s="81"/>
      <c r="G728" s="22"/>
      <c r="H728" s="22"/>
      <c r="I728" s="22"/>
      <c r="N728" s="124"/>
    </row>
    <row r="729" spans="1:14" ht="19.5" customHeight="1">
      <c r="A729" s="20"/>
      <c r="B729" s="21"/>
      <c r="C729" s="22"/>
      <c r="D729" s="189"/>
      <c r="E729" s="190"/>
      <c r="F729" s="81"/>
      <c r="G729" s="22"/>
      <c r="H729" s="22"/>
      <c r="I729" s="22"/>
      <c r="N729" s="124"/>
    </row>
    <row r="730" spans="1:14" ht="19.5" customHeight="1">
      <c r="A730" s="20"/>
      <c r="B730" s="21"/>
      <c r="C730" s="22"/>
      <c r="D730" s="189"/>
      <c r="E730" s="190"/>
      <c r="F730" s="81"/>
      <c r="G730" s="22"/>
      <c r="H730" s="22"/>
      <c r="I730" s="22"/>
      <c r="N730" s="124"/>
    </row>
    <row r="731" spans="1:14" ht="19.5" customHeight="1">
      <c r="A731" s="20"/>
      <c r="B731" s="21"/>
      <c r="C731" s="22"/>
      <c r="D731" s="189"/>
      <c r="E731" s="190"/>
      <c r="F731" s="81"/>
      <c r="G731" s="22"/>
      <c r="H731" s="22"/>
      <c r="I731" s="22"/>
      <c r="N731" s="124"/>
    </row>
    <row r="732" spans="1:14" ht="19.5" customHeight="1">
      <c r="A732" s="20"/>
      <c r="B732" s="21"/>
      <c r="C732" s="22"/>
      <c r="D732" s="189"/>
      <c r="E732" s="190"/>
      <c r="F732" s="81"/>
      <c r="G732" s="22"/>
      <c r="H732" s="22"/>
      <c r="I732" s="22"/>
      <c r="N732" s="124"/>
    </row>
    <row r="733" spans="1:14" ht="19.5" customHeight="1">
      <c r="A733" s="20"/>
      <c r="B733" s="21"/>
      <c r="C733" s="22"/>
      <c r="D733" s="189"/>
      <c r="E733" s="190"/>
      <c r="F733" s="81"/>
      <c r="G733" s="22"/>
      <c r="H733" s="22"/>
      <c r="I733" s="22"/>
      <c r="N733" s="124"/>
    </row>
    <row r="734" spans="1:14" ht="19.5" customHeight="1">
      <c r="A734" s="20"/>
      <c r="B734" s="21"/>
      <c r="C734" s="22"/>
      <c r="D734" s="189"/>
      <c r="E734" s="190"/>
      <c r="F734" s="81"/>
      <c r="G734" s="22"/>
      <c r="H734" s="22"/>
      <c r="I734" s="22"/>
      <c r="N734" s="124"/>
    </row>
    <row r="735" spans="1:14" ht="19.5" customHeight="1">
      <c r="A735" s="20"/>
      <c r="B735" s="21"/>
      <c r="C735" s="22"/>
      <c r="D735" s="189"/>
      <c r="E735" s="190"/>
      <c r="F735" s="81"/>
      <c r="G735" s="22"/>
      <c r="H735" s="22"/>
      <c r="I735" s="22"/>
      <c r="N735" s="124"/>
    </row>
    <row r="736" spans="1:14" ht="19.5" customHeight="1">
      <c r="A736" s="20"/>
      <c r="B736" s="21"/>
      <c r="C736" s="22"/>
      <c r="D736" s="189"/>
      <c r="E736" s="190"/>
      <c r="F736" s="81"/>
      <c r="G736" s="22"/>
      <c r="H736" s="22"/>
      <c r="I736" s="22"/>
      <c r="N736" s="124"/>
    </row>
    <row r="737" spans="1:14" ht="19.5" customHeight="1">
      <c r="A737" s="20"/>
      <c r="B737" s="21"/>
      <c r="C737" s="22"/>
      <c r="D737" s="189"/>
      <c r="E737" s="190"/>
      <c r="F737" s="81"/>
      <c r="G737" s="22"/>
      <c r="H737" s="22"/>
      <c r="I737" s="22"/>
      <c r="N737" s="124"/>
    </row>
    <row r="738" spans="1:14" ht="19.5" customHeight="1">
      <c r="A738" s="20"/>
      <c r="B738" s="21"/>
      <c r="C738" s="22"/>
      <c r="D738" s="189"/>
      <c r="E738" s="190"/>
      <c r="F738" s="81"/>
      <c r="G738" s="22"/>
      <c r="H738" s="22"/>
      <c r="I738" s="22"/>
      <c r="N738" s="124"/>
    </row>
    <row r="739" spans="1:14" ht="19.5" customHeight="1">
      <c r="A739" s="20"/>
      <c r="B739" s="21"/>
      <c r="C739" s="22"/>
      <c r="D739" s="189"/>
      <c r="E739" s="190"/>
      <c r="F739" s="81"/>
      <c r="G739" s="22"/>
      <c r="H739" s="22"/>
      <c r="I739" s="22"/>
      <c r="N739" s="124"/>
    </row>
    <row r="740" spans="1:14" ht="19.5" customHeight="1">
      <c r="A740" s="20"/>
      <c r="B740" s="21"/>
      <c r="C740" s="22"/>
      <c r="D740" s="189"/>
      <c r="E740" s="190"/>
      <c r="F740" s="81"/>
      <c r="G740" s="22"/>
      <c r="H740" s="22"/>
      <c r="I740" s="22"/>
      <c r="N740" s="124"/>
    </row>
    <row r="741" spans="1:14" ht="19.5" customHeight="1">
      <c r="A741" s="20"/>
      <c r="B741" s="21"/>
      <c r="C741" s="22"/>
      <c r="D741" s="189"/>
      <c r="E741" s="190"/>
      <c r="F741" s="81"/>
      <c r="G741" s="22"/>
      <c r="H741" s="22"/>
      <c r="I741" s="22"/>
      <c r="N741" s="124"/>
    </row>
    <row r="742" spans="1:14" ht="19.5" customHeight="1">
      <c r="A742" s="20"/>
      <c r="B742" s="21"/>
      <c r="C742" s="22"/>
      <c r="D742" s="189"/>
      <c r="E742" s="190"/>
      <c r="F742" s="81"/>
      <c r="G742" s="22"/>
      <c r="H742" s="22"/>
      <c r="I742" s="22"/>
      <c r="N742" s="124"/>
    </row>
    <row r="743" spans="1:14" ht="19.5" customHeight="1">
      <c r="A743" s="20"/>
      <c r="B743" s="21"/>
      <c r="C743" s="22"/>
      <c r="D743" s="189"/>
      <c r="E743" s="190"/>
      <c r="F743" s="81"/>
      <c r="G743" s="22"/>
      <c r="H743" s="22"/>
      <c r="I743" s="22"/>
      <c r="N743" s="124"/>
    </row>
    <row r="744" spans="1:14" ht="19.5" customHeight="1">
      <c r="A744" s="20"/>
      <c r="B744" s="21"/>
      <c r="C744" s="22"/>
      <c r="D744" s="189"/>
      <c r="E744" s="190"/>
      <c r="F744" s="81"/>
      <c r="G744" s="22"/>
      <c r="H744" s="22"/>
      <c r="I744" s="22"/>
      <c r="N744" s="124"/>
    </row>
    <row r="745" spans="1:14" ht="19.5" customHeight="1">
      <c r="A745" s="20"/>
      <c r="B745" s="21"/>
      <c r="C745" s="22"/>
      <c r="D745" s="189"/>
      <c r="E745" s="190"/>
      <c r="F745" s="81"/>
      <c r="G745" s="22"/>
      <c r="H745" s="22"/>
      <c r="I745" s="22"/>
      <c r="N745" s="124"/>
    </row>
    <row r="746" spans="1:14" ht="19.5" customHeight="1">
      <c r="A746" s="20"/>
      <c r="B746" s="21"/>
      <c r="C746" s="22"/>
      <c r="D746" s="189"/>
      <c r="E746" s="190"/>
      <c r="F746" s="81"/>
      <c r="G746" s="22"/>
      <c r="H746" s="22"/>
      <c r="I746" s="22"/>
      <c r="N746" s="124"/>
    </row>
    <row r="747" spans="1:14" ht="19.5" customHeight="1">
      <c r="A747" s="20"/>
      <c r="B747" s="21"/>
      <c r="C747" s="22"/>
      <c r="D747" s="189"/>
      <c r="E747" s="190"/>
      <c r="F747" s="81"/>
      <c r="G747" s="22"/>
      <c r="H747" s="22"/>
      <c r="I747" s="22"/>
      <c r="N747" s="124"/>
    </row>
    <row r="748" spans="1:14" ht="19.5" customHeight="1">
      <c r="A748" s="20"/>
      <c r="B748" s="21"/>
      <c r="C748" s="22"/>
      <c r="D748" s="189"/>
      <c r="E748" s="190"/>
      <c r="F748" s="81"/>
      <c r="G748" s="22"/>
      <c r="H748" s="22"/>
      <c r="I748" s="22"/>
      <c r="N748" s="124"/>
    </row>
    <row r="749" spans="1:14" ht="19.5" customHeight="1">
      <c r="A749" s="20"/>
      <c r="B749" s="21"/>
      <c r="C749" s="22"/>
      <c r="D749" s="189"/>
      <c r="E749" s="190"/>
      <c r="F749" s="81"/>
      <c r="G749" s="22"/>
      <c r="H749" s="22"/>
      <c r="I749" s="22"/>
      <c r="N749" s="124"/>
    </row>
    <row r="750" spans="1:14" ht="19.5" customHeight="1">
      <c r="A750" s="20"/>
      <c r="B750" s="21"/>
      <c r="C750" s="22"/>
      <c r="D750" s="189"/>
      <c r="E750" s="190"/>
      <c r="F750" s="81"/>
      <c r="G750" s="22"/>
      <c r="H750" s="22"/>
      <c r="I750" s="22"/>
      <c r="N750" s="124"/>
    </row>
    <row r="751" spans="1:14" ht="19.5" customHeight="1">
      <c r="A751" s="20"/>
      <c r="B751" s="21"/>
      <c r="C751" s="22"/>
      <c r="D751" s="189"/>
      <c r="E751" s="190"/>
      <c r="F751" s="81"/>
      <c r="G751" s="22"/>
      <c r="H751" s="22"/>
      <c r="I751" s="22"/>
      <c r="N751" s="124"/>
    </row>
    <row r="752" spans="1:14" ht="19.5" customHeight="1">
      <c r="A752" s="20"/>
      <c r="B752" s="21"/>
      <c r="C752" s="22"/>
      <c r="D752" s="189"/>
      <c r="E752" s="190"/>
      <c r="F752" s="81"/>
      <c r="G752" s="22"/>
      <c r="H752" s="22"/>
      <c r="I752" s="22"/>
      <c r="N752" s="124"/>
    </row>
    <row r="753" spans="1:14" ht="19.5" customHeight="1">
      <c r="A753" s="20"/>
      <c r="B753" s="21"/>
      <c r="C753" s="22"/>
      <c r="D753" s="189"/>
      <c r="E753" s="190"/>
      <c r="F753" s="81"/>
      <c r="G753" s="22"/>
      <c r="H753" s="22"/>
      <c r="I753" s="22"/>
      <c r="N753" s="124"/>
    </row>
    <row r="754" spans="1:14" ht="19.5" customHeight="1">
      <c r="A754" s="20"/>
      <c r="B754" s="21"/>
      <c r="C754" s="22"/>
      <c r="D754" s="189"/>
      <c r="E754" s="190"/>
      <c r="F754" s="81"/>
      <c r="G754" s="22"/>
      <c r="H754" s="22"/>
      <c r="I754" s="22"/>
      <c r="N754" s="124"/>
    </row>
    <row r="755" spans="1:14" ht="19.5" customHeight="1">
      <c r="A755" s="20"/>
      <c r="B755" s="21"/>
      <c r="C755" s="22"/>
      <c r="D755" s="189"/>
      <c r="E755" s="190"/>
      <c r="F755" s="81"/>
      <c r="G755" s="22"/>
      <c r="H755" s="22"/>
      <c r="I755" s="22"/>
      <c r="N755" s="124"/>
    </row>
    <row r="756" spans="1:14" ht="19.5" customHeight="1">
      <c r="A756" s="20"/>
      <c r="B756" s="21"/>
      <c r="C756" s="22"/>
      <c r="D756" s="189"/>
      <c r="E756" s="190"/>
      <c r="F756" s="81"/>
      <c r="G756" s="22"/>
      <c r="H756" s="22"/>
      <c r="I756" s="22"/>
      <c r="N756" s="124"/>
    </row>
    <row r="757" spans="1:14" ht="19.5" customHeight="1">
      <c r="A757" s="20"/>
      <c r="B757" s="21"/>
      <c r="C757" s="22"/>
      <c r="D757" s="189"/>
      <c r="E757" s="190"/>
      <c r="F757" s="81"/>
      <c r="G757" s="22"/>
      <c r="H757" s="22"/>
      <c r="I757" s="22"/>
      <c r="N757" s="124"/>
    </row>
    <row r="758" spans="1:14" ht="19.5" customHeight="1">
      <c r="A758" s="20"/>
      <c r="B758" s="21"/>
      <c r="C758" s="22"/>
      <c r="D758" s="189"/>
      <c r="E758" s="190"/>
      <c r="F758" s="81"/>
      <c r="G758" s="22"/>
      <c r="H758" s="22"/>
      <c r="I758" s="22"/>
      <c r="N758" s="124"/>
    </row>
    <row r="759" spans="1:14" ht="19.5" customHeight="1">
      <c r="A759" s="20"/>
      <c r="B759" s="21"/>
      <c r="C759" s="22"/>
      <c r="D759" s="189"/>
      <c r="E759" s="190"/>
      <c r="F759" s="81"/>
      <c r="G759" s="22"/>
      <c r="H759" s="22"/>
      <c r="I759" s="22"/>
      <c r="N759" s="124"/>
    </row>
    <row r="760" spans="1:14" ht="19.5" customHeight="1">
      <c r="A760" s="20"/>
      <c r="B760" s="21"/>
      <c r="C760" s="22"/>
      <c r="D760" s="189"/>
      <c r="E760" s="190"/>
      <c r="F760" s="81"/>
      <c r="G760" s="22"/>
      <c r="H760" s="22"/>
      <c r="I760" s="22"/>
      <c r="N760" s="124"/>
    </row>
    <row r="761" spans="1:14" ht="19.5" customHeight="1">
      <c r="A761" s="20"/>
      <c r="B761" s="21"/>
      <c r="C761" s="22"/>
      <c r="D761" s="189"/>
      <c r="E761" s="190"/>
      <c r="F761" s="81"/>
      <c r="G761" s="22"/>
      <c r="H761" s="22"/>
      <c r="I761" s="22"/>
      <c r="N761" s="124"/>
    </row>
    <row r="762" spans="1:14" ht="19.5" customHeight="1">
      <c r="A762" s="20"/>
      <c r="B762" s="21"/>
      <c r="C762" s="22"/>
      <c r="D762" s="189"/>
      <c r="E762" s="190"/>
      <c r="F762" s="81"/>
      <c r="G762" s="22"/>
      <c r="H762" s="22"/>
      <c r="I762" s="22"/>
      <c r="N762" s="124"/>
    </row>
    <row r="763" spans="1:14" ht="19.5" customHeight="1">
      <c r="A763" s="20"/>
      <c r="B763" s="21"/>
      <c r="C763" s="22"/>
      <c r="D763" s="189"/>
      <c r="E763" s="190"/>
      <c r="F763" s="81"/>
      <c r="G763" s="22"/>
      <c r="H763" s="22"/>
      <c r="I763" s="22"/>
      <c r="N763" s="124"/>
    </row>
    <row r="764" spans="1:14" ht="19.5" customHeight="1">
      <c r="A764" s="20"/>
      <c r="B764" s="21"/>
      <c r="C764" s="22"/>
      <c r="D764" s="189"/>
      <c r="E764" s="190"/>
      <c r="F764" s="81"/>
      <c r="G764" s="22"/>
      <c r="H764" s="22"/>
      <c r="I764" s="22"/>
      <c r="N764" s="124"/>
    </row>
    <row r="765" spans="1:14" ht="19.5" customHeight="1">
      <c r="A765" s="20"/>
      <c r="B765" s="21"/>
      <c r="C765" s="22"/>
      <c r="D765" s="189"/>
      <c r="E765" s="190"/>
      <c r="F765" s="81"/>
      <c r="G765" s="22"/>
      <c r="H765" s="22"/>
      <c r="I765" s="22"/>
      <c r="N765" s="124"/>
    </row>
    <row r="766" spans="1:14" ht="19.5" customHeight="1">
      <c r="A766" s="20"/>
      <c r="B766" s="21"/>
      <c r="C766" s="22"/>
      <c r="D766" s="189"/>
      <c r="E766" s="190"/>
      <c r="F766" s="81"/>
      <c r="G766" s="22"/>
      <c r="H766" s="22"/>
      <c r="I766" s="22"/>
      <c r="N766" s="124"/>
    </row>
    <row r="767" spans="1:14" ht="19.5" customHeight="1">
      <c r="A767" s="20"/>
      <c r="B767" s="21"/>
      <c r="C767" s="22"/>
      <c r="D767" s="189"/>
      <c r="E767" s="190"/>
      <c r="F767" s="81"/>
      <c r="G767" s="22"/>
      <c r="H767" s="22"/>
      <c r="I767" s="22"/>
      <c r="N767" s="124"/>
    </row>
    <row r="768" spans="1:14" ht="19.5" customHeight="1">
      <c r="A768" s="20"/>
      <c r="B768" s="21"/>
      <c r="C768" s="22"/>
      <c r="D768" s="189"/>
      <c r="E768" s="190"/>
      <c r="F768" s="81"/>
      <c r="G768" s="22"/>
      <c r="H768" s="22"/>
      <c r="I768" s="22"/>
      <c r="N768" s="124"/>
    </row>
    <row r="769" spans="1:14" ht="19.5" customHeight="1">
      <c r="A769" s="20"/>
      <c r="B769" s="21"/>
      <c r="C769" s="22"/>
      <c r="D769" s="189"/>
      <c r="E769" s="190"/>
      <c r="F769" s="81"/>
      <c r="G769" s="22"/>
      <c r="H769" s="22"/>
      <c r="I769" s="22"/>
      <c r="N769" s="124"/>
    </row>
    <row r="770" spans="1:14" ht="19.5" customHeight="1">
      <c r="A770" s="20"/>
      <c r="B770" s="21"/>
      <c r="C770" s="22"/>
      <c r="D770" s="189"/>
      <c r="E770" s="190"/>
      <c r="F770" s="81"/>
      <c r="G770" s="22"/>
      <c r="H770" s="22"/>
      <c r="I770" s="22"/>
      <c r="N770" s="124"/>
    </row>
    <row r="771" spans="1:14" ht="19.5" customHeight="1">
      <c r="A771" s="20"/>
      <c r="B771" s="21"/>
      <c r="C771" s="22"/>
      <c r="D771" s="189"/>
      <c r="E771" s="190"/>
      <c r="F771" s="81"/>
      <c r="G771" s="22"/>
      <c r="H771" s="22"/>
      <c r="I771" s="22"/>
      <c r="N771" s="124"/>
    </row>
    <row r="772" spans="1:14" ht="19.5" customHeight="1">
      <c r="A772" s="20"/>
      <c r="B772" s="21"/>
      <c r="C772" s="22"/>
      <c r="D772" s="189"/>
      <c r="E772" s="190"/>
      <c r="F772" s="81"/>
      <c r="G772" s="22"/>
      <c r="H772" s="22"/>
      <c r="I772" s="22"/>
      <c r="N772" s="124"/>
    </row>
    <row r="773" spans="1:14" ht="19.5" customHeight="1">
      <c r="A773" s="20"/>
      <c r="B773" s="21"/>
      <c r="C773" s="22"/>
      <c r="D773" s="189"/>
      <c r="E773" s="190"/>
      <c r="F773" s="81"/>
      <c r="G773" s="22"/>
      <c r="H773" s="22"/>
      <c r="I773" s="22"/>
      <c r="N773" s="124"/>
    </row>
    <row r="774" spans="1:14" ht="19.5" customHeight="1">
      <c r="A774" s="20"/>
      <c r="B774" s="21"/>
      <c r="C774" s="22"/>
      <c r="D774" s="189"/>
      <c r="E774" s="190"/>
      <c r="F774" s="81"/>
      <c r="G774" s="22"/>
      <c r="H774" s="22"/>
      <c r="I774" s="22"/>
      <c r="N774" s="124"/>
    </row>
    <row r="775" spans="1:14" ht="19.5" customHeight="1">
      <c r="A775" s="20"/>
      <c r="B775" s="21"/>
      <c r="C775" s="22"/>
      <c r="D775" s="189"/>
      <c r="E775" s="190"/>
      <c r="F775" s="81"/>
      <c r="G775" s="22"/>
      <c r="H775" s="22"/>
      <c r="I775" s="22"/>
      <c r="N775" s="124"/>
    </row>
    <row r="776" spans="1:14" ht="19.5" customHeight="1">
      <c r="A776" s="20"/>
      <c r="B776" s="21"/>
      <c r="C776" s="22"/>
      <c r="D776" s="189"/>
      <c r="E776" s="190"/>
      <c r="F776" s="81"/>
      <c r="G776" s="22"/>
      <c r="H776" s="22"/>
      <c r="I776" s="22"/>
      <c r="N776" s="124"/>
    </row>
    <row r="777" spans="1:14" ht="19.5" customHeight="1">
      <c r="A777" s="20"/>
      <c r="B777" s="21"/>
      <c r="C777" s="22"/>
      <c r="D777" s="189"/>
      <c r="E777" s="190"/>
      <c r="F777" s="81"/>
      <c r="G777" s="22"/>
      <c r="H777" s="22"/>
      <c r="I777" s="22"/>
      <c r="N777" s="124"/>
    </row>
    <row r="778" spans="1:14" ht="19.5" customHeight="1">
      <c r="A778" s="20"/>
      <c r="B778" s="21"/>
      <c r="C778" s="22"/>
      <c r="D778" s="189"/>
      <c r="E778" s="190"/>
      <c r="F778" s="81"/>
      <c r="G778" s="22"/>
      <c r="H778" s="22"/>
      <c r="I778" s="22"/>
      <c r="N778" s="124"/>
    </row>
    <row r="779" spans="1:14" ht="19.5" customHeight="1">
      <c r="A779" s="20"/>
      <c r="B779" s="21"/>
      <c r="C779" s="22"/>
      <c r="D779" s="189"/>
      <c r="E779" s="190"/>
      <c r="F779" s="81"/>
      <c r="G779" s="22"/>
      <c r="H779" s="22"/>
      <c r="I779" s="22"/>
      <c r="N779" s="124"/>
    </row>
    <row r="780" spans="1:14" ht="19.5" customHeight="1">
      <c r="A780" s="20"/>
      <c r="B780" s="21"/>
      <c r="C780" s="22"/>
      <c r="D780" s="189"/>
      <c r="E780" s="190"/>
      <c r="F780" s="81"/>
      <c r="G780" s="22"/>
      <c r="H780" s="22"/>
      <c r="I780" s="22"/>
      <c r="N780" s="124"/>
    </row>
    <row r="781" spans="1:14" ht="19.5" customHeight="1">
      <c r="A781" s="20"/>
      <c r="B781" s="21"/>
      <c r="C781" s="22"/>
      <c r="D781" s="189"/>
      <c r="E781" s="190"/>
      <c r="F781" s="81"/>
      <c r="G781" s="22"/>
      <c r="H781" s="22"/>
      <c r="I781" s="22"/>
      <c r="N781" s="124"/>
    </row>
    <row r="782" spans="1:14" ht="19.5" customHeight="1">
      <c r="A782" s="20"/>
      <c r="B782" s="21"/>
      <c r="C782" s="22"/>
      <c r="D782" s="189"/>
      <c r="E782" s="190"/>
      <c r="F782" s="81"/>
      <c r="G782" s="22"/>
      <c r="H782" s="22"/>
      <c r="I782" s="22"/>
      <c r="N782" s="124"/>
    </row>
    <row r="783" spans="1:14" ht="19.5" customHeight="1">
      <c r="A783" s="20"/>
      <c r="B783" s="21"/>
      <c r="C783" s="22"/>
      <c r="D783" s="189"/>
      <c r="E783" s="190"/>
      <c r="F783" s="81"/>
      <c r="G783" s="22"/>
      <c r="H783" s="22"/>
      <c r="I783" s="22"/>
      <c r="N783" s="124"/>
    </row>
    <row r="784" spans="1:14" ht="19.5" customHeight="1">
      <c r="A784" s="20"/>
      <c r="B784" s="21"/>
      <c r="C784" s="22"/>
      <c r="D784" s="189"/>
      <c r="E784" s="190"/>
      <c r="F784" s="81"/>
      <c r="G784" s="22"/>
      <c r="H784" s="22"/>
      <c r="I784" s="22"/>
      <c r="N784" s="124"/>
    </row>
    <row r="785" spans="1:14" ht="19.5" customHeight="1">
      <c r="A785" s="20"/>
      <c r="B785" s="21"/>
      <c r="C785" s="22"/>
      <c r="D785" s="189"/>
      <c r="E785" s="190"/>
      <c r="F785" s="81"/>
      <c r="G785" s="22"/>
      <c r="H785" s="22"/>
      <c r="I785" s="22"/>
      <c r="N785" s="124"/>
    </row>
    <row r="786" spans="1:14" ht="19.5" customHeight="1">
      <c r="A786" s="20"/>
      <c r="B786" s="21"/>
      <c r="C786" s="22"/>
      <c r="D786" s="189"/>
      <c r="E786" s="190"/>
      <c r="F786" s="81"/>
      <c r="G786" s="22"/>
      <c r="H786" s="22"/>
      <c r="I786" s="22"/>
      <c r="N786" s="124"/>
    </row>
    <row r="787" spans="1:14" ht="19.5" customHeight="1">
      <c r="A787" s="20"/>
      <c r="B787" s="21"/>
      <c r="C787" s="22"/>
      <c r="D787" s="189"/>
      <c r="E787" s="190"/>
      <c r="F787" s="81"/>
      <c r="G787" s="22"/>
      <c r="H787" s="22"/>
      <c r="I787" s="22"/>
      <c r="N787" s="124"/>
    </row>
    <row r="788" spans="1:14" ht="19.5" customHeight="1">
      <c r="A788" s="20"/>
      <c r="B788" s="21"/>
      <c r="C788" s="22"/>
      <c r="D788" s="189"/>
      <c r="E788" s="190"/>
      <c r="F788" s="81"/>
      <c r="G788" s="22"/>
      <c r="H788" s="22"/>
      <c r="I788" s="22"/>
      <c r="N788" s="124"/>
    </row>
    <row r="789" spans="1:14" ht="19.5" customHeight="1">
      <c r="A789" s="20"/>
      <c r="B789" s="21"/>
      <c r="C789" s="22"/>
      <c r="D789" s="189"/>
      <c r="E789" s="190"/>
      <c r="F789" s="81"/>
      <c r="G789" s="22"/>
      <c r="H789" s="22"/>
      <c r="I789" s="22"/>
      <c r="N789" s="124"/>
    </row>
    <row r="790" spans="1:14" ht="19.5" customHeight="1">
      <c r="A790" s="20"/>
      <c r="B790" s="21"/>
      <c r="C790" s="22"/>
      <c r="D790" s="189"/>
      <c r="E790" s="190"/>
      <c r="F790" s="81"/>
      <c r="G790" s="22"/>
      <c r="H790" s="22"/>
      <c r="I790" s="22"/>
      <c r="N790" s="124"/>
    </row>
    <row r="791" spans="1:14" ht="19.5" customHeight="1">
      <c r="A791" s="20"/>
      <c r="B791" s="21"/>
      <c r="C791" s="22"/>
      <c r="D791" s="189"/>
      <c r="E791" s="190"/>
      <c r="F791" s="81"/>
      <c r="G791" s="22"/>
      <c r="H791" s="22"/>
      <c r="I791" s="22"/>
      <c r="N791" s="124"/>
    </row>
    <row r="792" spans="1:14" ht="19.5" customHeight="1">
      <c r="A792" s="20"/>
      <c r="B792" s="21"/>
      <c r="C792" s="22"/>
      <c r="D792" s="189"/>
      <c r="E792" s="190"/>
      <c r="F792" s="81"/>
      <c r="G792" s="22"/>
      <c r="H792" s="22"/>
      <c r="I792" s="22"/>
      <c r="N792" s="124"/>
    </row>
    <row r="793" spans="1:14" ht="19.5" customHeight="1">
      <c r="A793" s="20"/>
      <c r="B793" s="21"/>
      <c r="C793" s="22"/>
      <c r="D793" s="189"/>
      <c r="E793" s="190"/>
      <c r="F793" s="81"/>
      <c r="G793" s="22"/>
      <c r="H793" s="22"/>
      <c r="I793" s="22"/>
      <c r="N793" s="124"/>
    </row>
    <row r="794" spans="1:14" ht="19.5" customHeight="1">
      <c r="A794" s="20"/>
      <c r="B794" s="21"/>
      <c r="C794" s="22"/>
      <c r="D794" s="189"/>
      <c r="E794" s="190"/>
      <c r="F794" s="81"/>
      <c r="G794" s="22"/>
      <c r="H794" s="22"/>
      <c r="I794" s="22"/>
      <c r="N794" s="124"/>
    </row>
    <row r="795" spans="1:14" ht="19.5" customHeight="1">
      <c r="A795" s="20"/>
      <c r="B795" s="21"/>
      <c r="C795" s="22"/>
      <c r="D795" s="189"/>
      <c r="E795" s="190"/>
      <c r="F795" s="81"/>
      <c r="G795" s="22"/>
      <c r="H795" s="22"/>
      <c r="I795" s="22"/>
      <c r="N795" s="124"/>
    </row>
    <row r="796" spans="1:14" ht="19.5" customHeight="1">
      <c r="A796" s="20"/>
      <c r="B796" s="21"/>
      <c r="C796" s="22"/>
      <c r="D796" s="189"/>
      <c r="E796" s="190"/>
      <c r="F796" s="81"/>
      <c r="G796" s="22"/>
      <c r="H796" s="22"/>
      <c r="I796" s="22"/>
      <c r="N796" s="124"/>
    </row>
    <row r="797" spans="1:14" ht="19.5" customHeight="1">
      <c r="A797" s="20"/>
      <c r="B797" s="21"/>
      <c r="C797" s="22"/>
      <c r="D797" s="189"/>
      <c r="E797" s="190"/>
      <c r="F797" s="81"/>
      <c r="G797" s="22"/>
      <c r="H797" s="22"/>
      <c r="I797" s="22"/>
      <c r="N797" s="124"/>
    </row>
    <row r="798" spans="1:14" ht="19.5" customHeight="1">
      <c r="A798" s="20"/>
      <c r="B798" s="21"/>
      <c r="C798" s="22"/>
      <c r="D798" s="189"/>
      <c r="E798" s="190"/>
      <c r="F798" s="81"/>
      <c r="G798" s="22"/>
      <c r="H798" s="22"/>
      <c r="I798" s="22"/>
      <c r="N798" s="124"/>
    </row>
    <row r="799" spans="1:14" ht="19.5" customHeight="1">
      <c r="A799" s="20"/>
      <c r="B799" s="21"/>
      <c r="C799" s="22"/>
      <c r="D799" s="189"/>
      <c r="E799" s="190"/>
      <c r="F799" s="81"/>
      <c r="G799" s="22"/>
      <c r="H799" s="22"/>
      <c r="I799" s="22"/>
      <c r="N799" s="124"/>
    </row>
    <row r="800" spans="1:14" ht="19.5" customHeight="1">
      <c r="A800" s="20"/>
      <c r="B800" s="21"/>
      <c r="C800" s="22"/>
      <c r="D800" s="189"/>
      <c r="E800" s="190"/>
      <c r="F800" s="81"/>
      <c r="G800" s="22"/>
      <c r="H800" s="22"/>
      <c r="I800" s="22"/>
      <c r="N800" s="124"/>
    </row>
    <row r="801" spans="1:14" ht="19.5" customHeight="1">
      <c r="A801" s="20"/>
      <c r="B801" s="21"/>
      <c r="C801" s="22"/>
      <c r="D801" s="189"/>
      <c r="E801" s="190"/>
      <c r="F801" s="81"/>
      <c r="G801" s="22"/>
      <c r="H801" s="22"/>
      <c r="I801" s="22"/>
      <c r="N801" s="124"/>
    </row>
    <row r="802" spans="1:14" ht="19.5" customHeight="1">
      <c r="A802" s="20"/>
      <c r="B802" s="21"/>
      <c r="C802" s="22"/>
      <c r="D802" s="189"/>
      <c r="E802" s="190"/>
      <c r="F802" s="81"/>
      <c r="G802" s="22"/>
      <c r="H802" s="22"/>
      <c r="I802" s="22"/>
      <c r="N802" s="124"/>
    </row>
    <row r="803" spans="1:14" ht="19.5" customHeight="1">
      <c r="A803" s="20"/>
      <c r="B803" s="21"/>
      <c r="C803" s="22"/>
      <c r="D803" s="189"/>
      <c r="E803" s="190"/>
      <c r="F803" s="81"/>
      <c r="G803" s="22"/>
      <c r="H803" s="22"/>
      <c r="I803" s="22"/>
      <c r="N803" s="124"/>
    </row>
    <row r="804" spans="1:14" ht="19.5" customHeight="1">
      <c r="A804" s="20"/>
      <c r="B804" s="21"/>
      <c r="C804" s="22"/>
      <c r="D804" s="189"/>
      <c r="E804" s="190"/>
      <c r="F804" s="81"/>
      <c r="G804" s="22"/>
      <c r="H804" s="22"/>
      <c r="I804" s="22"/>
      <c r="N804" s="124"/>
    </row>
    <row r="805" spans="1:14" ht="19.5" customHeight="1">
      <c r="A805" s="20"/>
      <c r="B805" s="21"/>
      <c r="C805" s="22"/>
      <c r="D805" s="189"/>
      <c r="E805" s="190"/>
      <c r="F805" s="81"/>
      <c r="G805" s="22"/>
      <c r="H805" s="22"/>
      <c r="I805" s="22"/>
      <c r="N805" s="124"/>
    </row>
    <row r="806" spans="1:14" ht="19.5" customHeight="1">
      <c r="A806" s="20"/>
      <c r="B806" s="21"/>
      <c r="C806" s="22"/>
      <c r="D806" s="189"/>
      <c r="E806" s="190"/>
      <c r="F806" s="81"/>
      <c r="G806" s="22"/>
      <c r="H806" s="22"/>
      <c r="I806" s="22"/>
      <c r="N806" s="124"/>
    </row>
    <row r="807" spans="1:14" ht="19.5" customHeight="1">
      <c r="A807" s="20"/>
      <c r="B807" s="21"/>
      <c r="C807" s="22"/>
      <c r="D807" s="189"/>
      <c r="E807" s="190"/>
      <c r="F807" s="81"/>
      <c r="G807" s="22"/>
      <c r="H807" s="22"/>
      <c r="I807" s="22"/>
      <c r="N807" s="124"/>
    </row>
    <row r="808" spans="1:14" ht="19.5" customHeight="1">
      <c r="A808" s="20"/>
      <c r="B808" s="21"/>
      <c r="C808" s="22"/>
      <c r="D808" s="189"/>
      <c r="E808" s="190"/>
      <c r="F808" s="81"/>
      <c r="G808" s="22"/>
      <c r="H808" s="22"/>
      <c r="I808" s="22"/>
      <c r="N808" s="124"/>
    </row>
    <row r="809" spans="1:14" ht="19.5" customHeight="1">
      <c r="A809" s="20"/>
      <c r="B809" s="21"/>
      <c r="C809" s="22"/>
      <c r="D809" s="189"/>
      <c r="E809" s="190"/>
      <c r="F809" s="81"/>
      <c r="G809" s="22"/>
      <c r="H809" s="22"/>
      <c r="I809" s="22"/>
      <c r="N809" s="124"/>
    </row>
    <row r="810" spans="1:14" ht="19.5" customHeight="1">
      <c r="A810" s="20"/>
      <c r="B810" s="21"/>
      <c r="C810" s="22"/>
      <c r="D810" s="189"/>
      <c r="E810" s="190"/>
      <c r="F810" s="81"/>
      <c r="G810" s="22"/>
      <c r="H810" s="22"/>
      <c r="I810" s="22"/>
      <c r="N810" s="124"/>
    </row>
    <row r="811" spans="1:14" ht="19.5" customHeight="1">
      <c r="A811" s="20"/>
      <c r="B811" s="21"/>
      <c r="C811" s="22"/>
      <c r="D811" s="189"/>
      <c r="E811" s="190"/>
      <c r="F811" s="81"/>
      <c r="G811" s="22"/>
      <c r="H811" s="22"/>
      <c r="I811" s="22"/>
      <c r="N811" s="124"/>
    </row>
    <row r="812" spans="1:14" ht="19.5" customHeight="1">
      <c r="A812" s="20"/>
      <c r="B812" s="21"/>
      <c r="C812" s="22"/>
      <c r="D812" s="189"/>
      <c r="E812" s="190"/>
      <c r="F812" s="81"/>
      <c r="G812" s="22"/>
      <c r="H812" s="22"/>
      <c r="I812" s="22"/>
      <c r="N812" s="124"/>
    </row>
    <row r="813" spans="1:14" ht="19.5" customHeight="1">
      <c r="A813" s="20"/>
      <c r="B813" s="21"/>
      <c r="C813" s="22"/>
      <c r="D813" s="189"/>
      <c r="E813" s="190"/>
      <c r="F813" s="81"/>
      <c r="G813" s="22"/>
      <c r="H813" s="22"/>
      <c r="I813" s="22"/>
      <c r="N813" s="124"/>
    </row>
    <row r="814" spans="1:14" ht="19.5" customHeight="1">
      <c r="A814" s="20"/>
      <c r="B814" s="21"/>
      <c r="C814" s="22"/>
      <c r="D814" s="189"/>
      <c r="E814" s="190"/>
      <c r="F814" s="81"/>
      <c r="G814" s="22"/>
      <c r="H814" s="22"/>
      <c r="I814" s="22"/>
      <c r="N814" s="124"/>
    </row>
    <row r="815" spans="1:14" ht="19.5" customHeight="1">
      <c r="A815" s="20"/>
      <c r="B815" s="21"/>
      <c r="C815" s="22"/>
      <c r="D815" s="189"/>
      <c r="E815" s="190"/>
      <c r="F815" s="81"/>
      <c r="G815" s="22"/>
      <c r="H815" s="22"/>
      <c r="I815" s="22"/>
      <c r="N815" s="124"/>
    </row>
    <row r="816" spans="1:14" ht="19.5" customHeight="1">
      <c r="A816" s="20"/>
      <c r="B816" s="21"/>
      <c r="C816" s="22"/>
      <c r="D816" s="189"/>
      <c r="E816" s="190"/>
      <c r="F816" s="81"/>
      <c r="G816" s="22"/>
      <c r="H816" s="22"/>
      <c r="I816" s="22"/>
      <c r="N816" s="124"/>
    </row>
    <row r="817" spans="1:14" ht="19.5" customHeight="1">
      <c r="A817" s="20"/>
      <c r="B817" s="21"/>
      <c r="C817" s="22"/>
      <c r="D817" s="189"/>
      <c r="E817" s="190"/>
      <c r="F817" s="81"/>
      <c r="G817" s="22"/>
      <c r="H817" s="22"/>
      <c r="I817" s="22"/>
      <c r="N817" s="124"/>
    </row>
    <row r="818" spans="1:14" ht="19.5" customHeight="1">
      <c r="A818" s="20"/>
      <c r="B818" s="21"/>
      <c r="C818" s="22"/>
      <c r="D818" s="189"/>
      <c r="E818" s="190"/>
      <c r="F818" s="81"/>
      <c r="G818" s="22"/>
      <c r="H818" s="22"/>
      <c r="I818" s="22"/>
      <c r="N818" s="124"/>
    </row>
    <row r="819" spans="1:14" ht="19.5" customHeight="1">
      <c r="A819" s="20"/>
      <c r="B819" s="21"/>
      <c r="C819" s="22"/>
      <c r="D819" s="189"/>
      <c r="E819" s="190"/>
      <c r="F819" s="81"/>
      <c r="G819" s="22"/>
      <c r="H819" s="22"/>
      <c r="I819" s="22"/>
      <c r="N819" s="124"/>
    </row>
    <row r="820" spans="1:14" ht="19.5" customHeight="1">
      <c r="A820" s="20"/>
      <c r="B820" s="21"/>
      <c r="C820" s="22"/>
      <c r="D820" s="189"/>
      <c r="E820" s="190"/>
      <c r="F820" s="81"/>
      <c r="G820" s="22"/>
      <c r="H820" s="22"/>
      <c r="I820" s="22"/>
      <c r="N820" s="124"/>
    </row>
    <row r="821" spans="1:14" ht="19.5" customHeight="1">
      <c r="A821" s="20"/>
      <c r="B821" s="21"/>
      <c r="C821" s="22"/>
      <c r="D821" s="189"/>
      <c r="E821" s="190"/>
      <c r="F821" s="81"/>
      <c r="G821" s="22"/>
      <c r="H821" s="22"/>
      <c r="I821" s="22"/>
      <c r="N821" s="124"/>
    </row>
    <row r="822" spans="1:14" ht="19.5" customHeight="1">
      <c r="A822" s="20"/>
      <c r="B822" s="21"/>
      <c r="C822" s="22"/>
      <c r="D822" s="189"/>
      <c r="E822" s="190"/>
      <c r="F822" s="81"/>
      <c r="G822" s="22"/>
      <c r="H822" s="22"/>
      <c r="I822" s="22"/>
      <c r="N822" s="124"/>
    </row>
    <row r="823" spans="1:14" ht="19.5" customHeight="1">
      <c r="A823" s="20"/>
      <c r="B823" s="21"/>
      <c r="C823" s="22"/>
      <c r="D823" s="189"/>
      <c r="E823" s="190"/>
      <c r="F823" s="81"/>
      <c r="G823" s="22"/>
      <c r="H823" s="22"/>
      <c r="I823" s="22"/>
      <c r="N823" s="124"/>
    </row>
    <row r="824" spans="1:14" ht="19.5" customHeight="1">
      <c r="A824" s="20"/>
      <c r="B824" s="21"/>
      <c r="C824" s="22"/>
      <c r="D824" s="189"/>
      <c r="E824" s="190"/>
      <c r="F824" s="81"/>
      <c r="G824" s="22"/>
      <c r="H824" s="22"/>
      <c r="I824" s="22"/>
      <c r="N824" s="124"/>
    </row>
    <row r="825" spans="1:14" ht="19.5" customHeight="1">
      <c r="A825" s="20"/>
      <c r="B825" s="21"/>
      <c r="C825" s="22"/>
      <c r="D825" s="189"/>
      <c r="E825" s="190"/>
      <c r="F825" s="81"/>
      <c r="G825" s="22"/>
      <c r="H825" s="22"/>
      <c r="I825" s="22"/>
      <c r="N825" s="124"/>
    </row>
    <row r="826" spans="1:14" ht="19.5" customHeight="1">
      <c r="A826" s="20"/>
      <c r="B826" s="21"/>
      <c r="C826" s="22"/>
      <c r="D826" s="189"/>
      <c r="E826" s="190"/>
      <c r="F826" s="81"/>
      <c r="G826" s="22"/>
      <c r="H826" s="22"/>
      <c r="I826" s="22"/>
      <c r="N826" s="124"/>
    </row>
    <row r="827" spans="1:14" ht="19.5" customHeight="1">
      <c r="A827" s="20"/>
      <c r="B827" s="21"/>
      <c r="C827" s="22"/>
      <c r="D827" s="189"/>
      <c r="E827" s="190"/>
      <c r="F827" s="81"/>
      <c r="G827" s="22"/>
      <c r="H827" s="22"/>
      <c r="I827" s="22"/>
      <c r="N827" s="124"/>
    </row>
    <row r="828" spans="1:14" ht="19.5" customHeight="1">
      <c r="A828" s="20"/>
      <c r="B828" s="21"/>
      <c r="C828" s="22"/>
      <c r="D828" s="189"/>
      <c r="E828" s="190"/>
      <c r="F828" s="81"/>
      <c r="G828" s="22"/>
      <c r="H828" s="22"/>
      <c r="I828" s="22"/>
      <c r="N828" s="124"/>
    </row>
    <row r="829" spans="1:14" ht="19.5" customHeight="1">
      <c r="A829" s="20"/>
      <c r="B829" s="21"/>
      <c r="C829" s="22"/>
      <c r="D829" s="189"/>
      <c r="E829" s="190"/>
      <c r="F829" s="81"/>
      <c r="G829" s="22"/>
      <c r="H829" s="22"/>
      <c r="I829" s="22"/>
      <c r="N829" s="124"/>
    </row>
    <row r="830" spans="1:14" ht="19.5" customHeight="1">
      <c r="A830" s="20"/>
      <c r="B830" s="21"/>
      <c r="C830" s="22"/>
      <c r="D830" s="189"/>
      <c r="E830" s="190"/>
      <c r="F830" s="81"/>
      <c r="G830" s="22"/>
      <c r="H830" s="22"/>
      <c r="I830" s="22"/>
      <c r="N830" s="124"/>
    </row>
    <row r="831" spans="1:14" ht="19.5" customHeight="1">
      <c r="A831" s="20"/>
      <c r="B831" s="21"/>
      <c r="C831" s="22"/>
      <c r="D831" s="189"/>
      <c r="E831" s="190"/>
      <c r="F831" s="81"/>
      <c r="G831" s="22"/>
      <c r="H831" s="22"/>
      <c r="I831" s="22"/>
      <c r="N831" s="124"/>
    </row>
    <row r="832" spans="1:14" ht="19.5" customHeight="1">
      <c r="A832" s="20"/>
      <c r="B832" s="21"/>
      <c r="C832" s="22"/>
      <c r="D832" s="189"/>
      <c r="E832" s="190"/>
      <c r="F832" s="81"/>
      <c r="G832" s="22"/>
      <c r="H832" s="22"/>
      <c r="I832" s="22"/>
      <c r="N832" s="124"/>
    </row>
    <row r="833" spans="1:14" ht="19.5" customHeight="1">
      <c r="A833" s="20"/>
      <c r="B833" s="21"/>
      <c r="C833" s="22"/>
      <c r="D833" s="189"/>
      <c r="E833" s="190"/>
      <c r="F833" s="81"/>
      <c r="G833" s="22"/>
      <c r="H833" s="22"/>
      <c r="I833" s="22"/>
      <c r="N833" s="124"/>
    </row>
    <row r="834" spans="1:14" ht="19.5" customHeight="1">
      <c r="A834" s="20"/>
      <c r="B834" s="21"/>
      <c r="C834" s="22"/>
      <c r="D834" s="189"/>
      <c r="E834" s="190"/>
      <c r="F834" s="81"/>
      <c r="G834" s="22"/>
      <c r="H834" s="22"/>
      <c r="I834" s="22"/>
      <c r="N834" s="124"/>
    </row>
    <row r="835" spans="1:14" ht="19.5" customHeight="1">
      <c r="A835" s="20"/>
      <c r="B835" s="21"/>
      <c r="C835" s="22"/>
      <c r="D835" s="189"/>
      <c r="E835" s="190"/>
      <c r="F835" s="81"/>
      <c r="G835" s="22"/>
      <c r="H835" s="22"/>
      <c r="I835" s="22"/>
      <c r="N835" s="124"/>
    </row>
    <row r="836" spans="1:14" ht="19.5" customHeight="1">
      <c r="A836" s="20"/>
      <c r="B836" s="21"/>
      <c r="C836" s="22"/>
      <c r="D836" s="189"/>
      <c r="E836" s="190"/>
      <c r="F836" s="81"/>
      <c r="G836" s="22"/>
      <c r="H836" s="22"/>
      <c r="I836" s="22"/>
      <c r="N836" s="124"/>
    </row>
    <row r="837" spans="1:14" ht="19.5" customHeight="1">
      <c r="A837" s="20"/>
      <c r="B837" s="21"/>
      <c r="C837" s="22"/>
      <c r="D837" s="189"/>
      <c r="E837" s="190"/>
      <c r="F837" s="81"/>
      <c r="G837" s="22"/>
      <c r="H837" s="22"/>
      <c r="I837" s="22"/>
      <c r="N837" s="124"/>
    </row>
    <row r="838" spans="1:14" ht="19.5" customHeight="1">
      <c r="A838" s="20"/>
      <c r="B838" s="21"/>
      <c r="C838" s="22"/>
      <c r="D838" s="189"/>
      <c r="E838" s="190"/>
      <c r="F838" s="81"/>
      <c r="G838" s="22"/>
      <c r="H838" s="22"/>
      <c r="I838" s="22"/>
      <c r="N838" s="124"/>
    </row>
    <row r="839" spans="1:14" ht="19.5" customHeight="1">
      <c r="A839" s="20"/>
      <c r="B839" s="21"/>
      <c r="C839" s="22"/>
      <c r="D839" s="189"/>
      <c r="E839" s="190"/>
      <c r="F839" s="81"/>
      <c r="G839" s="22"/>
      <c r="H839" s="22"/>
      <c r="I839" s="22"/>
      <c r="N839" s="124"/>
    </row>
    <row r="840" spans="1:14" ht="19.5" customHeight="1">
      <c r="A840" s="20"/>
      <c r="B840" s="21"/>
      <c r="C840" s="22"/>
      <c r="D840" s="189"/>
      <c r="E840" s="190"/>
      <c r="F840" s="81"/>
      <c r="G840" s="22"/>
      <c r="H840" s="22"/>
      <c r="I840" s="22"/>
      <c r="N840" s="124"/>
    </row>
    <row r="841" spans="1:14" ht="19.5" customHeight="1">
      <c r="A841" s="20"/>
      <c r="B841" s="21"/>
      <c r="C841" s="22"/>
      <c r="D841" s="189"/>
      <c r="E841" s="190"/>
      <c r="F841" s="81"/>
      <c r="G841" s="22"/>
      <c r="H841" s="22"/>
      <c r="I841" s="22"/>
      <c r="N841" s="124"/>
    </row>
    <row r="842" spans="1:14" ht="19.5" customHeight="1">
      <c r="A842" s="20"/>
      <c r="B842" s="21"/>
      <c r="C842" s="22"/>
      <c r="D842" s="189"/>
      <c r="E842" s="190"/>
      <c r="F842" s="81"/>
      <c r="G842" s="22"/>
      <c r="H842" s="22"/>
      <c r="I842" s="22"/>
      <c r="N842" s="124"/>
    </row>
    <row r="843" spans="1:14" ht="19.5" customHeight="1">
      <c r="A843" s="20"/>
      <c r="B843" s="21"/>
      <c r="C843" s="22"/>
      <c r="D843" s="189"/>
      <c r="E843" s="190"/>
      <c r="F843" s="81"/>
      <c r="G843" s="22"/>
      <c r="H843" s="22"/>
      <c r="I843" s="22"/>
      <c r="N843" s="124"/>
    </row>
    <row r="844" spans="1:14" ht="19.5" customHeight="1">
      <c r="A844" s="20"/>
      <c r="B844" s="21"/>
      <c r="C844" s="22"/>
      <c r="D844" s="189"/>
      <c r="E844" s="190"/>
      <c r="F844" s="81"/>
      <c r="G844" s="22"/>
      <c r="H844" s="22"/>
      <c r="I844" s="22"/>
      <c r="N844" s="124"/>
    </row>
    <row r="845" spans="1:14" ht="19.5" customHeight="1">
      <c r="A845" s="20"/>
      <c r="B845" s="21"/>
      <c r="C845" s="22"/>
      <c r="D845" s="189"/>
      <c r="E845" s="190"/>
      <c r="F845" s="81"/>
      <c r="G845" s="22"/>
      <c r="H845" s="22"/>
      <c r="I845" s="22"/>
      <c r="N845" s="124"/>
    </row>
    <row r="846" spans="1:14" ht="19.5" customHeight="1">
      <c r="A846" s="20"/>
      <c r="B846" s="21"/>
      <c r="C846" s="22"/>
      <c r="D846" s="189"/>
      <c r="E846" s="190"/>
      <c r="F846" s="81"/>
      <c r="G846" s="22"/>
      <c r="H846" s="22"/>
      <c r="I846" s="22"/>
      <c r="N846" s="124"/>
    </row>
    <row r="847" spans="1:14" ht="19.5" customHeight="1">
      <c r="A847" s="20"/>
      <c r="B847" s="21"/>
      <c r="C847" s="22"/>
      <c r="D847" s="189"/>
      <c r="E847" s="190"/>
      <c r="F847" s="81"/>
      <c r="G847" s="22"/>
      <c r="H847" s="22"/>
      <c r="I847" s="22"/>
      <c r="N847" s="124"/>
    </row>
    <row r="848" spans="1:14" ht="19.5" customHeight="1">
      <c r="A848" s="20"/>
      <c r="B848" s="21"/>
      <c r="C848" s="22"/>
      <c r="D848" s="189"/>
      <c r="E848" s="190"/>
      <c r="F848" s="81"/>
      <c r="G848" s="22"/>
      <c r="H848" s="22"/>
      <c r="I848" s="22"/>
      <c r="N848" s="124"/>
    </row>
    <row r="849" spans="1:14" ht="19.5" customHeight="1">
      <c r="A849" s="20"/>
      <c r="B849" s="21"/>
      <c r="C849" s="22"/>
      <c r="D849" s="189"/>
      <c r="E849" s="190"/>
      <c r="F849" s="81"/>
      <c r="G849" s="22"/>
      <c r="H849" s="22"/>
      <c r="I849" s="22"/>
      <c r="N849" s="124"/>
    </row>
    <row r="850" spans="1:14" ht="19.5" customHeight="1">
      <c r="A850" s="20"/>
      <c r="B850" s="21"/>
      <c r="C850" s="22"/>
      <c r="D850" s="189"/>
      <c r="E850" s="190"/>
      <c r="F850" s="81"/>
      <c r="G850" s="22"/>
      <c r="H850" s="22"/>
      <c r="I850" s="22"/>
      <c r="N850" s="124"/>
    </row>
    <row r="851" spans="1:14" ht="19.5" customHeight="1">
      <c r="A851" s="20"/>
      <c r="B851" s="21"/>
      <c r="C851" s="22"/>
      <c r="D851" s="189"/>
      <c r="E851" s="190"/>
      <c r="F851" s="81"/>
      <c r="G851" s="22"/>
      <c r="H851" s="22"/>
      <c r="I851" s="22"/>
      <c r="N851" s="124"/>
    </row>
    <row r="852" spans="1:14" ht="19.5" customHeight="1">
      <c r="A852" s="20"/>
      <c r="B852" s="21"/>
      <c r="C852" s="22"/>
      <c r="D852" s="189"/>
      <c r="E852" s="190"/>
      <c r="F852" s="81"/>
      <c r="G852" s="22"/>
      <c r="H852" s="22"/>
      <c r="I852" s="22"/>
      <c r="N852" s="124"/>
    </row>
    <row r="853" spans="1:14" ht="19.5" customHeight="1">
      <c r="A853" s="20"/>
      <c r="B853" s="21"/>
      <c r="C853" s="22"/>
      <c r="D853" s="189"/>
      <c r="E853" s="190"/>
      <c r="F853" s="81"/>
      <c r="G853" s="22"/>
      <c r="H853" s="22"/>
      <c r="I853" s="22"/>
      <c r="N853" s="124"/>
    </row>
    <row r="854" spans="1:14" ht="19.5" customHeight="1">
      <c r="A854" s="20"/>
      <c r="B854" s="21"/>
      <c r="C854" s="22"/>
      <c r="D854" s="189"/>
      <c r="E854" s="190"/>
      <c r="F854" s="81"/>
      <c r="G854" s="22"/>
      <c r="H854" s="22"/>
      <c r="I854" s="22"/>
      <c r="N854" s="124"/>
    </row>
    <row r="855" spans="1:14" ht="19.5" customHeight="1">
      <c r="A855" s="20"/>
      <c r="B855" s="21"/>
      <c r="C855" s="22"/>
      <c r="D855" s="189"/>
      <c r="E855" s="190"/>
      <c r="F855" s="81"/>
      <c r="G855" s="22"/>
      <c r="H855" s="22"/>
      <c r="I855" s="22"/>
      <c r="N855" s="124"/>
    </row>
    <row r="856" spans="1:14" ht="19.5" customHeight="1">
      <c r="A856" s="20"/>
      <c r="B856" s="21"/>
      <c r="C856" s="22"/>
      <c r="D856" s="189"/>
      <c r="E856" s="190"/>
      <c r="F856" s="81"/>
      <c r="G856" s="22"/>
      <c r="H856" s="22"/>
      <c r="I856" s="22"/>
      <c r="N856" s="124"/>
    </row>
    <row r="857" spans="1:14" ht="19.5" customHeight="1">
      <c r="A857" s="20"/>
      <c r="B857" s="21"/>
      <c r="C857" s="22"/>
      <c r="D857" s="189"/>
      <c r="E857" s="190"/>
      <c r="F857" s="81"/>
      <c r="G857" s="22"/>
      <c r="H857" s="22"/>
      <c r="I857" s="22"/>
      <c r="N857" s="124"/>
    </row>
    <row r="858" spans="1:14" ht="19.5" customHeight="1">
      <c r="A858" s="20"/>
      <c r="B858" s="21"/>
      <c r="C858" s="22"/>
      <c r="D858" s="189"/>
      <c r="E858" s="190"/>
      <c r="F858" s="81"/>
      <c r="G858" s="22"/>
      <c r="H858" s="22"/>
      <c r="I858" s="22"/>
      <c r="N858" s="124"/>
    </row>
    <row r="859" spans="1:14" ht="19.5" customHeight="1">
      <c r="A859" s="20"/>
      <c r="B859" s="21"/>
      <c r="C859" s="22"/>
      <c r="D859" s="189"/>
      <c r="E859" s="190"/>
      <c r="F859" s="81"/>
      <c r="G859" s="22"/>
      <c r="H859" s="22"/>
      <c r="I859" s="22"/>
      <c r="N859" s="124"/>
    </row>
    <row r="860" spans="1:14" ht="19.5" customHeight="1">
      <c r="A860" s="20"/>
      <c r="B860" s="21"/>
      <c r="C860" s="22"/>
      <c r="D860" s="189"/>
      <c r="E860" s="190"/>
      <c r="F860" s="81"/>
      <c r="G860" s="22"/>
      <c r="H860" s="22"/>
      <c r="I860" s="22"/>
      <c r="N860" s="124"/>
    </row>
    <row r="861" spans="1:14" ht="19.5" customHeight="1">
      <c r="A861" s="20"/>
      <c r="B861" s="21"/>
      <c r="C861" s="22"/>
      <c r="D861" s="189"/>
      <c r="E861" s="190"/>
      <c r="F861" s="81"/>
      <c r="G861" s="22"/>
      <c r="H861" s="22"/>
      <c r="I861" s="22"/>
      <c r="N861" s="124"/>
    </row>
    <row r="862" spans="1:14" ht="19.5" customHeight="1">
      <c r="A862" s="20"/>
      <c r="B862" s="21"/>
      <c r="C862" s="22"/>
      <c r="D862" s="189"/>
      <c r="E862" s="190"/>
      <c r="F862" s="81"/>
      <c r="G862" s="22"/>
      <c r="H862" s="22"/>
      <c r="I862" s="22"/>
      <c r="N862" s="124"/>
    </row>
    <row r="863" spans="1:14" ht="19.5" customHeight="1">
      <c r="A863" s="20"/>
      <c r="B863" s="21"/>
      <c r="C863" s="22"/>
      <c r="D863" s="189"/>
      <c r="E863" s="190"/>
      <c r="F863" s="81"/>
      <c r="G863" s="22"/>
      <c r="H863" s="22"/>
      <c r="I863" s="22"/>
      <c r="N863" s="124"/>
    </row>
    <row r="864" spans="1:14" ht="19.5" customHeight="1">
      <c r="A864" s="20"/>
      <c r="B864" s="21"/>
      <c r="C864" s="22"/>
      <c r="D864" s="189"/>
      <c r="E864" s="190"/>
      <c r="F864" s="81"/>
      <c r="G864" s="22"/>
      <c r="H864" s="22"/>
      <c r="I864" s="22"/>
      <c r="N864" s="124"/>
    </row>
    <row r="865" spans="1:14" ht="19.5" customHeight="1">
      <c r="A865" s="20"/>
      <c r="B865" s="21"/>
      <c r="C865" s="22"/>
      <c r="D865" s="189"/>
      <c r="E865" s="190"/>
      <c r="F865" s="81"/>
      <c r="G865" s="22"/>
      <c r="H865" s="22"/>
      <c r="I865" s="22"/>
      <c r="N865" s="124"/>
    </row>
    <row r="866" spans="1:14" ht="19.5" customHeight="1">
      <c r="A866" s="20"/>
      <c r="B866" s="21"/>
      <c r="C866" s="22"/>
      <c r="D866" s="189"/>
      <c r="E866" s="190"/>
      <c r="F866" s="81"/>
      <c r="G866" s="22"/>
      <c r="H866" s="22"/>
      <c r="I866" s="22"/>
      <c r="N866" s="124"/>
    </row>
    <row r="867" spans="1:14" ht="19.5" customHeight="1">
      <c r="A867" s="20"/>
      <c r="B867" s="21"/>
      <c r="C867" s="22"/>
      <c r="D867" s="189"/>
      <c r="E867" s="190"/>
      <c r="F867" s="81"/>
      <c r="G867" s="22"/>
      <c r="H867" s="22"/>
      <c r="I867" s="22"/>
      <c r="N867" s="124"/>
    </row>
    <row r="868" spans="1:14" ht="19.5" customHeight="1">
      <c r="A868" s="20"/>
      <c r="B868" s="21"/>
      <c r="C868" s="22"/>
      <c r="D868" s="189"/>
      <c r="E868" s="190"/>
      <c r="F868" s="81"/>
      <c r="G868" s="22"/>
      <c r="H868" s="22"/>
      <c r="I868" s="22"/>
      <c r="N868" s="124"/>
    </row>
    <row r="869" spans="1:14" ht="19.5" customHeight="1">
      <c r="A869" s="20"/>
      <c r="B869" s="21"/>
      <c r="C869" s="22"/>
      <c r="D869" s="189"/>
      <c r="E869" s="190"/>
      <c r="F869" s="81"/>
      <c r="G869" s="22"/>
      <c r="H869" s="22"/>
      <c r="I869" s="22"/>
      <c r="N869" s="124"/>
    </row>
    <row r="870" spans="1:14" ht="19.5" customHeight="1">
      <c r="A870" s="20"/>
      <c r="B870" s="21"/>
      <c r="C870" s="22"/>
      <c r="D870" s="189"/>
      <c r="E870" s="190"/>
      <c r="F870" s="81"/>
      <c r="G870" s="22"/>
      <c r="H870" s="22"/>
      <c r="I870" s="22"/>
      <c r="N870" s="124"/>
    </row>
    <row r="871" spans="1:14" ht="19.5" customHeight="1">
      <c r="A871" s="20"/>
      <c r="B871" s="21"/>
      <c r="C871" s="22"/>
      <c r="D871" s="189"/>
      <c r="E871" s="190"/>
      <c r="F871" s="81"/>
      <c r="G871" s="22"/>
      <c r="H871" s="22"/>
      <c r="I871" s="22"/>
      <c r="N871" s="124"/>
    </row>
    <row r="872" spans="1:14" ht="19.5" customHeight="1">
      <c r="A872" s="20"/>
      <c r="B872" s="21"/>
      <c r="C872" s="22"/>
      <c r="D872" s="189"/>
      <c r="E872" s="190"/>
      <c r="F872" s="81"/>
      <c r="G872" s="22"/>
      <c r="H872" s="22"/>
      <c r="I872" s="22"/>
      <c r="N872" s="124"/>
    </row>
    <row r="873" spans="1:14" ht="19.5" customHeight="1">
      <c r="A873" s="20"/>
      <c r="B873" s="21"/>
      <c r="C873" s="22"/>
      <c r="D873" s="189"/>
      <c r="E873" s="190"/>
      <c r="F873" s="81"/>
      <c r="G873" s="22"/>
      <c r="H873" s="22"/>
      <c r="I873" s="22"/>
      <c r="N873" s="124"/>
    </row>
    <row r="874" spans="1:14" ht="19.5" customHeight="1">
      <c r="A874" s="20"/>
      <c r="B874" s="21"/>
      <c r="C874" s="22"/>
      <c r="D874" s="189"/>
      <c r="E874" s="190"/>
      <c r="F874" s="81"/>
      <c r="G874" s="22"/>
      <c r="H874" s="22"/>
      <c r="I874" s="22"/>
      <c r="N874" s="124"/>
    </row>
    <row r="875" spans="1:14" ht="19.5" customHeight="1">
      <c r="A875" s="20"/>
      <c r="B875" s="21"/>
      <c r="C875" s="22"/>
      <c r="D875" s="189"/>
      <c r="E875" s="190"/>
      <c r="F875" s="81"/>
      <c r="G875" s="22"/>
      <c r="H875" s="22"/>
      <c r="I875" s="22"/>
      <c r="N875" s="124"/>
    </row>
    <row r="876" spans="1:14" ht="19.5" customHeight="1">
      <c r="A876" s="20"/>
      <c r="B876" s="21"/>
      <c r="C876" s="22"/>
      <c r="D876" s="189"/>
      <c r="E876" s="190"/>
      <c r="F876" s="81"/>
      <c r="G876" s="22"/>
      <c r="H876" s="22"/>
      <c r="I876" s="22"/>
      <c r="N876" s="124"/>
    </row>
    <row r="877" spans="1:14" ht="19.5" customHeight="1">
      <c r="A877" s="20"/>
      <c r="B877" s="21"/>
      <c r="C877" s="22"/>
      <c r="D877" s="189"/>
      <c r="E877" s="190"/>
      <c r="F877" s="81"/>
      <c r="G877" s="22"/>
      <c r="H877" s="22"/>
      <c r="I877" s="22"/>
      <c r="N877" s="124"/>
    </row>
    <row r="878" spans="1:14" ht="19.5" customHeight="1">
      <c r="A878" s="20"/>
      <c r="B878" s="21"/>
      <c r="C878" s="22"/>
      <c r="D878" s="189"/>
      <c r="E878" s="190"/>
      <c r="F878" s="81"/>
      <c r="G878" s="22"/>
      <c r="H878" s="22"/>
      <c r="I878" s="22"/>
      <c r="N878" s="124"/>
    </row>
    <row r="879" spans="1:14" ht="19.5" customHeight="1">
      <c r="A879" s="20"/>
      <c r="B879" s="21"/>
      <c r="C879" s="22"/>
      <c r="D879" s="189"/>
      <c r="E879" s="190"/>
      <c r="F879" s="81"/>
      <c r="G879" s="22"/>
      <c r="H879" s="22"/>
      <c r="I879" s="22"/>
      <c r="N879" s="124"/>
    </row>
    <row r="880" spans="1:14" ht="19.5" customHeight="1">
      <c r="A880" s="20"/>
      <c r="B880" s="21"/>
      <c r="C880" s="22"/>
      <c r="D880" s="189"/>
      <c r="E880" s="190"/>
      <c r="F880" s="81"/>
      <c r="G880" s="22"/>
      <c r="H880" s="22"/>
      <c r="I880" s="22"/>
      <c r="N880" s="124"/>
    </row>
    <row r="881" spans="1:14" ht="19.5" customHeight="1">
      <c r="A881" s="20"/>
      <c r="B881" s="21"/>
      <c r="C881" s="22"/>
      <c r="D881" s="189"/>
      <c r="E881" s="190"/>
      <c r="F881" s="81"/>
      <c r="G881" s="22"/>
      <c r="H881" s="22"/>
      <c r="I881" s="22"/>
      <c r="N881" s="124"/>
    </row>
    <row r="882" spans="1:14" ht="19.5" customHeight="1">
      <c r="A882" s="20"/>
      <c r="B882" s="21"/>
      <c r="C882" s="22"/>
      <c r="D882" s="189"/>
      <c r="E882" s="190"/>
      <c r="F882" s="81"/>
      <c r="G882" s="22"/>
      <c r="H882" s="22"/>
      <c r="I882" s="22"/>
      <c r="N882" s="124"/>
    </row>
    <row r="883" spans="1:14" ht="19.5" customHeight="1">
      <c r="A883" s="20"/>
      <c r="B883" s="21"/>
      <c r="C883" s="22"/>
      <c r="D883" s="189"/>
      <c r="E883" s="190"/>
      <c r="F883" s="81"/>
      <c r="G883" s="22"/>
      <c r="H883" s="22"/>
      <c r="I883" s="22"/>
      <c r="N883" s="124"/>
    </row>
    <row r="884" spans="1:14" ht="19.5" customHeight="1">
      <c r="A884" s="20"/>
      <c r="B884" s="21"/>
      <c r="C884" s="22"/>
      <c r="D884" s="189"/>
      <c r="E884" s="190"/>
      <c r="F884" s="81"/>
      <c r="G884" s="22"/>
      <c r="H884" s="22"/>
      <c r="I884" s="22"/>
      <c r="N884" s="124"/>
    </row>
    <row r="885" spans="1:14" ht="19.5" customHeight="1">
      <c r="A885" s="20"/>
      <c r="B885" s="21"/>
      <c r="C885" s="22"/>
      <c r="D885" s="189"/>
      <c r="E885" s="190"/>
      <c r="F885" s="81"/>
      <c r="G885" s="22"/>
      <c r="H885" s="22"/>
      <c r="I885" s="22"/>
      <c r="N885" s="124"/>
    </row>
    <row r="886" spans="1:14" ht="19.5" customHeight="1">
      <c r="A886" s="20"/>
      <c r="B886" s="21"/>
      <c r="C886" s="22"/>
      <c r="D886" s="189"/>
      <c r="E886" s="190"/>
      <c r="F886" s="81"/>
      <c r="G886" s="22"/>
      <c r="H886" s="22"/>
      <c r="I886" s="22"/>
      <c r="N886" s="124"/>
    </row>
    <row r="887" spans="1:14" ht="19.5" customHeight="1">
      <c r="A887" s="20"/>
      <c r="B887" s="21"/>
      <c r="C887" s="22"/>
      <c r="D887" s="189"/>
      <c r="E887" s="190"/>
      <c r="F887" s="81"/>
      <c r="G887" s="22"/>
      <c r="H887" s="22"/>
      <c r="I887" s="22"/>
      <c r="N887" s="124"/>
    </row>
    <row r="888" spans="1:14" ht="19.5" customHeight="1">
      <c r="A888" s="20"/>
      <c r="B888" s="21"/>
      <c r="C888" s="22"/>
      <c r="D888" s="189"/>
      <c r="E888" s="190"/>
      <c r="F888" s="81"/>
      <c r="G888" s="22"/>
      <c r="H888" s="22"/>
      <c r="I888" s="22"/>
      <c r="N888" s="124"/>
    </row>
    <row r="889" spans="1:14" ht="19.5" customHeight="1">
      <c r="A889" s="20"/>
      <c r="B889" s="21"/>
      <c r="C889" s="22"/>
      <c r="D889" s="189"/>
      <c r="E889" s="190"/>
      <c r="F889" s="81"/>
      <c r="G889" s="22"/>
      <c r="H889" s="22"/>
      <c r="I889" s="22"/>
      <c r="N889" s="124"/>
    </row>
    <row r="890" spans="1:14" ht="19.5" customHeight="1">
      <c r="A890" s="20"/>
      <c r="B890" s="21"/>
      <c r="C890" s="22"/>
      <c r="D890" s="189"/>
      <c r="E890" s="190"/>
      <c r="F890" s="81"/>
      <c r="G890" s="22"/>
      <c r="H890" s="22"/>
      <c r="I890" s="22"/>
      <c r="N890" s="124"/>
    </row>
    <row r="891" spans="1:14" ht="19.5" customHeight="1">
      <c r="A891" s="20"/>
      <c r="B891" s="21"/>
      <c r="C891" s="22"/>
      <c r="D891" s="189"/>
      <c r="E891" s="190"/>
      <c r="F891" s="81"/>
      <c r="G891" s="22"/>
      <c r="H891" s="22"/>
      <c r="I891" s="22"/>
      <c r="N891" s="124"/>
    </row>
    <row r="892" spans="1:14" ht="19.5" customHeight="1">
      <c r="A892" s="20"/>
      <c r="B892" s="21"/>
      <c r="C892" s="22"/>
      <c r="D892" s="189"/>
      <c r="E892" s="190"/>
      <c r="F892" s="81"/>
      <c r="G892" s="22"/>
      <c r="H892" s="22"/>
      <c r="I892" s="22"/>
      <c r="N892" s="124"/>
    </row>
    <row r="893" spans="1:14" ht="19.5" customHeight="1">
      <c r="A893" s="20"/>
      <c r="B893" s="21"/>
      <c r="C893" s="22"/>
      <c r="D893" s="189"/>
      <c r="E893" s="190"/>
      <c r="F893" s="81"/>
      <c r="G893" s="22"/>
      <c r="H893" s="22"/>
      <c r="I893" s="22"/>
      <c r="N893" s="124"/>
    </row>
    <row r="894" spans="1:14" ht="19.5" customHeight="1">
      <c r="A894" s="20"/>
      <c r="B894" s="21"/>
      <c r="C894" s="22"/>
      <c r="D894" s="189"/>
      <c r="E894" s="190"/>
      <c r="F894" s="81"/>
      <c r="G894" s="22"/>
      <c r="H894" s="22"/>
      <c r="I894" s="22"/>
      <c r="N894" s="124"/>
    </row>
    <row r="895" spans="1:14" ht="19.5" customHeight="1">
      <c r="A895" s="20"/>
      <c r="B895" s="21"/>
      <c r="C895" s="22"/>
      <c r="D895" s="189"/>
      <c r="E895" s="190"/>
      <c r="F895" s="81"/>
      <c r="G895" s="22"/>
      <c r="H895" s="22"/>
      <c r="I895" s="22"/>
      <c r="N895" s="124"/>
    </row>
    <row r="896" spans="1:14" ht="19.5" customHeight="1">
      <c r="A896" s="20"/>
      <c r="B896" s="21"/>
      <c r="C896" s="22"/>
      <c r="D896" s="189"/>
      <c r="E896" s="190"/>
      <c r="F896" s="81"/>
      <c r="G896" s="22"/>
      <c r="H896" s="22"/>
      <c r="I896" s="22"/>
      <c r="N896" s="124"/>
    </row>
    <row r="897" spans="1:14" ht="19.5" customHeight="1">
      <c r="A897" s="20"/>
      <c r="B897" s="21"/>
      <c r="C897" s="22"/>
      <c r="D897" s="189"/>
      <c r="E897" s="190"/>
      <c r="F897" s="81"/>
      <c r="G897" s="22"/>
      <c r="H897" s="22"/>
      <c r="I897" s="22"/>
      <c r="N897" s="124"/>
    </row>
    <row r="898" spans="1:14" ht="19.5" customHeight="1">
      <c r="A898" s="20"/>
      <c r="B898" s="21"/>
      <c r="C898" s="22"/>
      <c r="D898" s="189"/>
      <c r="E898" s="190"/>
      <c r="F898" s="81"/>
      <c r="G898" s="22"/>
      <c r="H898" s="22"/>
      <c r="I898" s="22"/>
      <c r="N898" s="124"/>
    </row>
    <row r="899" spans="1:14" ht="19.5" customHeight="1">
      <c r="A899" s="20"/>
      <c r="B899" s="21"/>
      <c r="C899" s="22"/>
      <c r="D899" s="189"/>
      <c r="E899" s="190"/>
      <c r="F899" s="81"/>
      <c r="G899" s="22"/>
      <c r="H899" s="22"/>
      <c r="I899" s="22"/>
      <c r="N899" s="124"/>
    </row>
    <row r="900" spans="1:14" ht="19.5" customHeight="1">
      <c r="A900" s="20"/>
      <c r="B900" s="21"/>
      <c r="C900" s="22"/>
      <c r="D900" s="189"/>
      <c r="E900" s="190"/>
      <c r="F900" s="81"/>
      <c r="G900" s="22"/>
      <c r="H900" s="22"/>
      <c r="I900" s="22"/>
      <c r="N900" s="124"/>
    </row>
    <row r="901" spans="1:14" ht="19.5" customHeight="1">
      <c r="A901" s="20"/>
      <c r="B901" s="21"/>
      <c r="C901" s="22"/>
      <c r="D901" s="189"/>
      <c r="E901" s="190"/>
      <c r="F901" s="81"/>
      <c r="G901" s="22"/>
      <c r="H901" s="22"/>
      <c r="I901" s="22"/>
      <c r="N901" s="124"/>
    </row>
    <row r="902" spans="1:14" ht="19.5" customHeight="1">
      <c r="A902" s="20"/>
      <c r="B902" s="21"/>
      <c r="C902" s="22"/>
      <c r="D902" s="189"/>
      <c r="E902" s="190"/>
      <c r="F902" s="81"/>
      <c r="G902" s="22"/>
      <c r="H902" s="22"/>
      <c r="I902" s="22"/>
      <c r="N902" s="124"/>
    </row>
    <row r="903" spans="1:14" ht="19.5" customHeight="1">
      <c r="A903" s="20"/>
      <c r="B903" s="21"/>
      <c r="C903" s="22"/>
      <c r="D903" s="189"/>
      <c r="E903" s="190"/>
      <c r="F903" s="81"/>
      <c r="G903" s="22"/>
      <c r="H903" s="22"/>
      <c r="I903" s="22"/>
      <c r="N903" s="124"/>
    </row>
    <row r="904" spans="1:14" ht="19.5" customHeight="1">
      <c r="A904" s="20"/>
      <c r="B904" s="21"/>
      <c r="C904" s="22"/>
      <c r="D904" s="189"/>
      <c r="E904" s="190"/>
      <c r="F904" s="81"/>
      <c r="G904" s="22"/>
      <c r="H904" s="22"/>
      <c r="I904" s="22"/>
      <c r="N904" s="124"/>
    </row>
    <row r="905" spans="1:14" ht="19.5" customHeight="1">
      <c r="A905" s="20"/>
      <c r="B905" s="21"/>
      <c r="C905" s="22"/>
      <c r="D905" s="189"/>
      <c r="E905" s="190"/>
      <c r="F905" s="81"/>
      <c r="G905" s="22"/>
      <c r="H905" s="22"/>
      <c r="I905" s="22"/>
      <c r="N905" s="124"/>
    </row>
    <row r="906" spans="1:14" ht="19.5" customHeight="1">
      <c r="A906" s="20"/>
      <c r="B906" s="21"/>
      <c r="C906" s="22"/>
      <c r="D906" s="189"/>
      <c r="E906" s="190"/>
      <c r="F906" s="81"/>
      <c r="G906" s="22"/>
      <c r="H906" s="22"/>
      <c r="I906" s="22"/>
      <c r="N906" s="124"/>
    </row>
    <row r="907" spans="1:14" ht="19.5" customHeight="1">
      <c r="A907" s="20"/>
      <c r="B907" s="21"/>
      <c r="C907" s="22"/>
      <c r="D907" s="189"/>
      <c r="E907" s="190"/>
      <c r="F907" s="81"/>
      <c r="G907" s="22"/>
      <c r="H907" s="22"/>
      <c r="I907" s="22"/>
      <c r="N907" s="124"/>
    </row>
    <row r="908" spans="1:14" ht="19.5" customHeight="1">
      <c r="A908" s="20"/>
      <c r="B908" s="21"/>
      <c r="C908" s="22"/>
      <c r="D908" s="189"/>
      <c r="E908" s="190"/>
      <c r="F908" s="81"/>
      <c r="G908" s="22"/>
      <c r="H908" s="22"/>
      <c r="I908" s="22"/>
      <c r="N908" s="124"/>
    </row>
    <row r="909" spans="1:14" ht="19.5" customHeight="1">
      <c r="A909" s="20"/>
      <c r="B909" s="21"/>
      <c r="C909" s="22"/>
      <c r="D909" s="189"/>
      <c r="E909" s="190"/>
      <c r="F909" s="81"/>
      <c r="G909" s="22"/>
      <c r="H909" s="22"/>
      <c r="I909" s="22"/>
      <c r="N909" s="124"/>
    </row>
    <row r="910" spans="1:14" ht="19.5" customHeight="1">
      <c r="A910" s="20"/>
      <c r="B910" s="21"/>
      <c r="C910" s="22"/>
      <c r="D910" s="189"/>
      <c r="E910" s="190"/>
      <c r="F910" s="81"/>
      <c r="G910" s="22"/>
      <c r="H910" s="22"/>
      <c r="I910" s="22"/>
      <c r="N910" s="124"/>
    </row>
    <row r="911" spans="1:14" ht="19.5" customHeight="1">
      <c r="A911" s="20"/>
      <c r="B911" s="21"/>
      <c r="C911" s="22"/>
      <c r="D911" s="189"/>
      <c r="E911" s="190"/>
      <c r="F911" s="81"/>
      <c r="G911" s="22"/>
      <c r="H911" s="22"/>
      <c r="I911" s="22"/>
      <c r="N911" s="124"/>
    </row>
    <row r="912" spans="1:14" ht="19.5" customHeight="1">
      <c r="A912" s="20"/>
      <c r="B912" s="21"/>
      <c r="C912" s="22"/>
      <c r="D912" s="189"/>
      <c r="E912" s="190"/>
      <c r="F912" s="81"/>
      <c r="G912" s="22"/>
      <c r="H912" s="22"/>
      <c r="I912" s="22"/>
      <c r="N912" s="124"/>
    </row>
    <row r="913" spans="1:14" ht="19.5" customHeight="1">
      <c r="A913" s="20"/>
      <c r="B913" s="21"/>
      <c r="C913" s="22"/>
      <c r="D913" s="189"/>
      <c r="E913" s="190"/>
      <c r="F913" s="81"/>
      <c r="G913" s="22"/>
      <c r="H913" s="22"/>
      <c r="I913" s="22"/>
      <c r="N913" s="124"/>
    </row>
    <row r="914" spans="1:14" ht="19.5" customHeight="1">
      <c r="A914" s="20"/>
      <c r="B914" s="21"/>
      <c r="C914" s="22"/>
      <c r="D914" s="189"/>
      <c r="E914" s="190"/>
      <c r="F914" s="81"/>
      <c r="G914" s="22"/>
      <c r="H914" s="22"/>
      <c r="I914" s="22"/>
      <c r="N914" s="124"/>
    </row>
    <row r="915" spans="1:14" ht="19.5" customHeight="1">
      <c r="A915" s="20"/>
      <c r="B915" s="21"/>
      <c r="C915" s="22"/>
      <c r="D915" s="189"/>
      <c r="E915" s="190"/>
      <c r="F915" s="81"/>
      <c r="G915" s="22"/>
      <c r="H915" s="22"/>
      <c r="I915" s="22"/>
      <c r="N915" s="124"/>
    </row>
    <row r="916" spans="1:14" ht="19.5" customHeight="1">
      <c r="A916" s="20"/>
      <c r="B916" s="21"/>
      <c r="C916" s="22"/>
      <c r="D916" s="189"/>
      <c r="E916" s="190"/>
      <c r="F916" s="81"/>
      <c r="G916" s="22"/>
      <c r="H916" s="22"/>
      <c r="I916" s="22"/>
      <c r="N916" s="124"/>
    </row>
    <row r="917" spans="1:14" ht="19.5" customHeight="1">
      <c r="A917" s="20"/>
      <c r="B917" s="21"/>
      <c r="C917" s="22"/>
      <c r="D917" s="189"/>
      <c r="E917" s="190"/>
      <c r="F917" s="81"/>
      <c r="G917" s="22"/>
      <c r="H917" s="22"/>
      <c r="I917" s="22"/>
      <c r="N917" s="124"/>
    </row>
    <row r="918" spans="1:14" ht="19.5" customHeight="1">
      <c r="A918" s="20"/>
      <c r="B918" s="21"/>
      <c r="C918" s="22"/>
      <c r="D918" s="189"/>
      <c r="E918" s="190"/>
      <c r="F918" s="81"/>
      <c r="G918" s="22"/>
      <c r="H918" s="22"/>
      <c r="I918" s="22"/>
      <c r="N918" s="124"/>
    </row>
    <row r="919" spans="1:14" ht="19.5" customHeight="1">
      <c r="A919" s="20"/>
      <c r="B919" s="21"/>
      <c r="C919" s="22"/>
      <c r="D919" s="189"/>
      <c r="E919" s="190"/>
      <c r="F919" s="81"/>
      <c r="G919" s="22"/>
      <c r="H919" s="22"/>
      <c r="I919" s="22"/>
      <c r="N919" s="124"/>
    </row>
    <row r="920" spans="1:14" ht="19.5" customHeight="1">
      <c r="A920" s="20"/>
      <c r="B920" s="21"/>
      <c r="C920" s="22"/>
      <c r="D920" s="189"/>
      <c r="E920" s="190"/>
      <c r="F920" s="81"/>
      <c r="G920" s="22"/>
      <c r="H920" s="22"/>
      <c r="I920" s="22"/>
      <c r="N920" s="124"/>
    </row>
    <row r="921" spans="1:14" ht="19.5" customHeight="1">
      <c r="A921" s="20"/>
      <c r="B921" s="21"/>
      <c r="C921" s="22"/>
      <c r="D921" s="189"/>
      <c r="E921" s="190"/>
      <c r="F921" s="81"/>
      <c r="G921" s="22"/>
      <c r="H921" s="22"/>
      <c r="I921" s="22"/>
      <c r="N921" s="124"/>
    </row>
    <row r="922" spans="1:14" ht="19.5" customHeight="1">
      <c r="A922" s="20"/>
      <c r="B922" s="21"/>
      <c r="C922" s="22"/>
      <c r="D922" s="189"/>
      <c r="E922" s="190"/>
      <c r="F922" s="81"/>
      <c r="G922" s="22"/>
      <c r="H922" s="22"/>
      <c r="I922" s="22"/>
      <c r="N922" s="124"/>
    </row>
    <row r="923" spans="1:14" ht="19.5" customHeight="1">
      <c r="A923" s="20"/>
      <c r="B923" s="21"/>
      <c r="C923" s="22"/>
      <c r="D923" s="189"/>
      <c r="E923" s="190"/>
      <c r="F923" s="81"/>
      <c r="G923" s="22"/>
      <c r="H923" s="22"/>
      <c r="I923" s="22"/>
      <c r="N923" s="124"/>
    </row>
    <row r="924" spans="1:14" ht="19.5" customHeight="1">
      <c r="A924" s="20"/>
      <c r="B924" s="21"/>
      <c r="C924" s="22"/>
      <c r="D924" s="189"/>
      <c r="E924" s="190"/>
      <c r="F924" s="81"/>
      <c r="G924" s="22"/>
      <c r="H924" s="22"/>
      <c r="I924" s="22"/>
      <c r="N924" s="124"/>
    </row>
    <row r="925" spans="1:14" ht="19.5" customHeight="1">
      <c r="A925" s="20"/>
      <c r="B925" s="21"/>
      <c r="C925" s="22"/>
      <c r="D925" s="189"/>
      <c r="E925" s="190"/>
      <c r="F925" s="81"/>
      <c r="G925" s="22"/>
      <c r="H925" s="22"/>
      <c r="I925" s="22"/>
      <c r="N925" s="124"/>
    </row>
    <row r="926" spans="1:14" ht="19.5" customHeight="1">
      <c r="A926" s="20"/>
      <c r="B926" s="21"/>
      <c r="C926" s="22"/>
      <c r="D926" s="189"/>
      <c r="E926" s="190"/>
      <c r="F926" s="81"/>
      <c r="G926" s="22"/>
      <c r="H926" s="22"/>
      <c r="I926" s="22"/>
      <c r="N926" s="124"/>
    </row>
    <row r="927" spans="1:14" ht="19.5" customHeight="1">
      <c r="A927" s="20"/>
      <c r="B927" s="21"/>
      <c r="C927" s="22"/>
      <c r="D927" s="189"/>
      <c r="E927" s="190"/>
      <c r="F927" s="81"/>
      <c r="G927" s="22"/>
      <c r="H927" s="22"/>
      <c r="I927" s="22"/>
      <c r="N927" s="124"/>
    </row>
    <row r="928" spans="1:14" ht="19.5" customHeight="1">
      <c r="A928" s="20"/>
      <c r="B928" s="21"/>
      <c r="C928" s="22"/>
      <c r="D928" s="189"/>
      <c r="E928" s="190"/>
      <c r="F928" s="81"/>
      <c r="G928" s="22"/>
      <c r="H928" s="22"/>
      <c r="I928" s="22"/>
      <c r="N928" s="124"/>
    </row>
    <row r="929" spans="1:14" ht="19.5" customHeight="1">
      <c r="A929" s="20"/>
      <c r="B929" s="21"/>
      <c r="C929" s="22"/>
      <c r="D929" s="189"/>
      <c r="E929" s="190"/>
      <c r="F929" s="81"/>
      <c r="G929" s="22"/>
      <c r="H929" s="22"/>
      <c r="I929" s="22"/>
      <c r="N929" s="124"/>
    </row>
    <row r="930" spans="1:14" ht="19.5" customHeight="1">
      <c r="A930" s="20"/>
      <c r="B930" s="21"/>
      <c r="C930" s="22"/>
      <c r="D930" s="189"/>
      <c r="E930" s="190"/>
      <c r="F930" s="81"/>
      <c r="G930" s="22"/>
      <c r="H930" s="22"/>
      <c r="I930" s="22"/>
      <c r="N930" s="124"/>
    </row>
    <row r="931" spans="1:14" ht="19.5" customHeight="1">
      <c r="A931" s="20"/>
      <c r="B931" s="21"/>
      <c r="C931" s="22"/>
      <c r="D931" s="189"/>
      <c r="E931" s="190"/>
      <c r="F931" s="81"/>
      <c r="G931" s="22"/>
      <c r="H931" s="22"/>
      <c r="I931" s="22"/>
      <c r="N931" s="124"/>
    </row>
    <row r="932" spans="1:14" ht="19.5" customHeight="1">
      <c r="A932" s="20"/>
      <c r="B932" s="21"/>
      <c r="C932" s="22"/>
      <c r="D932" s="189"/>
      <c r="E932" s="190"/>
      <c r="F932" s="81"/>
      <c r="G932" s="22"/>
      <c r="H932" s="22"/>
      <c r="I932" s="22"/>
      <c r="N932" s="124"/>
    </row>
    <row r="933" spans="1:14" ht="19.5" customHeight="1">
      <c r="A933" s="20"/>
      <c r="B933" s="21"/>
      <c r="C933" s="22"/>
      <c r="D933" s="189"/>
      <c r="E933" s="190"/>
      <c r="F933" s="81"/>
      <c r="G933" s="22"/>
      <c r="H933" s="22"/>
      <c r="I933" s="22"/>
      <c r="N933" s="124"/>
    </row>
    <row r="934" spans="1:14" ht="19.5" customHeight="1">
      <c r="A934" s="20"/>
      <c r="B934" s="21"/>
      <c r="C934" s="22"/>
      <c r="D934" s="189"/>
      <c r="E934" s="190"/>
      <c r="F934" s="81"/>
      <c r="G934" s="22"/>
      <c r="H934" s="22"/>
      <c r="I934" s="22"/>
      <c r="N934" s="124"/>
    </row>
    <row r="935" spans="1:14" ht="19.5" customHeight="1">
      <c r="A935" s="20"/>
      <c r="B935" s="21"/>
      <c r="C935" s="22"/>
      <c r="D935" s="189"/>
      <c r="E935" s="190"/>
      <c r="F935" s="81"/>
      <c r="G935" s="22"/>
      <c r="H935" s="22"/>
      <c r="I935" s="22"/>
      <c r="N935" s="124"/>
    </row>
    <row r="936" spans="1:14" ht="19.5" customHeight="1">
      <c r="A936" s="20"/>
      <c r="B936" s="21"/>
      <c r="C936" s="22"/>
      <c r="D936" s="189"/>
      <c r="E936" s="190"/>
      <c r="F936" s="81"/>
      <c r="G936" s="22"/>
      <c r="H936" s="22"/>
      <c r="I936" s="22"/>
      <c r="N936" s="124"/>
    </row>
    <row r="937" spans="1:14" ht="19.5" customHeight="1">
      <c r="A937" s="20"/>
      <c r="B937" s="21"/>
      <c r="C937" s="22"/>
      <c r="D937" s="189"/>
      <c r="E937" s="190"/>
      <c r="F937" s="81"/>
      <c r="G937" s="22"/>
      <c r="H937" s="22"/>
      <c r="I937" s="22"/>
      <c r="N937" s="124"/>
    </row>
    <row r="938" spans="1:14" ht="19.5" customHeight="1">
      <c r="A938" s="20"/>
      <c r="B938" s="21"/>
      <c r="C938" s="22"/>
      <c r="D938" s="189"/>
      <c r="E938" s="190"/>
      <c r="F938" s="81"/>
      <c r="G938" s="22"/>
      <c r="H938" s="22"/>
      <c r="I938" s="22"/>
      <c r="N938" s="124"/>
    </row>
    <row r="939" spans="1:14" ht="19.5" customHeight="1">
      <c r="A939" s="20"/>
      <c r="B939" s="21"/>
      <c r="C939" s="22"/>
      <c r="D939" s="189"/>
      <c r="E939" s="190"/>
      <c r="F939" s="81"/>
      <c r="G939" s="22"/>
      <c r="H939" s="22"/>
      <c r="I939" s="22"/>
      <c r="N939" s="124"/>
    </row>
    <row r="940" spans="1:14" ht="19.5" customHeight="1">
      <c r="A940" s="20"/>
      <c r="B940" s="21"/>
      <c r="C940" s="22"/>
      <c r="D940" s="189"/>
      <c r="E940" s="190"/>
      <c r="F940" s="81"/>
      <c r="G940" s="22"/>
      <c r="H940" s="22"/>
      <c r="I940" s="22"/>
      <c r="N940" s="124"/>
    </row>
    <row r="941" spans="1:14" ht="19.5" customHeight="1">
      <c r="A941" s="20"/>
      <c r="B941" s="21"/>
      <c r="C941" s="22"/>
      <c r="D941" s="189"/>
      <c r="E941" s="190"/>
      <c r="F941" s="81"/>
      <c r="G941" s="22"/>
      <c r="H941" s="22"/>
      <c r="I941" s="22"/>
      <c r="N941" s="124"/>
    </row>
    <row r="942" spans="1:14" ht="19.5" customHeight="1">
      <c r="A942" s="20"/>
      <c r="B942" s="21"/>
      <c r="C942" s="22"/>
      <c r="D942" s="189"/>
      <c r="E942" s="190"/>
      <c r="F942" s="81"/>
      <c r="G942" s="22"/>
      <c r="H942" s="22"/>
      <c r="I942" s="22"/>
      <c r="N942" s="124"/>
    </row>
    <row r="943" spans="1:14" ht="19.5" customHeight="1">
      <c r="A943" s="20"/>
      <c r="B943" s="21"/>
      <c r="C943" s="22"/>
      <c r="D943" s="189"/>
      <c r="E943" s="190"/>
      <c r="F943" s="81"/>
      <c r="G943" s="22"/>
      <c r="H943" s="22"/>
      <c r="I943" s="22"/>
      <c r="N943" s="124"/>
    </row>
    <row r="944" spans="1:14" ht="19.5" customHeight="1">
      <c r="A944" s="20"/>
      <c r="B944" s="21"/>
      <c r="C944" s="22"/>
      <c r="D944" s="189"/>
      <c r="E944" s="190"/>
      <c r="F944" s="81"/>
      <c r="G944" s="22"/>
      <c r="H944" s="22"/>
      <c r="I944" s="22"/>
      <c r="N944" s="124"/>
    </row>
    <row r="945" spans="1:14" ht="19.5" customHeight="1">
      <c r="A945" s="20"/>
      <c r="B945" s="21"/>
      <c r="C945" s="22"/>
      <c r="D945" s="189"/>
      <c r="E945" s="190"/>
      <c r="F945" s="81"/>
      <c r="G945" s="22"/>
      <c r="H945" s="22"/>
      <c r="I945" s="22"/>
      <c r="N945" s="124"/>
    </row>
    <row r="946" spans="1:14" ht="19.5" customHeight="1">
      <c r="A946" s="20"/>
      <c r="B946" s="21"/>
      <c r="C946" s="22"/>
      <c r="D946" s="189"/>
      <c r="E946" s="190"/>
      <c r="F946" s="81"/>
      <c r="G946" s="22"/>
      <c r="H946" s="22"/>
      <c r="I946" s="22"/>
      <c r="N946" s="124"/>
    </row>
    <row r="947" spans="1:14" ht="19.5" customHeight="1">
      <c r="A947" s="20"/>
      <c r="B947" s="21"/>
      <c r="C947" s="22"/>
      <c r="D947" s="189"/>
      <c r="E947" s="190"/>
      <c r="F947" s="81"/>
      <c r="G947" s="22"/>
      <c r="H947" s="22"/>
      <c r="I947" s="22"/>
      <c r="N947" s="124"/>
    </row>
    <row r="948" spans="1:14" ht="19.5" customHeight="1">
      <c r="A948" s="20"/>
      <c r="B948" s="21"/>
      <c r="C948" s="22"/>
      <c r="D948" s="189"/>
      <c r="E948" s="190"/>
      <c r="F948" s="81"/>
      <c r="G948" s="22"/>
      <c r="H948" s="22"/>
      <c r="I948" s="22"/>
      <c r="N948" s="124"/>
    </row>
    <row r="949" spans="1:14" ht="19.5" customHeight="1">
      <c r="A949" s="20"/>
      <c r="B949" s="21"/>
      <c r="C949" s="22"/>
      <c r="D949" s="189"/>
      <c r="E949" s="190"/>
      <c r="F949" s="81"/>
      <c r="G949" s="22"/>
      <c r="H949" s="22"/>
      <c r="I949" s="22"/>
      <c r="N949" s="124"/>
    </row>
    <row r="950" spans="1:14" ht="19.5" customHeight="1">
      <c r="A950" s="20"/>
      <c r="B950" s="21"/>
      <c r="C950" s="22"/>
      <c r="D950" s="189"/>
      <c r="E950" s="190"/>
      <c r="F950" s="81"/>
      <c r="G950" s="22"/>
      <c r="H950" s="22"/>
      <c r="I950" s="22"/>
      <c r="N950" s="124"/>
    </row>
    <row r="951" spans="1:14" ht="19.5" customHeight="1">
      <c r="A951" s="20"/>
      <c r="B951" s="21"/>
      <c r="C951" s="22"/>
      <c r="D951" s="189"/>
      <c r="E951" s="190"/>
      <c r="F951" s="81"/>
      <c r="G951" s="22"/>
      <c r="H951" s="22"/>
      <c r="I951" s="22"/>
      <c r="N951" s="124"/>
    </row>
    <row r="952" spans="1:14" ht="19.5" customHeight="1">
      <c r="A952" s="20"/>
      <c r="B952" s="21"/>
      <c r="C952" s="22"/>
      <c r="D952" s="189"/>
      <c r="E952" s="190"/>
      <c r="F952" s="81"/>
      <c r="G952" s="22"/>
      <c r="H952" s="22"/>
      <c r="I952" s="22"/>
      <c r="N952" s="124"/>
    </row>
    <row r="953" spans="1:14" ht="19.5" customHeight="1">
      <c r="A953" s="20"/>
      <c r="B953" s="21"/>
      <c r="C953" s="22"/>
      <c r="D953" s="189"/>
      <c r="E953" s="190"/>
      <c r="F953" s="81"/>
      <c r="G953" s="22"/>
      <c r="H953" s="22"/>
      <c r="I953" s="22"/>
      <c r="N953" s="124"/>
    </row>
    <row r="954" spans="1:14" ht="19.5" customHeight="1">
      <c r="A954" s="20"/>
      <c r="B954" s="21"/>
      <c r="C954" s="22"/>
      <c r="D954" s="189"/>
      <c r="E954" s="190"/>
      <c r="F954" s="81"/>
      <c r="G954" s="22"/>
      <c r="H954" s="22"/>
      <c r="I954" s="22"/>
      <c r="N954" s="124"/>
    </row>
    <row r="955" spans="1:14" ht="19.5" customHeight="1">
      <c r="A955" s="20"/>
      <c r="B955" s="21"/>
      <c r="C955" s="22"/>
      <c r="D955" s="189"/>
      <c r="E955" s="190"/>
      <c r="F955" s="81"/>
      <c r="G955" s="22"/>
      <c r="H955" s="22"/>
      <c r="I955" s="22"/>
      <c r="N955" s="124"/>
    </row>
    <row r="956" spans="1:14" ht="19.5" customHeight="1">
      <c r="A956" s="20"/>
      <c r="B956" s="21"/>
      <c r="C956" s="22"/>
      <c r="D956" s="189"/>
      <c r="E956" s="190"/>
      <c r="F956" s="81"/>
      <c r="G956" s="22"/>
      <c r="H956" s="22"/>
      <c r="I956" s="22"/>
      <c r="N956" s="124"/>
    </row>
    <row r="957" spans="1:14" ht="19.5" customHeight="1">
      <c r="A957" s="20"/>
      <c r="B957" s="21"/>
      <c r="C957" s="22"/>
      <c r="D957" s="189"/>
      <c r="E957" s="190"/>
      <c r="F957" s="81"/>
      <c r="G957" s="22"/>
      <c r="H957" s="22"/>
      <c r="I957" s="22"/>
      <c r="N957" s="124"/>
    </row>
    <row r="958" spans="1:14" ht="19.5" customHeight="1">
      <c r="A958" s="20"/>
      <c r="B958" s="21"/>
      <c r="C958" s="22"/>
      <c r="D958" s="189"/>
      <c r="E958" s="190"/>
      <c r="F958" s="81"/>
      <c r="G958" s="22"/>
      <c r="H958" s="22"/>
      <c r="I958" s="22"/>
      <c r="N958" s="124"/>
    </row>
    <row r="959" spans="1:14" ht="19.5" customHeight="1">
      <c r="A959" s="20"/>
      <c r="B959" s="21"/>
      <c r="C959" s="22"/>
      <c r="D959" s="189"/>
      <c r="E959" s="190"/>
      <c r="F959" s="81"/>
      <c r="G959" s="22"/>
      <c r="H959" s="22"/>
      <c r="I959" s="22"/>
      <c r="N959" s="124"/>
    </row>
    <row r="960" spans="1:14" ht="19.5" customHeight="1">
      <c r="A960" s="20"/>
      <c r="B960" s="21"/>
      <c r="C960" s="22"/>
      <c r="D960" s="189"/>
      <c r="E960" s="190"/>
      <c r="F960" s="81"/>
      <c r="G960" s="22"/>
      <c r="H960" s="22"/>
      <c r="I960" s="22"/>
      <c r="N960" s="124"/>
    </row>
    <row r="961" spans="1:14" ht="19.5" customHeight="1">
      <c r="A961" s="20"/>
      <c r="B961" s="21"/>
      <c r="C961" s="22"/>
      <c r="D961" s="189"/>
      <c r="E961" s="190"/>
      <c r="F961" s="81"/>
      <c r="G961" s="22"/>
      <c r="H961" s="22"/>
      <c r="I961" s="22"/>
      <c r="N961" s="124"/>
    </row>
    <row r="962" spans="1:14" ht="19.5" customHeight="1">
      <c r="A962" s="20"/>
      <c r="B962" s="21"/>
      <c r="C962" s="22"/>
      <c r="D962" s="189"/>
      <c r="E962" s="190"/>
      <c r="F962" s="81"/>
      <c r="G962" s="22"/>
      <c r="H962" s="22"/>
      <c r="I962" s="22"/>
      <c r="N962" s="124"/>
    </row>
    <row r="963" spans="1:14" ht="19.5" customHeight="1">
      <c r="A963" s="20"/>
      <c r="B963" s="21"/>
      <c r="C963" s="22"/>
      <c r="D963" s="189"/>
      <c r="E963" s="190"/>
      <c r="F963" s="81"/>
      <c r="G963" s="22"/>
      <c r="H963" s="22"/>
      <c r="I963" s="22"/>
      <c r="N963" s="124"/>
    </row>
    <row r="964" spans="1:14" ht="19.5" customHeight="1">
      <c r="A964" s="20"/>
      <c r="B964" s="21"/>
      <c r="C964" s="22"/>
      <c r="D964" s="189"/>
      <c r="E964" s="190"/>
      <c r="F964" s="81"/>
      <c r="G964" s="22"/>
      <c r="H964" s="22"/>
      <c r="I964" s="22"/>
      <c r="N964" s="124"/>
    </row>
    <row r="965" spans="1:14" ht="19.5" customHeight="1">
      <c r="A965" s="20"/>
      <c r="B965" s="21"/>
      <c r="C965" s="22"/>
      <c r="D965" s="189"/>
      <c r="E965" s="190"/>
      <c r="F965" s="81"/>
      <c r="G965" s="22"/>
      <c r="H965" s="22"/>
      <c r="I965" s="22"/>
      <c r="N965" s="124"/>
    </row>
    <row r="966" spans="1:14" ht="19.5" customHeight="1">
      <c r="A966" s="20"/>
      <c r="B966" s="21"/>
      <c r="C966" s="22"/>
      <c r="D966" s="189"/>
      <c r="E966" s="190"/>
      <c r="F966" s="81"/>
      <c r="G966" s="22"/>
      <c r="H966" s="22"/>
      <c r="I966" s="22"/>
      <c r="N966" s="124"/>
    </row>
    <row r="967" spans="1:14" ht="19.5" customHeight="1">
      <c r="A967" s="20"/>
      <c r="B967" s="21"/>
      <c r="C967" s="22"/>
      <c r="D967" s="189"/>
      <c r="E967" s="190"/>
      <c r="F967" s="81"/>
      <c r="G967" s="22"/>
      <c r="H967" s="22"/>
      <c r="I967" s="22"/>
      <c r="N967" s="124"/>
    </row>
    <row r="968" spans="1:14" ht="19.5" customHeight="1">
      <c r="A968" s="20"/>
      <c r="B968" s="21"/>
      <c r="C968" s="22"/>
      <c r="D968" s="189"/>
      <c r="E968" s="190"/>
      <c r="F968" s="81"/>
      <c r="G968" s="22"/>
      <c r="H968" s="22"/>
      <c r="I968" s="22"/>
      <c r="N968" s="124"/>
    </row>
    <row r="969" spans="1:14" ht="19.5" customHeight="1">
      <c r="A969" s="20"/>
      <c r="B969" s="21"/>
      <c r="C969" s="22"/>
      <c r="D969" s="189"/>
      <c r="E969" s="190"/>
      <c r="F969" s="81"/>
      <c r="G969" s="22"/>
      <c r="H969" s="22"/>
      <c r="I969" s="22"/>
      <c r="N969" s="124"/>
    </row>
    <row r="970" spans="1:14" ht="19.5" customHeight="1">
      <c r="A970" s="20"/>
      <c r="B970" s="21"/>
      <c r="C970" s="22"/>
      <c r="D970" s="189"/>
      <c r="E970" s="190"/>
      <c r="F970" s="81"/>
      <c r="G970" s="22"/>
      <c r="H970" s="22"/>
      <c r="I970" s="22"/>
      <c r="N970" s="124"/>
    </row>
    <row r="971" spans="1:14" ht="19.5" customHeight="1">
      <c r="A971" s="20"/>
      <c r="B971" s="21"/>
      <c r="C971" s="22"/>
      <c r="D971" s="189"/>
      <c r="E971" s="190"/>
      <c r="F971" s="81"/>
      <c r="G971" s="22"/>
      <c r="H971" s="22"/>
      <c r="I971" s="22"/>
      <c r="N971" s="124"/>
    </row>
    <row r="972" spans="1:14" ht="19.5" customHeight="1">
      <c r="A972" s="20"/>
      <c r="B972" s="21"/>
      <c r="C972" s="22"/>
      <c r="D972" s="189"/>
      <c r="E972" s="190"/>
      <c r="F972" s="81"/>
      <c r="G972" s="22"/>
      <c r="H972" s="22"/>
      <c r="I972" s="22"/>
      <c r="N972" s="124"/>
    </row>
    <row r="973" spans="1:14" ht="19.5" customHeight="1">
      <c r="A973" s="20"/>
      <c r="B973" s="21"/>
      <c r="C973" s="22"/>
      <c r="D973" s="189"/>
      <c r="E973" s="190"/>
      <c r="F973" s="81"/>
      <c r="G973" s="22"/>
      <c r="H973" s="22"/>
      <c r="I973" s="22"/>
      <c r="N973" s="124"/>
    </row>
    <row r="974" spans="1:14" ht="19.5" customHeight="1">
      <c r="A974" s="20"/>
      <c r="B974" s="21"/>
      <c r="C974" s="22"/>
      <c r="D974" s="189"/>
      <c r="E974" s="190"/>
      <c r="F974" s="81"/>
      <c r="G974" s="22"/>
      <c r="H974" s="22"/>
      <c r="I974" s="22"/>
      <c r="N974" s="124"/>
    </row>
    <row r="975" spans="1:14" ht="19.5" customHeight="1">
      <c r="A975" s="20"/>
      <c r="B975" s="21"/>
      <c r="C975" s="22"/>
      <c r="D975" s="189"/>
      <c r="E975" s="190"/>
      <c r="F975" s="81"/>
      <c r="G975" s="22"/>
      <c r="H975" s="22"/>
      <c r="I975" s="22"/>
      <c r="N975" s="124"/>
    </row>
    <row r="976" spans="1:14" ht="19.5" customHeight="1">
      <c r="A976" s="20"/>
      <c r="B976" s="21"/>
      <c r="C976" s="22"/>
      <c r="D976" s="189"/>
      <c r="E976" s="190"/>
      <c r="F976" s="81"/>
      <c r="G976" s="22"/>
      <c r="H976" s="22"/>
      <c r="I976" s="22"/>
      <c r="N976" s="124"/>
    </row>
    <row r="977" spans="1:14" ht="19.5" customHeight="1">
      <c r="A977" s="20"/>
      <c r="B977" s="21"/>
      <c r="C977" s="22"/>
      <c r="D977" s="189"/>
      <c r="E977" s="190"/>
      <c r="F977" s="81"/>
      <c r="G977" s="22"/>
      <c r="H977" s="22"/>
      <c r="I977" s="22"/>
      <c r="N977" s="124"/>
    </row>
    <row r="978" spans="1:14" ht="19.5" customHeight="1">
      <c r="A978" s="20"/>
      <c r="B978" s="21"/>
      <c r="C978" s="22"/>
      <c r="D978" s="189"/>
      <c r="E978" s="190"/>
      <c r="F978" s="81"/>
      <c r="G978" s="22"/>
      <c r="H978" s="22"/>
      <c r="I978" s="22"/>
      <c r="N978" s="124"/>
    </row>
    <row r="979" spans="1:14" ht="19.5" customHeight="1">
      <c r="A979" s="20"/>
      <c r="B979" s="21"/>
      <c r="C979" s="22"/>
      <c r="D979" s="189"/>
      <c r="E979" s="190"/>
      <c r="F979" s="81"/>
      <c r="G979" s="22"/>
      <c r="H979" s="22"/>
      <c r="I979" s="22"/>
      <c r="N979" s="124"/>
    </row>
    <row r="980" spans="1:14" ht="19.5" customHeight="1">
      <c r="A980" s="20"/>
      <c r="B980" s="21"/>
      <c r="C980" s="22"/>
      <c r="D980" s="189"/>
      <c r="E980" s="190"/>
      <c r="F980" s="81"/>
      <c r="G980" s="22"/>
      <c r="H980" s="22"/>
      <c r="I980" s="22"/>
      <c r="N980" s="124"/>
    </row>
    <row r="981" spans="1:14" ht="19.5" customHeight="1">
      <c r="A981" s="20"/>
      <c r="B981" s="21"/>
      <c r="C981" s="22"/>
      <c r="D981" s="189"/>
      <c r="E981" s="190"/>
      <c r="F981" s="81"/>
      <c r="G981" s="22"/>
      <c r="H981" s="22"/>
      <c r="I981" s="22"/>
      <c r="N981" s="124"/>
    </row>
    <row r="982" spans="1:14" ht="19.5" customHeight="1">
      <c r="A982" s="20"/>
      <c r="B982" s="21"/>
      <c r="C982" s="22"/>
      <c r="D982" s="189"/>
      <c r="E982" s="190"/>
      <c r="F982" s="81"/>
      <c r="G982" s="22"/>
      <c r="H982" s="22"/>
      <c r="I982" s="22"/>
      <c r="N982" s="124"/>
    </row>
    <row r="983" spans="1:14" ht="19.5" customHeight="1">
      <c r="A983" s="20"/>
      <c r="B983" s="21"/>
      <c r="C983" s="22"/>
      <c r="D983" s="189"/>
      <c r="E983" s="190"/>
      <c r="F983" s="81"/>
      <c r="G983" s="22"/>
      <c r="H983" s="22"/>
      <c r="I983" s="22"/>
      <c r="N983" s="124"/>
    </row>
    <row r="984" spans="1:14" ht="19.5" customHeight="1">
      <c r="A984" s="20"/>
      <c r="B984" s="21"/>
      <c r="C984" s="22"/>
      <c r="D984" s="189"/>
      <c r="E984" s="190"/>
      <c r="F984" s="81"/>
      <c r="G984" s="22"/>
      <c r="H984" s="22"/>
      <c r="I984" s="22"/>
      <c r="N984" s="124"/>
    </row>
    <row r="985" spans="1:14" ht="19.5" customHeight="1">
      <c r="A985" s="20"/>
      <c r="B985" s="21"/>
      <c r="C985" s="22"/>
      <c r="D985" s="189"/>
      <c r="E985" s="190"/>
      <c r="F985" s="81"/>
      <c r="G985" s="22"/>
      <c r="H985" s="22"/>
      <c r="I985" s="22"/>
      <c r="N985" s="124"/>
    </row>
    <row r="986" spans="1:14" ht="19.5" customHeight="1">
      <c r="A986" s="20"/>
      <c r="B986" s="21"/>
      <c r="C986" s="22"/>
      <c r="D986" s="189"/>
      <c r="E986" s="190"/>
      <c r="F986" s="81"/>
      <c r="G986" s="22"/>
      <c r="H986" s="22"/>
      <c r="I986" s="22"/>
      <c r="N986" s="124"/>
    </row>
    <row r="987" spans="1:14" ht="19.5" customHeight="1">
      <c r="A987" s="20"/>
      <c r="B987" s="21"/>
      <c r="C987" s="22"/>
      <c r="D987" s="189"/>
      <c r="E987" s="190"/>
      <c r="F987" s="81"/>
      <c r="G987" s="22"/>
      <c r="H987" s="22"/>
      <c r="I987" s="22"/>
      <c r="N987" s="124"/>
    </row>
    <row r="988" spans="1:14" ht="19.5" customHeight="1">
      <c r="A988" s="20"/>
      <c r="B988" s="21"/>
      <c r="C988" s="22"/>
      <c r="D988" s="189"/>
      <c r="E988" s="190"/>
      <c r="F988" s="81"/>
      <c r="G988" s="22"/>
      <c r="H988" s="22"/>
      <c r="I988" s="22"/>
      <c r="N988" s="124"/>
    </row>
    <row r="989" spans="1:14" ht="19.5" customHeight="1">
      <c r="A989" s="20"/>
      <c r="B989" s="21"/>
      <c r="C989" s="22"/>
      <c r="D989" s="189"/>
      <c r="E989" s="190"/>
      <c r="F989" s="81"/>
      <c r="G989" s="22"/>
      <c r="H989" s="22"/>
      <c r="I989" s="22"/>
      <c r="N989" s="124"/>
    </row>
    <row r="990" spans="1:14" ht="19.5" customHeight="1">
      <c r="A990" s="20"/>
      <c r="B990" s="21"/>
      <c r="C990" s="22"/>
      <c r="D990" s="189"/>
      <c r="E990" s="190"/>
      <c r="F990" s="81"/>
      <c r="G990" s="22"/>
      <c r="H990" s="22"/>
      <c r="I990" s="22"/>
      <c r="N990" s="124"/>
    </row>
    <row r="991" spans="1:14" ht="19.5" customHeight="1">
      <c r="A991" s="20"/>
      <c r="B991" s="21"/>
      <c r="C991" s="22"/>
      <c r="D991" s="189"/>
      <c r="E991" s="190"/>
      <c r="F991" s="81"/>
      <c r="G991" s="22"/>
      <c r="H991" s="22"/>
      <c r="I991" s="22"/>
      <c r="N991" s="124"/>
    </row>
    <row r="992" spans="1:14" ht="19.5" customHeight="1">
      <c r="A992" s="20"/>
      <c r="B992" s="21"/>
      <c r="C992" s="22"/>
      <c r="D992" s="189"/>
      <c r="E992" s="190"/>
      <c r="F992" s="81"/>
      <c r="G992" s="22"/>
      <c r="H992" s="22"/>
      <c r="I992" s="22"/>
      <c r="N992" s="124"/>
    </row>
    <row r="993" spans="1:14" ht="19.5" customHeight="1">
      <c r="A993" s="20"/>
      <c r="B993" s="21"/>
      <c r="C993" s="22"/>
      <c r="D993" s="189"/>
      <c r="E993" s="190"/>
      <c r="F993" s="81"/>
      <c r="G993" s="22"/>
      <c r="H993" s="22"/>
      <c r="I993" s="22"/>
      <c r="N993" s="124"/>
    </row>
    <row r="994" spans="1:14" ht="19.5" customHeight="1">
      <c r="A994" s="20"/>
      <c r="B994" s="21"/>
      <c r="C994" s="22"/>
      <c r="D994" s="189"/>
      <c r="E994" s="190"/>
      <c r="F994" s="81"/>
      <c r="G994" s="22"/>
      <c r="H994" s="22"/>
      <c r="I994" s="22"/>
      <c r="N994" s="124"/>
    </row>
    <row r="995" spans="1:14" ht="19.5" customHeight="1">
      <c r="A995" s="20"/>
      <c r="B995" s="21"/>
      <c r="C995" s="22"/>
      <c r="D995" s="189"/>
      <c r="E995" s="190"/>
      <c r="F995" s="81"/>
      <c r="G995" s="22"/>
      <c r="H995" s="22"/>
      <c r="I995" s="22"/>
      <c r="N995" s="124"/>
    </row>
    <row r="996" spans="1:14" ht="19.5" customHeight="1">
      <c r="A996" s="20"/>
      <c r="B996" s="21"/>
      <c r="C996" s="22"/>
      <c r="D996" s="189"/>
      <c r="E996" s="190"/>
      <c r="F996" s="81"/>
      <c r="G996" s="22"/>
      <c r="H996" s="22"/>
      <c r="I996" s="22"/>
      <c r="N996" s="124"/>
    </row>
    <row r="997" spans="1:14" ht="19.5" customHeight="1">
      <c r="A997" s="20"/>
      <c r="B997" s="21"/>
      <c r="C997" s="22"/>
      <c r="D997" s="189"/>
      <c r="E997" s="190"/>
      <c r="F997" s="81"/>
      <c r="G997" s="22"/>
      <c r="H997" s="22"/>
      <c r="I997" s="22"/>
      <c r="N997" s="124"/>
    </row>
    <row r="998" spans="1:14" ht="19.5" customHeight="1">
      <c r="A998" s="20"/>
      <c r="B998" s="21"/>
      <c r="C998" s="22"/>
      <c r="D998" s="189"/>
      <c r="E998" s="190"/>
      <c r="F998" s="81"/>
      <c r="G998" s="22"/>
      <c r="H998" s="22"/>
      <c r="I998" s="22"/>
      <c r="N998" s="124"/>
    </row>
    <row r="999" spans="1:14" ht="19.5" customHeight="1">
      <c r="A999" s="20"/>
      <c r="B999" s="21"/>
      <c r="C999" s="22"/>
      <c r="D999" s="189"/>
      <c r="E999" s="190"/>
      <c r="F999" s="81"/>
      <c r="G999" s="22"/>
      <c r="H999" s="22"/>
      <c r="I999" s="22"/>
      <c r="N999" s="124"/>
    </row>
    <row r="1000" spans="1:14" ht="19.5" customHeight="1">
      <c r="A1000" s="20"/>
      <c r="B1000" s="21"/>
      <c r="C1000" s="22"/>
      <c r="D1000" s="189"/>
      <c r="E1000" s="190"/>
      <c r="F1000" s="81"/>
      <c r="G1000" s="22"/>
      <c r="H1000" s="22"/>
      <c r="I1000" s="22"/>
      <c r="N1000" s="124"/>
    </row>
    <row r="1001" spans="1:14" ht="19.5" customHeight="1">
      <c r="A1001" s="20"/>
      <c r="B1001" s="21"/>
      <c r="C1001" s="22"/>
      <c r="D1001" s="189"/>
      <c r="E1001" s="190"/>
      <c r="F1001" s="81"/>
      <c r="G1001" s="22"/>
      <c r="H1001" s="22"/>
      <c r="I1001" s="22"/>
      <c r="N1001" s="124"/>
    </row>
    <row r="1002" spans="1:14" ht="19.5" customHeight="1">
      <c r="A1002" s="20"/>
      <c r="B1002" s="21"/>
      <c r="C1002" s="22"/>
      <c r="D1002" s="189"/>
      <c r="E1002" s="190"/>
      <c r="F1002" s="81"/>
      <c r="G1002" s="22"/>
      <c r="H1002" s="22"/>
      <c r="I1002" s="22"/>
      <c r="N1002" s="124"/>
    </row>
    <row r="1003" spans="1:14" ht="19.5" customHeight="1">
      <c r="A1003" s="20"/>
      <c r="B1003" s="21"/>
      <c r="C1003" s="22"/>
      <c r="D1003" s="189"/>
      <c r="E1003" s="190"/>
      <c r="F1003" s="81"/>
      <c r="G1003" s="22"/>
      <c r="H1003" s="22"/>
      <c r="I1003" s="22"/>
      <c r="N1003" s="124"/>
    </row>
    <row r="1004" spans="1:14" ht="19.5" customHeight="1">
      <c r="A1004" s="20"/>
      <c r="B1004" s="21"/>
      <c r="C1004" s="22"/>
      <c r="D1004" s="189"/>
      <c r="E1004" s="190"/>
      <c r="F1004" s="81"/>
      <c r="G1004" s="22"/>
      <c r="H1004" s="22"/>
      <c r="I1004" s="22"/>
      <c r="N1004" s="124"/>
    </row>
    <row r="1005" spans="1:14" ht="19.5" customHeight="1">
      <c r="A1005" s="20"/>
      <c r="B1005" s="21"/>
      <c r="C1005" s="22"/>
      <c r="D1005" s="189"/>
      <c r="E1005" s="190"/>
      <c r="F1005" s="81"/>
      <c r="G1005" s="22"/>
      <c r="H1005" s="22"/>
      <c r="I1005" s="22"/>
      <c r="N1005" s="124"/>
    </row>
    <row r="1006" spans="1:14" ht="19.5" customHeight="1">
      <c r="A1006" s="20"/>
      <c r="B1006" s="21"/>
      <c r="C1006" s="22"/>
      <c r="D1006" s="189"/>
      <c r="E1006" s="190"/>
      <c r="F1006" s="81"/>
      <c r="G1006" s="22"/>
      <c r="H1006" s="22"/>
      <c r="I1006" s="22"/>
      <c r="N1006" s="124"/>
    </row>
    <row r="1007" spans="1:14" ht="19.5" customHeight="1">
      <c r="A1007" s="20"/>
      <c r="B1007" s="21"/>
      <c r="C1007" s="22"/>
      <c r="D1007" s="189"/>
      <c r="E1007" s="190"/>
      <c r="F1007" s="81"/>
      <c r="G1007" s="22"/>
      <c r="H1007" s="22"/>
      <c r="I1007" s="22"/>
      <c r="N1007" s="124"/>
    </row>
    <row r="1008" spans="1:14" ht="19.5" customHeight="1">
      <c r="A1008" s="20"/>
      <c r="B1008" s="21"/>
      <c r="C1008" s="22"/>
      <c r="D1008" s="189"/>
      <c r="E1008" s="190"/>
      <c r="F1008" s="81"/>
      <c r="G1008" s="22"/>
      <c r="H1008" s="22"/>
      <c r="I1008" s="22"/>
      <c r="N1008" s="124"/>
    </row>
    <row r="1009" spans="1:14" ht="19.5" customHeight="1">
      <c r="A1009" s="20"/>
      <c r="B1009" s="21"/>
      <c r="C1009" s="22"/>
      <c r="D1009" s="189"/>
      <c r="E1009" s="190"/>
      <c r="F1009" s="81"/>
      <c r="G1009" s="22"/>
      <c r="H1009" s="22"/>
      <c r="I1009" s="22"/>
      <c r="N1009" s="124"/>
    </row>
    <row r="1010" spans="1:14" ht="19.5" customHeight="1">
      <c r="A1010" s="20"/>
      <c r="B1010" s="21"/>
      <c r="C1010" s="22"/>
      <c r="D1010" s="189"/>
      <c r="E1010" s="190"/>
      <c r="F1010" s="81"/>
      <c r="G1010" s="22"/>
      <c r="H1010" s="22"/>
      <c r="I1010" s="22"/>
      <c r="N1010" s="124"/>
    </row>
    <row r="1011" spans="1:14" ht="19.5" customHeight="1">
      <c r="A1011" s="20"/>
      <c r="B1011" s="21"/>
      <c r="C1011" s="22"/>
      <c r="D1011" s="189"/>
      <c r="E1011" s="190"/>
      <c r="F1011" s="81"/>
      <c r="G1011" s="22"/>
      <c r="H1011" s="22"/>
      <c r="I1011" s="22"/>
      <c r="N1011" s="124"/>
    </row>
    <row r="1012" spans="1:14" ht="19.5" customHeight="1">
      <c r="A1012" s="20"/>
      <c r="B1012" s="21"/>
      <c r="C1012" s="22"/>
      <c r="D1012" s="189"/>
      <c r="E1012" s="190"/>
      <c r="F1012" s="81"/>
      <c r="G1012" s="22"/>
      <c r="H1012" s="22"/>
      <c r="I1012" s="22"/>
      <c r="N1012" s="124"/>
    </row>
    <row r="1013" spans="1:14" ht="19.5" customHeight="1">
      <c r="A1013" s="20"/>
      <c r="B1013" s="21"/>
      <c r="C1013" s="22"/>
      <c r="D1013" s="189"/>
      <c r="E1013" s="190"/>
      <c r="F1013" s="81"/>
      <c r="G1013" s="22"/>
      <c r="H1013" s="22"/>
      <c r="I1013" s="22"/>
      <c r="N1013" s="124"/>
    </row>
    <row r="1014" spans="1:14" ht="19.5" customHeight="1">
      <c r="A1014" s="20"/>
      <c r="B1014" s="21"/>
      <c r="C1014" s="22"/>
      <c r="D1014" s="189"/>
      <c r="E1014" s="190"/>
      <c r="F1014" s="81"/>
      <c r="G1014" s="22"/>
      <c r="H1014" s="22"/>
      <c r="I1014" s="22"/>
      <c r="N1014" s="124"/>
    </row>
    <row r="1015" spans="1:14" ht="19.5" customHeight="1">
      <c r="A1015" s="20"/>
      <c r="B1015" s="21"/>
      <c r="C1015" s="22"/>
      <c r="D1015" s="189"/>
      <c r="E1015" s="190"/>
      <c r="F1015" s="81"/>
      <c r="G1015" s="22"/>
      <c r="H1015" s="22"/>
      <c r="I1015" s="22"/>
      <c r="N1015" s="124"/>
    </row>
    <row r="1016" spans="1:14" ht="19.5" customHeight="1">
      <c r="A1016" s="20"/>
      <c r="B1016" s="21"/>
      <c r="C1016" s="22"/>
      <c r="D1016" s="189"/>
      <c r="E1016" s="190"/>
      <c r="F1016" s="81"/>
      <c r="G1016" s="22"/>
      <c r="H1016" s="22"/>
      <c r="I1016" s="22"/>
      <c r="N1016" s="124"/>
    </row>
    <row r="1017" spans="1:14" ht="19.5" customHeight="1">
      <c r="A1017" s="20"/>
      <c r="B1017" s="21"/>
      <c r="C1017" s="22"/>
      <c r="D1017" s="189"/>
      <c r="E1017" s="190"/>
      <c r="F1017" s="81"/>
      <c r="G1017" s="22"/>
      <c r="H1017" s="22"/>
      <c r="I1017" s="22"/>
      <c r="N1017" s="124"/>
    </row>
    <row r="1018" spans="1:14" ht="19.5" customHeight="1">
      <c r="A1018" s="20"/>
      <c r="B1018" s="21"/>
      <c r="C1018" s="22"/>
      <c r="D1018" s="189"/>
      <c r="E1018" s="190"/>
      <c r="F1018" s="81"/>
      <c r="G1018" s="22"/>
      <c r="H1018" s="22"/>
      <c r="I1018" s="22"/>
      <c r="N1018" s="124"/>
    </row>
    <row r="1019" spans="1:14" ht="19.5" customHeight="1">
      <c r="A1019" s="20"/>
      <c r="B1019" s="21"/>
      <c r="C1019" s="22"/>
      <c r="D1019" s="189"/>
      <c r="E1019" s="190"/>
      <c r="F1019" s="81"/>
      <c r="G1019" s="22"/>
      <c r="H1019" s="22"/>
      <c r="I1019" s="22"/>
      <c r="N1019" s="124"/>
    </row>
    <row r="1020" spans="1:14" ht="19.5" customHeight="1">
      <c r="A1020" s="20"/>
      <c r="B1020" s="21"/>
      <c r="C1020" s="22"/>
      <c r="D1020" s="189"/>
      <c r="E1020" s="190"/>
      <c r="F1020" s="81"/>
      <c r="G1020" s="22"/>
      <c r="H1020" s="22"/>
      <c r="I1020" s="22"/>
      <c r="N1020" s="124"/>
    </row>
    <row r="1021" spans="1:14" ht="19.5" customHeight="1">
      <c r="A1021" s="20"/>
      <c r="B1021" s="21"/>
      <c r="C1021" s="22"/>
      <c r="D1021" s="189"/>
      <c r="E1021" s="190"/>
      <c r="F1021" s="81"/>
      <c r="G1021" s="22"/>
      <c r="H1021" s="22"/>
      <c r="I1021" s="22"/>
      <c r="N1021" s="124"/>
    </row>
    <row r="1022" spans="1:14" ht="19.5" customHeight="1">
      <c r="A1022" s="20"/>
      <c r="B1022" s="21"/>
      <c r="C1022" s="22"/>
      <c r="D1022" s="189"/>
      <c r="E1022" s="190"/>
      <c r="F1022" s="81"/>
      <c r="G1022" s="22"/>
      <c r="H1022" s="22"/>
      <c r="I1022" s="22"/>
      <c r="N1022" s="124"/>
    </row>
    <row r="1023" spans="1:14" ht="19.5" customHeight="1">
      <c r="A1023" s="20"/>
      <c r="B1023" s="21"/>
      <c r="C1023" s="22"/>
      <c r="D1023" s="189"/>
      <c r="E1023" s="190"/>
      <c r="F1023" s="81"/>
      <c r="G1023" s="22"/>
      <c r="H1023" s="22"/>
      <c r="I1023" s="22"/>
      <c r="N1023" s="124"/>
    </row>
    <row r="1024" spans="1:14" ht="19.5" customHeight="1">
      <c r="A1024" s="20"/>
      <c r="B1024" s="21"/>
      <c r="C1024" s="22"/>
      <c r="D1024" s="189"/>
      <c r="E1024" s="190"/>
      <c r="F1024" s="81"/>
      <c r="G1024" s="22"/>
      <c r="H1024" s="22"/>
      <c r="I1024" s="22"/>
      <c r="N1024" s="124"/>
    </row>
    <row r="1025" spans="1:14" ht="19.5" customHeight="1">
      <c r="A1025" s="20"/>
      <c r="B1025" s="21"/>
      <c r="C1025" s="22"/>
      <c r="D1025" s="189"/>
      <c r="E1025" s="190"/>
      <c r="F1025" s="81"/>
      <c r="G1025" s="22"/>
      <c r="H1025" s="22"/>
      <c r="I1025" s="22"/>
      <c r="N1025" s="124"/>
    </row>
    <row r="1026" spans="1:14" ht="19.5" customHeight="1">
      <c r="A1026" s="20"/>
      <c r="B1026" s="21"/>
      <c r="C1026" s="22"/>
      <c r="D1026" s="189"/>
      <c r="E1026" s="190"/>
      <c r="F1026" s="81"/>
      <c r="G1026" s="22"/>
      <c r="H1026" s="22"/>
      <c r="I1026" s="22"/>
      <c r="N1026" s="124"/>
    </row>
    <row r="1027" spans="1:14" ht="19.5" customHeight="1">
      <c r="A1027" s="20"/>
      <c r="B1027" s="21"/>
      <c r="C1027" s="22"/>
      <c r="D1027" s="189"/>
      <c r="E1027" s="190"/>
      <c r="F1027" s="81"/>
      <c r="G1027" s="22"/>
      <c r="H1027" s="22"/>
      <c r="I1027" s="22"/>
      <c r="N1027" s="124"/>
    </row>
    <row r="1028" spans="1:14" ht="19.5" customHeight="1">
      <c r="A1028" s="20"/>
      <c r="B1028" s="21"/>
      <c r="C1028" s="22"/>
      <c r="D1028" s="189"/>
      <c r="E1028" s="190"/>
      <c r="F1028" s="81"/>
      <c r="G1028" s="22"/>
      <c r="H1028" s="22"/>
      <c r="I1028" s="22"/>
      <c r="N1028" s="124"/>
    </row>
    <row r="1029" spans="1:14" ht="19.5" customHeight="1">
      <c r="A1029" s="20"/>
      <c r="B1029" s="21"/>
      <c r="C1029" s="22"/>
      <c r="D1029" s="189"/>
      <c r="E1029" s="190"/>
      <c r="F1029" s="81"/>
      <c r="G1029" s="22"/>
      <c r="H1029" s="22"/>
      <c r="I1029" s="22"/>
      <c r="N1029" s="124"/>
    </row>
    <row r="1030" spans="1:14" ht="19.5" customHeight="1">
      <c r="A1030" s="20"/>
      <c r="B1030" s="21"/>
      <c r="C1030" s="22"/>
      <c r="D1030" s="189"/>
      <c r="E1030" s="190"/>
      <c r="F1030" s="81"/>
      <c r="G1030" s="22"/>
      <c r="H1030" s="22"/>
      <c r="I1030" s="22"/>
      <c r="N1030" s="124"/>
    </row>
    <row r="1031" spans="1:14" ht="19.5" customHeight="1">
      <c r="A1031" s="20"/>
      <c r="B1031" s="21"/>
      <c r="C1031" s="22"/>
      <c r="D1031" s="189"/>
      <c r="E1031" s="190"/>
      <c r="F1031" s="81"/>
      <c r="G1031" s="22"/>
      <c r="H1031" s="22"/>
      <c r="I1031" s="22"/>
      <c r="N1031" s="124"/>
    </row>
    <row r="1032" spans="1:14" ht="19.5" customHeight="1">
      <c r="A1032" s="20"/>
      <c r="B1032" s="21"/>
      <c r="C1032" s="22"/>
      <c r="D1032" s="189"/>
      <c r="E1032" s="190"/>
      <c r="F1032" s="81"/>
      <c r="G1032" s="22"/>
      <c r="H1032" s="22"/>
      <c r="I1032" s="22"/>
      <c r="N1032" s="124"/>
    </row>
    <row r="1033" spans="1:14" ht="19.5" customHeight="1">
      <c r="A1033" s="20"/>
      <c r="B1033" s="21"/>
      <c r="C1033" s="22"/>
      <c r="D1033" s="189"/>
      <c r="E1033" s="190"/>
      <c r="F1033" s="81"/>
      <c r="G1033" s="22"/>
      <c r="H1033" s="22"/>
      <c r="I1033" s="22"/>
      <c r="N1033" s="124"/>
    </row>
    <row r="1034" spans="1:14" ht="19.5" customHeight="1">
      <c r="A1034" s="20"/>
      <c r="B1034" s="21"/>
      <c r="C1034" s="22"/>
      <c r="D1034" s="189"/>
      <c r="E1034" s="190"/>
      <c r="F1034" s="81"/>
      <c r="G1034" s="22"/>
      <c r="H1034" s="22"/>
      <c r="I1034" s="22"/>
      <c r="N1034" s="124"/>
    </row>
    <row r="1035" spans="1:14" ht="19.5" customHeight="1">
      <c r="A1035" s="20"/>
      <c r="B1035" s="21"/>
      <c r="C1035" s="22"/>
      <c r="D1035" s="189"/>
      <c r="E1035" s="190"/>
      <c r="F1035" s="81"/>
      <c r="G1035" s="22"/>
      <c r="H1035" s="22"/>
      <c r="I1035" s="22"/>
      <c r="N1035" s="124"/>
    </row>
    <row r="1036" spans="1:14" ht="19.5" customHeight="1">
      <c r="A1036" s="20"/>
      <c r="B1036" s="21"/>
      <c r="C1036" s="22"/>
      <c r="D1036" s="189"/>
      <c r="E1036" s="190"/>
      <c r="F1036" s="81"/>
      <c r="G1036" s="22"/>
      <c r="H1036" s="22"/>
      <c r="I1036" s="22"/>
      <c r="N1036" s="124"/>
    </row>
    <row r="1037" spans="1:14" ht="19.5" customHeight="1">
      <c r="A1037" s="20"/>
      <c r="B1037" s="21"/>
      <c r="C1037" s="22"/>
      <c r="D1037" s="189"/>
      <c r="E1037" s="190"/>
      <c r="F1037" s="81"/>
      <c r="G1037" s="22"/>
      <c r="H1037" s="22"/>
      <c r="I1037" s="22"/>
      <c r="N1037" s="124"/>
    </row>
    <row r="1038" spans="1:14" ht="19.5" customHeight="1">
      <c r="A1038" s="20"/>
      <c r="B1038" s="21"/>
      <c r="C1038" s="22"/>
      <c r="D1038" s="189"/>
      <c r="E1038" s="190"/>
      <c r="F1038" s="81"/>
      <c r="G1038" s="22"/>
      <c r="H1038" s="22"/>
      <c r="I1038" s="22"/>
      <c r="N1038" s="124"/>
    </row>
    <row r="1039" spans="1:14" ht="19.5" customHeight="1">
      <c r="A1039" s="20"/>
      <c r="B1039" s="21"/>
      <c r="C1039" s="22"/>
      <c r="D1039" s="189"/>
      <c r="E1039" s="190"/>
      <c r="F1039" s="81"/>
      <c r="G1039" s="22"/>
      <c r="H1039" s="22"/>
      <c r="I1039" s="22"/>
      <c r="N1039" s="124"/>
    </row>
    <row r="1040" spans="1:14" ht="19.5" customHeight="1">
      <c r="A1040" s="20"/>
      <c r="B1040" s="21"/>
      <c r="C1040" s="22"/>
      <c r="D1040" s="189"/>
      <c r="E1040" s="190"/>
      <c r="F1040" s="81"/>
      <c r="G1040" s="22"/>
      <c r="H1040" s="22"/>
      <c r="I1040" s="22"/>
      <c r="N1040" s="124"/>
    </row>
    <row r="1041" spans="1:14" ht="19.5" customHeight="1">
      <c r="A1041" s="20"/>
      <c r="B1041" s="21"/>
      <c r="C1041" s="22"/>
      <c r="D1041" s="189"/>
      <c r="E1041" s="190"/>
      <c r="F1041" s="81"/>
      <c r="G1041" s="22"/>
      <c r="H1041" s="22"/>
      <c r="I1041" s="22"/>
      <c r="N1041" s="124"/>
    </row>
    <row r="1042" spans="1:14" ht="19.5" customHeight="1">
      <c r="A1042" s="20"/>
      <c r="B1042" s="21"/>
      <c r="C1042" s="22"/>
      <c r="D1042" s="189"/>
      <c r="E1042" s="190"/>
      <c r="F1042" s="81"/>
      <c r="G1042" s="22"/>
      <c r="H1042" s="22"/>
      <c r="I1042" s="22"/>
      <c r="N1042" s="124"/>
    </row>
    <row r="1043" spans="1:14" ht="19.5" customHeight="1">
      <c r="A1043" s="20"/>
      <c r="B1043" s="21"/>
      <c r="C1043" s="22"/>
      <c r="D1043" s="189"/>
      <c r="E1043" s="190"/>
      <c r="F1043" s="81"/>
      <c r="G1043" s="22"/>
      <c r="H1043" s="22"/>
      <c r="I1043" s="22"/>
      <c r="N1043" s="124"/>
    </row>
    <row r="1044" spans="1:14" ht="19.5" customHeight="1">
      <c r="A1044" s="20"/>
      <c r="B1044" s="21"/>
      <c r="C1044" s="22"/>
      <c r="D1044" s="189"/>
      <c r="E1044" s="190"/>
      <c r="F1044" s="81"/>
      <c r="G1044" s="22"/>
      <c r="H1044" s="22"/>
      <c r="I1044" s="22"/>
      <c r="N1044" s="124"/>
    </row>
    <row r="1045" spans="1:14" ht="19.5" customHeight="1">
      <c r="A1045" s="20"/>
      <c r="B1045" s="21"/>
      <c r="C1045" s="22"/>
      <c r="D1045" s="189"/>
      <c r="E1045" s="190"/>
      <c r="F1045" s="81"/>
      <c r="G1045" s="22"/>
      <c r="H1045" s="22"/>
      <c r="I1045" s="22"/>
      <c r="N1045" s="124"/>
    </row>
    <row r="1046" spans="1:14" ht="19.5" customHeight="1">
      <c r="A1046" s="20"/>
      <c r="B1046" s="21"/>
      <c r="C1046" s="22"/>
      <c r="D1046" s="189"/>
      <c r="E1046" s="190"/>
      <c r="F1046" s="81"/>
      <c r="G1046" s="22"/>
      <c r="H1046" s="22"/>
      <c r="I1046" s="22"/>
      <c r="N1046" s="124"/>
    </row>
    <row r="1047" spans="1:14" ht="19.5" customHeight="1">
      <c r="A1047" s="20"/>
      <c r="B1047" s="21"/>
      <c r="C1047" s="22"/>
      <c r="D1047" s="189"/>
      <c r="E1047" s="190"/>
      <c r="F1047" s="81"/>
      <c r="G1047" s="22"/>
      <c r="H1047" s="22"/>
      <c r="I1047" s="22"/>
      <c r="N1047" s="124"/>
    </row>
    <row r="1048" spans="1:14" ht="19.5" customHeight="1">
      <c r="A1048" s="20"/>
      <c r="B1048" s="21"/>
      <c r="C1048" s="22"/>
      <c r="D1048" s="189"/>
      <c r="E1048" s="190"/>
      <c r="F1048" s="81"/>
      <c r="G1048" s="22"/>
      <c r="H1048" s="22"/>
      <c r="I1048" s="22"/>
      <c r="N1048" s="124"/>
    </row>
    <row r="1049" spans="1:14" ht="19.5" customHeight="1">
      <c r="A1049" s="20"/>
      <c r="B1049" s="21"/>
      <c r="C1049" s="22"/>
      <c r="D1049" s="189"/>
      <c r="E1049" s="190"/>
      <c r="F1049" s="81"/>
      <c r="G1049" s="22"/>
      <c r="H1049" s="22"/>
      <c r="I1049" s="22"/>
      <c r="N1049" s="124"/>
    </row>
    <row r="1050" spans="1:14" ht="19.5" customHeight="1">
      <c r="A1050" s="20"/>
      <c r="B1050" s="21"/>
      <c r="C1050" s="22"/>
      <c r="D1050" s="189"/>
      <c r="E1050" s="190"/>
      <c r="F1050" s="81"/>
      <c r="G1050" s="22"/>
      <c r="H1050" s="22"/>
      <c r="I1050" s="22"/>
      <c r="N1050" s="124"/>
    </row>
    <row r="1051" spans="1:14" ht="19.5" customHeight="1">
      <c r="A1051" s="20"/>
      <c r="B1051" s="21"/>
      <c r="C1051" s="22"/>
      <c r="D1051" s="189"/>
      <c r="E1051" s="190"/>
      <c r="F1051" s="81"/>
      <c r="G1051" s="22"/>
      <c r="H1051" s="22"/>
      <c r="I1051" s="22"/>
      <c r="N1051" s="124"/>
    </row>
    <row r="1052" spans="1:14" ht="19.5" customHeight="1">
      <c r="A1052" s="20"/>
      <c r="B1052" s="21"/>
      <c r="C1052" s="22"/>
      <c r="D1052" s="189"/>
      <c r="E1052" s="190"/>
      <c r="F1052" s="81"/>
      <c r="G1052" s="22"/>
      <c r="H1052" s="22"/>
      <c r="I1052" s="22"/>
      <c r="N1052" s="124"/>
    </row>
    <row r="1053" spans="1:14" ht="19.5" customHeight="1">
      <c r="A1053" s="20"/>
      <c r="B1053" s="21"/>
      <c r="C1053" s="22"/>
      <c r="D1053" s="189"/>
      <c r="E1053" s="190"/>
      <c r="F1053" s="81"/>
      <c r="G1053" s="22"/>
      <c r="H1053" s="22"/>
      <c r="I1053" s="22"/>
      <c r="N1053" s="124"/>
    </row>
    <row r="1054" spans="1:14" ht="19.5" customHeight="1">
      <c r="A1054" s="20"/>
      <c r="B1054" s="21"/>
      <c r="C1054" s="22"/>
      <c r="D1054" s="189"/>
      <c r="E1054" s="190"/>
      <c r="F1054" s="81"/>
      <c r="G1054" s="22"/>
      <c r="H1054" s="22"/>
      <c r="I1054" s="22"/>
      <c r="N1054" s="124"/>
    </row>
    <row r="1055" spans="1:14" ht="19.5" customHeight="1">
      <c r="A1055" s="20"/>
      <c r="B1055" s="21"/>
      <c r="C1055" s="22"/>
      <c r="D1055" s="189"/>
      <c r="E1055" s="190"/>
      <c r="F1055" s="81"/>
      <c r="G1055" s="22"/>
      <c r="H1055" s="22"/>
      <c r="I1055" s="22"/>
      <c r="N1055" s="124"/>
    </row>
    <row r="1056" spans="1:14" ht="19.5" customHeight="1">
      <c r="A1056" s="20"/>
      <c r="B1056" s="21"/>
      <c r="C1056" s="22"/>
      <c r="D1056" s="189"/>
      <c r="E1056" s="190"/>
      <c r="F1056" s="81"/>
      <c r="G1056" s="22"/>
      <c r="H1056" s="22"/>
      <c r="I1056" s="22"/>
      <c r="N1056" s="124"/>
    </row>
    <row r="1057" spans="1:14" ht="19.5" customHeight="1">
      <c r="A1057" s="20"/>
      <c r="B1057" s="21"/>
      <c r="C1057" s="22"/>
      <c r="D1057" s="189"/>
      <c r="E1057" s="190"/>
      <c r="F1057" s="81"/>
      <c r="G1057" s="22"/>
      <c r="H1057" s="22"/>
      <c r="I1057" s="22"/>
      <c r="N1057" s="124"/>
    </row>
    <row r="1058" spans="1:14" ht="19.5" customHeight="1">
      <c r="A1058" s="20"/>
      <c r="B1058" s="21"/>
      <c r="C1058" s="22"/>
      <c r="D1058" s="189"/>
      <c r="E1058" s="190"/>
      <c r="F1058" s="81"/>
      <c r="G1058" s="22"/>
      <c r="H1058" s="22"/>
      <c r="I1058" s="22"/>
      <c r="N1058" s="124"/>
    </row>
    <row r="1059" spans="1:14" ht="19.5" customHeight="1">
      <c r="A1059" s="20"/>
      <c r="B1059" s="21"/>
      <c r="C1059" s="22"/>
      <c r="D1059" s="189"/>
      <c r="E1059" s="190"/>
      <c r="F1059" s="81"/>
      <c r="G1059" s="22"/>
      <c r="H1059" s="22"/>
      <c r="I1059" s="22"/>
      <c r="N1059" s="124"/>
    </row>
    <row r="1060" spans="1:14" ht="19.5" customHeight="1">
      <c r="A1060" s="20"/>
      <c r="B1060" s="21"/>
      <c r="C1060" s="22"/>
      <c r="D1060" s="189"/>
      <c r="E1060" s="190"/>
      <c r="F1060" s="81"/>
      <c r="G1060" s="22"/>
      <c r="H1060" s="22"/>
      <c r="I1060" s="22"/>
      <c r="N1060" s="124"/>
    </row>
    <row r="1061" spans="1:14" ht="19.5" customHeight="1">
      <c r="A1061" s="20"/>
      <c r="B1061" s="21"/>
      <c r="C1061" s="22"/>
      <c r="D1061" s="189"/>
      <c r="E1061" s="190"/>
      <c r="F1061" s="81"/>
      <c r="G1061" s="22"/>
      <c r="H1061" s="22"/>
      <c r="I1061" s="22"/>
      <c r="N1061" s="124"/>
    </row>
    <row r="1062" spans="1:14" ht="19.5" customHeight="1">
      <c r="A1062" s="20"/>
      <c r="B1062" s="21"/>
      <c r="C1062" s="22"/>
      <c r="D1062" s="189"/>
      <c r="E1062" s="190"/>
      <c r="F1062" s="81"/>
      <c r="G1062" s="22"/>
      <c r="H1062" s="22"/>
      <c r="I1062" s="22"/>
      <c r="N1062" s="124"/>
    </row>
    <row r="1063" spans="1:14" ht="19.5" customHeight="1">
      <c r="A1063" s="20"/>
      <c r="B1063" s="21"/>
      <c r="C1063" s="22"/>
      <c r="D1063" s="189"/>
      <c r="E1063" s="190"/>
      <c r="F1063" s="81"/>
      <c r="G1063" s="22"/>
      <c r="H1063" s="22"/>
      <c r="I1063" s="22"/>
      <c r="N1063" s="124"/>
    </row>
    <row r="1064" spans="1:14" ht="19.5" customHeight="1">
      <c r="A1064" s="20"/>
      <c r="B1064" s="21"/>
      <c r="C1064" s="22"/>
      <c r="D1064" s="189"/>
      <c r="E1064" s="190"/>
      <c r="F1064" s="81"/>
      <c r="G1064" s="22"/>
      <c r="H1064" s="22"/>
      <c r="I1064" s="22"/>
      <c r="N1064" s="124"/>
    </row>
    <row r="1065" spans="1:14" ht="19.5" customHeight="1">
      <c r="A1065" s="20"/>
      <c r="B1065" s="21"/>
      <c r="C1065" s="22"/>
      <c r="D1065" s="189"/>
      <c r="E1065" s="190"/>
      <c r="F1065" s="81"/>
      <c r="G1065" s="22"/>
      <c r="H1065" s="22"/>
      <c r="I1065" s="22"/>
      <c r="N1065" s="124"/>
    </row>
    <row r="1066" spans="1:14" ht="19.5" customHeight="1">
      <c r="A1066" s="20"/>
      <c r="B1066" s="21"/>
      <c r="C1066" s="22"/>
      <c r="D1066" s="189"/>
      <c r="E1066" s="190"/>
      <c r="F1066" s="81"/>
      <c r="G1066" s="22"/>
      <c r="H1066" s="22"/>
      <c r="I1066" s="22"/>
      <c r="N1066" s="124"/>
    </row>
    <row r="1067" spans="1:14" ht="19.5" customHeight="1">
      <c r="A1067" s="20"/>
      <c r="B1067" s="21"/>
      <c r="C1067" s="22"/>
      <c r="D1067" s="189"/>
      <c r="E1067" s="190"/>
      <c r="F1067" s="81"/>
      <c r="G1067" s="22"/>
      <c r="H1067" s="22"/>
      <c r="I1067" s="22"/>
      <c r="N1067" s="124"/>
    </row>
    <row r="1068" spans="1:14" ht="19.5" customHeight="1">
      <c r="A1068" s="20"/>
      <c r="B1068" s="21"/>
      <c r="C1068" s="22"/>
      <c r="D1068" s="189"/>
      <c r="E1068" s="190"/>
      <c r="F1068" s="81"/>
      <c r="G1068" s="22"/>
      <c r="H1068" s="22"/>
      <c r="I1068" s="22"/>
      <c r="N1068" s="124"/>
    </row>
    <row r="1069" spans="1:14" ht="19.5" customHeight="1">
      <c r="A1069" s="20"/>
      <c r="B1069" s="21"/>
      <c r="C1069" s="22"/>
      <c r="D1069" s="189"/>
      <c r="E1069" s="190"/>
      <c r="F1069" s="81"/>
      <c r="G1069" s="22"/>
      <c r="H1069" s="22"/>
      <c r="I1069" s="22"/>
      <c r="N1069" s="124"/>
    </row>
    <row r="1070" spans="1:14" ht="19.5" customHeight="1">
      <c r="A1070" s="20"/>
      <c r="B1070" s="21"/>
      <c r="C1070" s="22"/>
      <c r="D1070" s="189"/>
      <c r="E1070" s="190"/>
      <c r="F1070" s="81"/>
      <c r="G1070" s="22"/>
      <c r="H1070" s="22"/>
      <c r="I1070" s="22"/>
      <c r="N1070" s="124"/>
    </row>
    <row r="1071" spans="1:14" ht="19.5" customHeight="1">
      <c r="A1071" s="20"/>
      <c r="B1071" s="21"/>
      <c r="C1071" s="22"/>
      <c r="D1071" s="189"/>
      <c r="E1071" s="190"/>
      <c r="F1071" s="81"/>
      <c r="G1071" s="22"/>
      <c r="H1071" s="22"/>
      <c r="I1071" s="22"/>
      <c r="N1071" s="124"/>
    </row>
    <row r="1072" spans="1:14" ht="19.5" customHeight="1">
      <c r="A1072" s="20"/>
      <c r="B1072" s="21"/>
      <c r="C1072" s="22"/>
      <c r="D1072" s="189"/>
      <c r="E1072" s="190"/>
      <c r="F1072" s="81"/>
      <c r="G1072" s="22"/>
      <c r="H1072" s="22"/>
      <c r="I1072" s="22"/>
      <c r="N1072" s="124"/>
    </row>
    <row r="1073" spans="1:14" ht="19.5" customHeight="1">
      <c r="A1073" s="20"/>
      <c r="B1073" s="21"/>
      <c r="C1073" s="22"/>
      <c r="D1073" s="189"/>
      <c r="E1073" s="190"/>
      <c r="F1073" s="81"/>
      <c r="G1073" s="22"/>
      <c r="H1073" s="22"/>
      <c r="I1073" s="22"/>
      <c r="N1073" s="124"/>
    </row>
    <row r="1074" spans="1:14" ht="19.5" customHeight="1">
      <c r="A1074" s="20"/>
      <c r="B1074" s="21"/>
      <c r="C1074" s="22"/>
      <c r="D1074" s="189"/>
      <c r="E1074" s="190"/>
      <c r="F1074" s="81"/>
      <c r="G1074" s="22"/>
      <c r="H1074" s="22"/>
      <c r="I1074" s="22"/>
      <c r="N1074" s="124"/>
    </row>
    <row r="1075" spans="1:14" ht="19.5" customHeight="1">
      <c r="A1075" s="20"/>
      <c r="B1075" s="21"/>
      <c r="C1075" s="22"/>
      <c r="D1075" s="189"/>
      <c r="E1075" s="190"/>
      <c r="F1075" s="81"/>
      <c r="G1075" s="22"/>
      <c r="H1075" s="22"/>
      <c r="I1075" s="22"/>
      <c r="N1075" s="124"/>
    </row>
    <row r="1076" spans="1:14" ht="19.5" customHeight="1">
      <c r="A1076" s="20"/>
      <c r="B1076" s="21"/>
      <c r="C1076" s="22"/>
      <c r="D1076" s="189"/>
      <c r="E1076" s="190"/>
      <c r="F1076" s="81"/>
      <c r="G1076" s="22"/>
      <c r="H1076" s="22"/>
      <c r="I1076" s="22"/>
      <c r="N1076" s="124"/>
    </row>
    <row r="1077" spans="1:14" ht="19.5" customHeight="1">
      <c r="A1077" s="20"/>
      <c r="B1077" s="21"/>
      <c r="C1077" s="22"/>
      <c r="D1077" s="189"/>
      <c r="E1077" s="190"/>
      <c r="F1077" s="81"/>
      <c r="G1077" s="22"/>
      <c r="H1077" s="22"/>
      <c r="I1077" s="22"/>
      <c r="N1077" s="124"/>
    </row>
    <row r="1078" spans="1:14" ht="19.5" customHeight="1">
      <c r="A1078" s="20"/>
      <c r="B1078" s="21"/>
      <c r="C1078" s="22"/>
      <c r="D1078" s="189"/>
      <c r="E1078" s="190"/>
      <c r="F1078" s="81"/>
      <c r="G1078" s="22"/>
      <c r="H1078" s="22"/>
      <c r="I1078" s="22"/>
      <c r="N1078" s="124"/>
    </row>
    <row r="1079" spans="1:14" ht="19.5" customHeight="1">
      <c r="A1079" s="20"/>
      <c r="B1079" s="21"/>
      <c r="C1079" s="22"/>
      <c r="D1079" s="189"/>
      <c r="E1079" s="190"/>
      <c r="F1079" s="81"/>
      <c r="G1079" s="22"/>
      <c r="H1079" s="22"/>
      <c r="I1079" s="22"/>
      <c r="N1079" s="124"/>
    </row>
    <row r="1080" spans="1:14" ht="19.5" customHeight="1">
      <c r="A1080" s="20"/>
      <c r="B1080" s="21"/>
      <c r="C1080" s="22"/>
      <c r="D1080" s="189"/>
      <c r="E1080" s="190"/>
      <c r="F1080" s="81"/>
      <c r="G1080" s="22"/>
      <c r="H1080" s="22"/>
      <c r="I1080" s="22"/>
      <c r="N1080" s="124"/>
    </row>
    <row r="1081" spans="1:14" ht="19.5" customHeight="1">
      <c r="A1081" s="20"/>
      <c r="B1081" s="21"/>
      <c r="C1081" s="22"/>
      <c r="D1081" s="189"/>
      <c r="E1081" s="190"/>
      <c r="F1081" s="81"/>
      <c r="G1081" s="22"/>
      <c r="H1081" s="22"/>
      <c r="I1081" s="22"/>
      <c r="N1081" s="124"/>
    </row>
    <row r="1082" spans="1:14" ht="19.5" customHeight="1">
      <c r="A1082" s="20"/>
      <c r="B1082" s="21"/>
      <c r="C1082" s="22"/>
      <c r="D1082" s="189"/>
      <c r="E1082" s="190"/>
      <c r="F1082" s="81"/>
      <c r="G1082" s="22"/>
      <c r="H1082" s="22"/>
      <c r="I1082" s="22"/>
      <c r="N1082" s="124"/>
    </row>
    <row r="1083" spans="1:14" ht="19.5" customHeight="1">
      <c r="A1083" s="20"/>
      <c r="B1083" s="21"/>
      <c r="C1083" s="22"/>
      <c r="D1083" s="189"/>
      <c r="E1083" s="190"/>
      <c r="F1083" s="81"/>
      <c r="G1083" s="22"/>
      <c r="H1083" s="22"/>
      <c r="I1083" s="22"/>
      <c r="N1083" s="124"/>
    </row>
    <row r="1084" spans="1:14" ht="19.5" customHeight="1">
      <c r="A1084" s="20"/>
      <c r="B1084" s="21"/>
      <c r="C1084" s="22"/>
      <c r="D1084" s="189"/>
      <c r="E1084" s="190"/>
      <c r="F1084" s="81"/>
      <c r="G1084" s="22"/>
      <c r="H1084" s="22"/>
      <c r="I1084" s="22"/>
      <c r="N1084" s="124"/>
    </row>
    <row r="1085" spans="1:14" ht="19.5" customHeight="1">
      <c r="A1085" s="20"/>
      <c r="B1085" s="21"/>
      <c r="C1085" s="22"/>
      <c r="D1085" s="189"/>
      <c r="E1085" s="190"/>
      <c r="F1085" s="81"/>
      <c r="G1085" s="22"/>
      <c r="H1085" s="22"/>
      <c r="I1085" s="22"/>
      <c r="N1085" s="124"/>
    </row>
    <row r="1086" spans="1:14" ht="19.5" customHeight="1">
      <c r="A1086" s="20"/>
      <c r="B1086" s="21"/>
      <c r="C1086" s="22"/>
      <c r="D1086" s="189"/>
      <c r="E1086" s="190"/>
      <c r="F1086" s="81"/>
      <c r="G1086" s="22"/>
      <c r="H1086" s="22"/>
      <c r="I1086" s="22"/>
      <c r="N1086" s="124"/>
    </row>
    <row r="1087" spans="1:14" ht="19.5" customHeight="1">
      <c r="A1087" s="20"/>
      <c r="B1087" s="21"/>
      <c r="C1087" s="22"/>
      <c r="D1087" s="189"/>
      <c r="E1087" s="190"/>
      <c r="F1087" s="81"/>
      <c r="G1087" s="22"/>
      <c r="H1087" s="22"/>
      <c r="I1087" s="22"/>
      <c r="N1087" s="124"/>
    </row>
    <row r="1088" spans="1:14" ht="19.5" customHeight="1">
      <c r="A1088" s="20"/>
      <c r="B1088" s="21"/>
      <c r="C1088" s="22"/>
      <c r="D1088" s="189"/>
      <c r="E1088" s="190"/>
      <c r="F1088" s="81"/>
      <c r="G1088" s="22"/>
      <c r="H1088" s="22"/>
      <c r="I1088" s="22"/>
      <c r="N1088" s="124"/>
    </row>
    <row r="1089" spans="1:14" ht="19.5" customHeight="1">
      <c r="A1089" s="20"/>
      <c r="B1089" s="21"/>
      <c r="C1089" s="22"/>
      <c r="D1089" s="189"/>
      <c r="E1089" s="190"/>
      <c r="F1089" s="81"/>
      <c r="G1089" s="22"/>
      <c r="H1089" s="22"/>
      <c r="I1089" s="22"/>
      <c r="N1089" s="124"/>
    </row>
    <row r="1090" spans="1:14" ht="19.5" customHeight="1">
      <c r="A1090" s="20"/>
      <c r="B1090" s="21"/>
      <c r="C1090" s="22"/>
      <c r="D1090" s="189"/>
      <c r="E1090" s="190"/>
      <c r="F1090" s="81"/>
      <c r="G1090" s="22"/>
      <c r="H1090" s="22"/>
      <c r="I1090" s="22"/>
      <c r="N1090" s="124"/>
    </row>
    <row r="1091" spans="1:14" ht="19.5" customHeight="1">
      <c r="A1091" s="20"/>
      <c r="B1091" s="21"/>
      <c r="C1091" s="22"/>
      <c r="D1091" s="189"/>
      <c r="E1091" s="190"/>
      <c r="F1091" s="81"/>
      <c r="G1091" s="22"/>
      <c r="H1091" s="22"/>
      <c r="I1091" s="22"/>
      <c r="N1091" s="124"/>
    </row>
    <row r="1092" spans="1:14" ht="19.5" customHeight="1">
      <c r="A1092" s="20"/>
      <c r="B1092" s="21"/>
      <c r="C1092" s="22"/>
      <c r="D1092" s="189"/>
      <c r="E1092" s="190"/>
      <c r="F1092" s="81"/>
      <c r="G1092" s="22"/>
      <c r="H1092" s="22"/>
      <c r="I1092" s="22"/>
      <c r="N1092" s="124"/>
    </row>
    <row r="1093" spans="1:14" ht="19.5" customHeight="1">
      <c r="A1093" s="20"/>
      <c r="B1093" s="21"/>
      <c r="C1093" s="22"/>
      <c r="D1093" s="189"/>
      <c r="E1093" s="190"/>
      <c r="F1093" s="81"/>
      <c r="G1093" s="22"/>
      <c r="H1093" s="22"/>
      <c r="I1093" s="22"/>
      <c r="N1093" s="124"/>
    </row>
    <row r="1094" spans="1:14" ht="19.5" customHeight="1">
      <c r="A1094" s="20"/>
      <c r="B1094" s="21"/>
      <c r="C1094" s="22"/>
      <c r="D1094" s="189"/>
      <c r="E1094" s="190"/>
      <c r="F1094" s="81"/>
      <c r="G1094" s="22"/>
      <c r="H1094" s="22"/>
      <c r="I1094" s="22"/>
      <c r="N1094" s="124"/>
    </row>
    <row r="1095" spans="1:14" ht="19.5" customHeight="1">
      <c r="A1095" s="20"/>
      <c r="B1095" s="21"/>
      <c r="C1095" s="22"/>
      <c r="D1095" s="189"/>
      <c r="E1095" s="190"/>
      <c r="F1095" s="81"/>
      <c r="G1095" s="22"/>
      <c r="H1095" s="22"/>
      <c r="I1095" s="22"/>
      <c r="N1095" s="124"/>
    </row>
    <row r="1096" spans="1:14" ht="19.5" customHeight="1">
      <c r="A1096" s="20"/>
      <c r="B1096" s="21"/>
      <c r="C1096" s="22"/>
      <c r="D1096" s="189"/>
      <c r="E1096" s="190"/>
      <c r="F1096" s="81"/>
      <c r="G1096" s="22"/>
      <c r="H1096" s="22"/>
      <c r="I1096" s="22"/>
      <c r="N1096" s="124"/>
    </row>
    <row r="1097" spans="1:14" ht="19.5" customHeight="1">
      <c r="A1097" s="20"/>
      <c r="B1097" s="21"/>
      <c r="C1097" s="22"/>
      <c r="D1097" s="189"/>
      <c r="E1097" s="190"/>
      <c r="F1097" s="81"/>
      <c r="G1097" s="22"/>
      <c r="H1097" s="22"/>
      <c r="I1097" s="22"/>
      <c r="N1097" s="124"/>
    </row>
    <row r="1098" spans="1:14" ht="19.5" customHeight="1">
      <c r="A1098" s="20"/>
      <c r="B1098" s="21"/>
      <c r="C1098" s="22"/>
      <c r="D1098" s="189"/>
      <c r="E1098" s="190"/>
      <c r="F1098" s="81"/>
      <c r="G1098" s="22"/>
      <c r="H1098" s="22"/>
      <c r="I1098" s="22"/>
      <c r="N1098" s="124"/>
    </row>
    <row r="1099" spans="1:14" ht="19.5" customHeight="1">
      <c r="A1099" s="20"/>
      <c r="B1099" s="21"/>
      <c r="C1099" s="22"/>
      <c r="D1099" s="189"/>
      <c r="E1099" s="190"/>
      <c r="F1099" s="81"/>
      <c r="G1099" s="22"/>
      <c r="H1099" s="22"/>
      <c r="I1099" s="22"/>
      <c r="N1099" s="124"/>
    </row>
    <row r="1100" spans="1:14" ht="19.5" customHeight="1">
      <c r="A1100" s="20"/>
      <c r="B1100" s="21"/>
      <c r="C1100" s="22"/>
      <c r="D1100" s="189"/>
      <c r="E1100" s="190"/>
      <c r="F1100" s="81"/>
      <c r="G1100" s="22"/>
      <c r="H1100" s="22"/>
      <c r="I1100" s="22"/>
      <c r="N1100" s="124"/>
    </row>
    <row r="1101" spans="1:14" ht="19.5" customHeight="1">
      <c r="A1101" s="20"/>
      <c r="B1101" s="21"/>
      <c r="C1101" s="22"/>
      <c r="D1101" s="189"/>
      <c r="E1101" s="190"/>
      <c r="F1101" s="81"/>
      <c r="G1101" s="22"/>
      <c r="H1101" s="22"/>
      <c r="I1101" s="22"/>
      <c r="N1101" s="124"/>
    </row>
    <row r="1102" spans="1:14" ht="19.5" customHeight="1">
      <c r="A1102" s="20"/>
      <c r="B1102" s="21"/>
      <c r="C1102" s="22"/>
      <c r="D1102" s="189"/>
      <c r="E1102" s="190"/>
      <c r="F1102" s="81"/>
      <c r="G1102" s="22"/>
      <c r="H1102" s="22"/>
      <c r="I1102" s="22"/>
      <c r="N1102" s="124"/>
    </row>
    <row r="1103" spans="1:14" ht="19.5" customHeight="1">
      <c r="A1103" s="20"/>
      <c r="B1103" s="21"/>
      <c r="C1103" s="22"/>
      <c r="D1103" s="189"/>
      <c r="E1103" s="190"/>
      <c r="F1103" s="81"/>
      <c r="G1103" s="22"/>
      <c r="H1103" s="22"/>
      <c r="I1103" s="22"/>
      <c r="N1103" s="124"/>
    </row>
    <row r="1104" spans="1:14" ht="19.5" customHeight="1">
      <c r="A1104" s="20"/>
      <c r="B1104" s="21"/>
      <c r="C1104" s="22"/>
      <c r="D1104" s="189"/>
      <c r="E1104" s="190"/>
      <c r="F1104" s="81"/>
      <c r="G1104" s="22"/>
      <c r="H1104" s="22"/>
      <c r="I1104" s="22"/>
      <c r="N1104" s="124"/>
    </row>
    <row r="1105" spans="1:14" ht="19.5" customHeight="1">
      <c r="A1105" s="20"/>
      <c r="B1105" s="21"/>
      <c r="C1105" s="22"/>
      <c r="D1105" s="189"/>
      <c r="E1105" s="190"/>
      <c r="F1105" s="81"/>
      <c r="G1105" s="22"/>
      <c r="H1105" s="22"/>
      <c r="I1105" s="22"/>
      <c r="N1105" s="124"/>
    </row>
    <row r="1106" spans="1:14" ht="19.5" customHeight="1">
      <c r="A1106" s="20"/>
      <c r="B1106" s="21"/>
      <c r="C1106" s="22"/>
      <c r="D1106" s="189"/>
      <c r="E1106" s="190"/>
      <c r="F1106" s="81"/>
      <c r="G1106" s="22"/>
      <c r="H1106" s="22"/>
      <c r="I1106" s="22"/>
      <c r="N1106" s="124"/>
    </row>
    <row r="1107" spans="1:14" ht="19.5" customHeight="1">
      <c r="A1107" s="20"/>
      <c r="B1107" s="21"/>
      <c r="C1107" s="22"/>
      <c r="D1107" s="189"/>
      <c r="E1107" s="190"/>
      <c r="F1107" s="81"/>
      <c r="G1107" s="22"/>
      <c r="H1107" s="22"/>
      <c r="I1107" s="22"/>
      <c r="N1107" s="124"/>
    </row>
    <row r="1108" spans="1:14" ht="19.5" customHeight="1">
      <c r="A1108" s="20"/>
      <c r="B1108" s="21"/>
      <c r="C1108" s="22"/>
      <c r="D1108" s="189"/>
      <c r="E1108" s="190"/>
      <c r="F1108" s="81"/>
      <c r="G1108" s="22"/>
      <c r="H1108" s="22"/>
      <c r="I1108" s="22"/>
      <c r="N1108" s="124"/>
    </row>
    <row r="1109" spans="1:14" ht="19.5" customHeight="1">
      <c r="A1109" s="20"/>
      <c r="B1109" s="21"/>
      <c r="C1109" s="22"/>
      <c r="D1109" s="189"/>
      <c r="E1109" s="190"/>
      <c r="F1109" s="81"/>
      <c r="G1109" s="22"/>
      <c r="H1109" s="22"/>
      <c r="I1109" s="22"/>
      <c r="N1109" s="124"/>
    </row>
    <row r="1110" spans="1:14" ht="19.5" customHeight="1">
      <c r="A1110" s="20"/>
      <c r="B1110" s="21"/>
      <c r="C1110" s="22"/>
      <c r="D1110" s="189"/>
      <c r="E1110" s="190"/>
      <c r="F1110" s="81"/>
      <c r="G1110" s="22"/>
      <c r="H1110" s="22"/>
      <c r="I1110" s="22"/>
      <c r="N1110" s="124"/>
    </row>
    <row r="1111" spans="1:14" ht="19.5" customHeight="1">
      <c r="A1111" s="20"/>
      <c r="B1111" s="21"/>
      <c r="C1111" s="22"/>
      <c r="D1111" s="189"/>
      <c r="E1111" s="190"/>
      <c r="F1111" s="81"/>
      <c r="G1111" s="22"/>
      <c r="H1111" s="22"/>
      <c r="I1111" s="22"/>
      <c r="N1111" s="124"/>
    </row>
    <row r="1112" spans="1:14" ht="19.5" customHeight="1">
      <c r="A1112" s="20"/>
      <c r="B1112" s="21"/>
      <c r="C1112" s="22"/>
      <c r="D1112" s="189"/>
      <c r="E1112" s="190"/>
      <c r="F1112" s="81"/>
      <c r="G1112" s="22"/>
      <c r="H1112" s="22"/>
      <c r="I1112" s="22"/>
      <c r="N1112" s="124"/>
    </row>
    <row r="1113" spans="1:14" ht="19.5" customHeight="1">
      <c r="A1113" s="20"/>
      <c r="B1113" s="21"/>
      <c r="C1113" s="22"/>
      <c r="D1113" s="189"/>
      <c r="E1113" s="190"/>
      <c r="F1113" s="81"/>
      <c r="G1113" s="22"/>
      <c r="H1113" s="22"/>
      <c r="I1113" s="22"/>
      <c r="N1113" s="124"/>
    </row>
    <row r="1114" spans="1:14" ht="19.5" customHeight="1">
      <c r="A1114" s="20"/>
      <c r="B1114" s="21"/>
      <c r="C1114" s="22"/>
      <c r="D1114" s="189"/>
      <c r="E1114" s="190"/>
      <c r="F1114" s="81"/>
      <c r="G1114" s="22"/>
      <c r="H1114" s="22"/>
      <c r="I1114" s="22"/>
      <c r="N1114" s="124"/>
    </row>
    <row r="1115" spans="1:14" ht="19.5" customHeight="1">
      <c r="A1115" s="20"/>
      <c r="B1115" s="21"/>
      <c r="C1115" s="22"/>
      <c r="D1115" s="189"/>
      <c r="E1115" s="190"/>
      <c r="F1115" s="81"/>
      <c r="G1115" s="22"/>
      <c r="H1115" s="22"/>
      <c r="I1115" s="22"/>
      <c r="N1115" s="124"/>
    </row>
    <row r="1116" spans="1:14" ht="19.5" customHeight="1">
      <c r="A1116" s="20"/>
      <c r="B1116" s="21"/>
      <c r="C1116" s="22"/>
      <c r="D1116" s="189"/>
      <c r="E1116" s="190"/>
      <c r="F1116" s="81"/>
      <c r="G1116" s="22"/>
      <c r="H1116" s="22"/>
      <c r="I1116" s="22"/>
      <c r="N1116" s="124"/>
    </row>
    <row r="1117" spans="1:14" ht="19.5" customHeight="1">
      <c r="A1117" s="20"/>
      <c r="B1117" s="21"/>
      <c r="C1117" s="22"/>
      <c r="D1117" s="189"/>
      <c r="E1117" s="190"/>
      <c r="F1117" s="81"/>
      <c r="G1117" s="22"/>
      <c r="H1117" s="22"/>
      <c r="I1117" s="22"/>
      <c r="N1117" s="124"/>
    </row>
    <row r="1118" spans="1:14" ht="19.5" customHeight="1">
      <c r="A1118" s="20"/>
      <c r="B1118" s="21"/>
      <c r="C1118" s="22"/>
      <c r="D1118" s="189"/>
      <c r="E1118" s="190"/>
      <c r="F1118" s="81"/>
      <c r="G1118" s="22"/>
      <c r="H1118" s="22"/>
      <c r="I1118" s="22"/>
      <c r="N1118" s="124"/>
    </row>
    <row r="1119" spans="1:14" ht="19.5" customHeight="1">
      <c r="A1119" s="20"/>
      <c r="B1119" s="21"/>
      <c r="C1119" s="22"/>
      <c r="D1119" s="189"/>
      <c r="E1119" s="190"/>
      <c r="F1119" s="81"/>
      <c r="G1119" s="22"/>
      <c r="H1119" s="22"/>
      <c r="I1119" s="22"/>
      <c r="N1119" s="124"/>
    </row>
    <row r="1120" spans="1:14" ht="19.5" customHeight="1">
      <c r="A1120" s="20"/>
      <c r="B1120" s="21"/>
      <c r="C1120" s="22"/>
      <c r="D1120" s="189"/>
      <c r="E1120" s="190"/>
      <c r="F1120" s="81"/>
      <c r="G1120" s="22"/>
      <c r="H1120" s="22"/>
      <c r="I1120" s="22"/>
      <c r="N1120" s="124"/>
    </row>
    <row r="1121" spans="1:14" ht="19.5" customHeight="1">
      <c r="A1121" s="20"/>
      <c r="B1121" s="21"/>
      <c r="C1121" s="22"/>
      <c r="D1121" s="189"/>
      <c r="E1121" s="190"/>
      <c r="F1121" s="81"/>
      <c r="G1121" s="22"/>
      <c r="H1121" s="22"/>
      <c r="I1121" s="22"/>
      <c r="N1121" s="124"/>
    </row>
    <row r="1122" spans="1:14" ht="19.5" customHeight="1">
      <c r="A1122" s="20"/>
      <c r="B1122" s="21"/>
      <c r="C1122" s="22"/>
      <c r="D1122" s="189"/>
      <c r="E1122" s="190"/>
      <c r="F1122" s="81"/>
      <c r="G1122" s="22"/>
      <c r="H1122" s="22"/>
      <c r="I1122" s="22"/>
      <c r="N1122" s="124"/>
    </row>
    <row r="1123" spans="1:14" ht="19.5" customHeight="1">
      <c r="A1123" s="20"/>
      <c r="B1123" s="21"/>
      <c r="C1123" s="22"/>
      <c r="D1123" s="189"/>
      <c r="E1123" s="190"/>
      <c r="F1123" s="81"/>
      <c r="G1123" s="22"/>
      <c r="H1123" s="22"/>
      <c r="I1123" s="22"/>
      <c r="N1123" s="124"/>
    </row>
    <row r="1124" spans="1:14" ht="19.5" customHeight="1">
      <c r="A1124" s="20"/>
      <c r="B1124" s="21"/>
      <c r="C1124" s="22"/>
      <c r="D1124" s="189"/>
      <c r="E1124" s="190"/>
      <c r="F1124" s="81"/>
      <c r="G1124" s="22"/>
      <c r="H1124" s="22"/>
      <c r="I1124" s="22"/>
      <c r="N1124" s="124"/>
    </row>
    <row r="1125" spans="1:14" ht="19.5" customHeight="1">
      <c r="A1125" s="20"/>
      <c r="B1125" s="21"/>
      <c r="C1125" s="22"/>
      <c r="D1125" s="189"/>
      <c r="E1125" s="190"/>
      <c r="F1125" s="81"/>
      <c r="G1125" s="22"/>
      <c r="H1125" s="22"/>
      <c r="I1125" s="22"/>
      <c r="N1125" s="124"/>
    </row>
    <row r="1126" spans="1:14" ht="19.5" customHeight="1">
      <c r="A1126" s="20"/>
      <c r="B1126" s="21"/>
      <c r="C1126" s="22"/>
      <c r="D1126" s="189"/>
      <c r="E1126" s="190"/>
      <c r="F1126" s="81"/>
      <c r="G1126" s="22"/>
      <c r="H1126" s="22"/>
      <c r="I1126" s="22"/>
      <c r="N1126" s="124"/>
    </row>
    <row r="1127" spans="1:14" ht="19.5" customHeight="1">
      <c r="A1127" s="20"/>
      <c r="B1127" s="21"/>
      <c r="C1127" s="22"/>
      <c r="D1127" s="189"/>
      <c r="E1127" s="190"/>
      <c r="F1127" s="81"/>
      <c r="G1127" s="22"/>
      <c r="H1127" s="22"/>
      <c r="I1127" s="22"/>
      <c r="N1127" s="124"/>
    </row>
    <row r="1128" spans="1:14" ht="19.5" customHeight="1">
      <c r="A1128" s="20"/>
      <c r="B1128" s="21"/>
      <c r="C1128" s="22"/>
      <c r="D1128" s="189"/>
      <c r="E1128" s="190"/>
      <c r="F1128" s="81"/>
      <c r="G1128" s="22"/>
      <c r="H1128" s="22"/>
      <c r="I1128" s="22"/>
      <c r="N1128" s="124"/>
    </row>
    <row r="1129" spans="1:14" ht="19.5" customHeight="1">
      <c r="A1129" s="20"/>
      <c r="B1129" s="21"/>
      <c r="C1129" s="22"/>
      <c r="D1129" s="189"/>
      <c r="E1129" s="190"/>
      <c r="F1129" s="81"/>
      <c r="G1129" s="22"/>
      <c r="H1129" s="22"/>
      <c r="I1129" s="22"/>
      <c r="N1129" s="124"/>
    </row>
    <row r="1130" spans="1:14" ht="19.5" customHeight="1">
      <c r="A1130" s="20"/>
      <c r="B1130" s="21"/>
      <c r="C1130" s="22"/>
      <c r="D1130" s="189"/>
      <c r="E1130" s="190"/>
      <c r="F1130" s="81"/>
      <c r="G1130" s="22"/>
      <c r="H1130" s="22"/>
      <c r="I1130" s="22"/>
      <c r="N1130" s="124"/>
    </row>
    <row r="1131" spans="1:14" ht="19.5" customHeight="1">
      <c r="A1131" s="20"/>
      <c r="B1131" s="21"/>
      <c r="C1131" s="22"/>
      <c r="D1131" s="189"/>
      <c r="E1131" s="190"/>
      <c r="F1131" s="81"/>
      <c r="G1131" s="22"/>
      <c r="H1131" s="22"/>
      <c r="I1131" s="22"/>
      <c r="N1131" s="124"/>
    </row>
    <row r="1132" spans="1:14" ht="19.5" customHeight="1">
      <c r="A1132" s="20"/>
      <c r="B1132" s="21"/>
      <c r="C1132" s="22"/>
      <c r="D1132" s="189"/>
      <c r="E1132" s="190"/>
      <c r="F1132" s="81"/>
      <c r="G1132" s="22"/>
      <c r="H1132" s="22"/>
      <c r="I1132" s="22"/>
      <c r="N1132" s="124"/>
    </row>
    <row r="1133" spans="1:14" ht="19.5" customHeight="1">
      <c r="A1133" s="20"/>
      <c r="B1133" s="21"/>
      <c r="C1133" s="22"/>
      <c r="D1133" s="189"/>
      <c r="E1133" s="190"/>
      <c r="F1133" s="81"/>
      <c r="G1133" s="22"/>
      <c r="H1133" s="22"/>
      <c r="I1133" s="22"/>
      <c r="N1133" s="124"/>
    </row>
    <row r="1134" spans="1:14" ht="19.5" customHeight="1">
      <c r="A1134" s="20"/>
      <c r="B1134" s="21"/>
      <c r="C1134" s="22"/>
      <c r="D1134" s="189"/>
      <c r="E1134" s="190"/>
      <c r="F1134" s="81"/>
      <c r="G1134" s="22"/>
      <c r="H1134" s="22"/>
      <c r="I1134" s="22"/>
      <c r="N1134" s="124"/>
    </row>
    <row r="1135" spans="1:14" ht="19.5" customHeight="1">
      <c r="A1135" s="20"/>
      <c r="B1135" s="21"/>
      <c r="C1135" s="22"/>
      <c r="D1135" s="189"/>
      <c r="E1135" s="190"/>
      <c r="F1135" s="81"/>
      <c r="G1135" s="22"/>
      <c r="H1135" s="22"/>
      <c r="I1135" s="22"/>
      <c r="N1135" s="124"/>
    </row>
    <row r="1136" spans="1:14" ht="19.5" customHeight="1">
      <c r="A1136" s="20"/>
      <c r="B1136" s="21"/>
      <c r="C1136" s="22"/>
      <c r="D1136" s="189"/>
      <c r="E1136" s="190"/>
      <c r="F1136" s="81"/>
      <c r="G1136" s="22"/>
      <c r="H1136" s="22"/>
      <c r="I1136" s="22"/>
      <c r="N1136" s="124"/>
    </row>
    <row r="1137" spans="1:14" ht="19.5" customHeight="1">
      <c r="A1137" s="20"/>
      <c r="B1137" s="21"/>
      <c r="C1137" s="22"/>
      <c r="D1137" s="189"/>
      <c r="E1137" s="190"/>
      <c r="F1137" s="81"/>
      <c r="G1137" s="22"/>
      <c r="H1137" s="22"/>
      <c r="I1137" s="22"/>
      <c r="N1137" s="124"/>
    </row>
    <row r="1138" spans="1:14" ht="19.5" customHeight="1">
      <c r="A1138" s="20"/>
      <c r="B1138" s="21"/>
      <c r="C1138" s="22"/>
      <c r="D1138" s="189"/>
      <c r="E1138" s="190"/>
      <c r="F1138" s="81"/>
      <c r="G1138" s="22"/>
      <c r="H1138" s="22"/>
      <c r="I1138" s="22"/>
      <c r="N1138" s="124"/>
    </row>
    <row r="1139" spans="1:14" ht="19.5" customHeight="1">
      <c r="A1139" s="20"/>
      <c r="B1139" s="21"/>
      <c r="C1139" s="22"/>
      <c r="D1139" s="189"/>
      <c r="E1139" s="190"/>
      <c r="F1139" s="81"/>
      <c r="G1139" s="22"/>
      <c r="H1139" s="22"/>
      <c r="I1139" s="22"/>
      <c r="N1139" s="124"/>
    </row>
  </sheetData>
  <autoFilter ref="A1:AB125"/>
  <pageMargins left="0.78749999999999998" right="0.78749999999999998" top="1.0249999999999999" bottom="1.0249999999999999" header="0" footer="0"/>
  <pageSetup paperSize="9" scale="0" orientation="portrait"/>
  <headerFooter>
    <oddHeader>&amp;C&amp;A</oddHeader>
    <oddFooter>&amp;CPagina &amp;P</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37"/>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1.20703125" defaultRowHeight="15" customHeight="1"/>
  <cols>
    <col min="1" max="1" width="4.20703125" customWidth="1"/>
    <col min="2" max="2" width="77.875" customWidth="1"/>
    <col min="3" max="3" width="33.4140625" customWidth="1"/>
    <col min="4" max="4" width="8.20703125" customWidth="1"/>
    <col min="5" max="5" width="5" customWidth="1"/>
    <col min="6" max="6" width="17.20703125" customWidth="1"/>
    <col min="7" max="7" width="17.4140625" customWidth="1"/>
    <col min="8" max="8" width="16.20703125" customWidth="1"/>
    <col min="9" max="9" width="15.20703125" customWidth="1"/>
    <col min="10" max="18" width="8.7890625" customWidth="1"/>
    <col min="19" max="19" width="12.125" customWidth="1"/>
    <col min="20" max="30" width="8.7890625" customWidth="1"/>
  </cols>
  <sheetData>
    <row r="1" spans="1:30" ht="19.5" customHeight="1">
      <c r="A1" s="1" t="s">
        <v>1643</v>
      </c>
      <c r="B1" s="109" t="s">
        <v>1</v>
      </c>
      <c r="C1" s="109" t="s">
        <v>2</v>
      </c>
      <c r="D1" s="110" t="s">
        <v>3</v>
      </c>
      <c r="E1" s="111"/>
      <c r="F1" s="112" t="s">
        <v>1405</v>
      </c>
      <c r="G1" s="113" t="s">
        <v>1406</v>
      </c>
      <c r="H1" s="113" t="s">
        <v>1407</v>
      </c>
      <c r="I1" s="113" t="s">
        <v>1408</v>
      </c>
      <c r="J1" s="33" t="s">
        <v>1409</v>
      </c>
      <c r="K1" s="33" t="s">
        <v>1410</v>
      </c>
      <c r="L1" s="33" t="s">
        <v>1411</v>
      </c>
      <c r="M1" s="33" t="s">
        <v>1412</v>
      </c>
      <c r="N1" s="32"/>
      <c r="O1" s="32"/>
      <c r="P1" s="32"/>
      <c r="Q1" s="32"/>
      <c r="R1" s="32"/>
      <c r="S1" s="32"/>
      <c r="T1" s="32"/>
      <c r="U1" s="32"/>
      <c r="V1" s="32"/>
      <c r="W1" s="32"/>
      <c r="X1" s="32"/>
      <c r="Y1" s="32"/>
      <c r="Z1" s="32"/>
      <c r="AA1" s="32"/>
      <c r="AB1" s="32"/>
      <c r="AC1" s="32"/>
      <c r="AD1" s="32"/>
    </row>
    <row r="2" spans="1:30" ht="19.5" customHeight="1">
      <c r="A2" s="4" t="s">
        <v>5</v>
      </c>
      <c r="B2" s="115" t="s">
        <v>6</v>
      </c>
      <c r="C2" s="28" t="s">
        <v>7</v>
      </c>
      <c r="D2" s="116">
        <v>2015</v>
      </c>
      <c r="E2" s="117"/>
      <c r="F2" s="118" t="s">
        <v>1415</v>
      </c>
      <c r="G2" s="119" t="s">
        <v>1416</v>
      </c>
      <c r="H2" s="119" t="s">
        <v>1417</v>
      </c>
      <c r="I2" s="119" t="s">
        <v>1418</v>
      </c>
      <c r="J2" s="120">
        <f t="shared" ref="J2:M2" si="0">IF(ISTEXT(F2), 1, 0)</f>
        <v>1</v>
      </c>
      <c r="K2" s="121">
        <f t="shared" si="0"/>
        <v>1</v>
      </c>
      <c r="L2" s="122">
        <f t="shared" si="0"/>
        <v>1</v>
      </c>
      <c r="M2" s="123">
        <f t="shared" si="0"/>
        <v>1</v>
      </c>
      <c r="N2" s="42">
        <f t="shared" ref="N2:N125" si="1">SUM(J2:M2)</f>
        <v>4</v>
      </c>
    </row>
    <row r="3" spans="1:30" ht="19.5" customHeight="1">
      <c r="A3" s="4" t="s">
        <v>9</v>
      </c>
      <c r="B3" s="125" t="s">
        <v>10</v>
      </c>
      <c r="C3" s="28" t="s">
        <v>11</v>
      </c>
      <c r="D3" s="116">
        <v>2015</v>
      </c>
      <c r="E3" s="117"/>
      <c r="F3" s="118" t="s">
        <v>1420</v>
      </c>
      <c r="G3" s="119" t="s">
        <v>1416</v>
      </c>
      <c r="H3" s="126"/>
      <c r="I3" s="119" t="s">
        <v>1421</v>
      </c>
      <c r="J3" s="120">
        <f t="shared" ref="J3:M3" si="2">IF(ISTEXT(F3), 1, 0)</f>
        <v>1</v>
      </c>
      <c r="K3" s="121">
        <f t="shared" si="2"/>
        <v>1</v>
      </c>
      <c r="L3" s="122">
        <f t="shared" si="2"/>
        <v>0</v>
      </c>
      <c r="M3" s="123">
        <f t="shared" si="2"/>
        <v>1</v>
      </c>
      <c r="N3" s="42">
        <f t="shared" si="1"/>
        <v>3</v>
      </c>
    </row>
    <row r="4" spans="1:30" ht="19.5" customHeight="1">
      <c r="A4" s="4" t="s">
        <v>13</v>
      </c>
      <c r="B4" s="115" t="s">
        <v>14</v>
      </c>
      <c r="C4" s="28" t="s">
        <v>15</v>
      </c>
      <c r="D4" s="116">
        <v>2015</v>
      </c>
      <c r="E4" s="117"/>
      <c r="F4" s="118" t="s">
        <v>1423</v>
      </c>
      <c r="G4" s="119" t="s">
        <v>1424</v>
      </c>
      <c r="H4" s="119" t="s">
        <v>1425</v>
      </c>
      <c r="I4" s="126" t="s">
        <v>1426</v>
      </c>
      <c r="J4" s="120">
        <f t="shared" ref="J4:M4" si="3">IF(ISTEXT(F4), 1, 0)</f>
        <v>1</v>
      </c>
      <c r="K4" s="121">
        <f t="shared" si="3"/>
        <v>1</v>
      </c>
      <c r="L4" s="122">
        <f t="shared" si="3"/>
        <v>1</v>
      </c>
      <c r="M4" s="123">
        <f t="shared" si="3"/>
        <v>1</v>
      </c>
      <c r="N4" s="42">
        <f t="shared" si="1"/>
        <v>4</v>
      </c>
    </row>
    <row r="5" spans="1:30" ht="19.5" customHeight="1">
      <c r="A5" s="4" t="s">
        <v>17</v>
      </c>
      <c r="B5" s="125" t="s">
        <v>18</v>
      </c>
      <c r="C5" s="28" t="s">
        <v>19</v>
      </c>
      <c r="D5" s="116">
        <v>2015</v>
      </c>
      <c r="E5" s="117"/>
      <c r="F5" s="118" t="s">
        <v>1428</v>
      </c>
      <c r="G5" s="119" t="s">
        <v>1416</v>
      </c>
      <c r="H5" s="126"/>
      <c r="I5" s="126"/>
      <c r="J5" s="120">
        <f t="shared" ref="J5:M5" si="4">IF(ISTEXT(F5), 1, 0)</f>
        <v>1</v>
      </c>
      <c r="K5" s="121">
        <f t="shared" si="4"/>
        <v>1</v>
      </c>
      <c r="L5" s="122">
        <f t="shared" si="4"/>
        <v>0</v>
      </c>
      <c r="M5" s="123">
        <f t="shared" si="4"/>
        <v>0</v>
      </c>
      <c r="N5" s="42">
        <f t="shared" si="1"/>
        <v>2</v>
      </c>
    </row>
    <row r="6" spans="1:30" ht="19.5" customHeight="1">
      <c r="A6" s="4" t="s">
        <v>21</v>
      </c>
      <c r="B6" s="115" t="s">
        <v>22</v>
      </c>
      <c r="C6" s="28" t="s">
        <v>23</v>
      </c>
      <c r="D6" s="116">
        <v>2015</v>
      </c>
      <c r="E6" s="127"/>
      <c r="F6" s="128"/>
      <c r="G6" s="119" t="s">
        <v>1424</v>
      </c>
      <c r="H6" s="119" t="s">
        <v>1417</v>
      </c>
      <c r="I6" s="119" t="s">
        <v>1430</v>
      </c>
      <c r="J6" s="120">
        <f t="shared" ref="J6:M6" si="5">IF(ISTEXT(F6), 1, 0)</f>
        <v>0</v>
      </c>
      <c r="K6" s="121">
        <f t="shared" si="5"/>
        <v>1</v>
      </c>
      <c r="L6" s="122">
        <f t="shared" si="5"/>
        <v>1</v>
      </c>
      <c r="M6" s="123">
        <f t="shared" si="5"/>
        <v>1</v>
      </c>
      <c r="N6" s="42">
        <f t="shared" si="1"/>
        <v>3</v>
      </c>
    </row>
    <row r="7" spans="1:30" ht="19.5" customHeight="1">
      <c r="A7" s="4" t="s">
        <v>25</v>
      </c>
      <c r="B7" s="125" t="s">
        <v>26</v>
      </c>
      <c r="C7" s="28" t="s">
        <v>27</v>
      </c>
      <c r="D7" s="116">
        <v>2015</v>
      </c>
      <c r="E7" s="117"/>
      <c r="F7" s="118" t="s">
        <v>1423</v>
      </c>
      <c r="G7" s="119" t="s">
        <v>1424</v>
      </c>
      <c r="H7" s="129"/>
      <c r="I7" s="126" t="s">
        <v>1432</v>
      </c>
      <c r="J7" s="120">
        <f t="shared" ref="J7:M7" si="6">IF(ISTEXT(F7), 1, 0)</f>
        <v>1</v>
      </c>
      <c r="K7" s="121">
        <f t="shared" si="6"/>
        <v>1</v>
      </c>
      <c r="L7" s="122">
        <f t="shared" si="6"/>
        <v>0</v>
      </c>
      <c r="M7" s="123">
        <f t="shared" si="6"/>
        <v>1</v>
      </c>
      <c r="N7" s="42">
        <f t="shared" si="1"/>
        <v>3</v>
      </c>
    </row>
    <row r="8" spans="1:30" ht="19.5" customHeight="1">
      <c r="A8" s="4" t="s">
        <v>29</v>
      </c>
      <c r="B8" s="115" t="s">
        <v>30</v>
      </c>
      <c r="C8" s="28" t="s">
        <v>31</v>
      </c>
      <c r="D8" s="116">
        <v>2015</v>
      </c>
      <c r="E8" s="117"/>
      <c r="F8" s="118" t="s">
        <v>1423</v>
      </c>
      <c r="G8" s="119" t="s">
        <v>1424</v>
      </c>
      <c r="H8" s="126" t="s">
        <v>1434</v>
      </c>
      <c r="I8" s="126"/>
      <c r="J8" s="120">
        <f t="shared" ref="J8:M8" si="7">IF(ISTEXT(F8), 1, 0)</f>
        <v>1</v>
      </c>
      <c r="K8" s="121">
        <f t="shared" si="7"/>
        <v>1</v>
      </c>
      <c r="L8" s="122">
        <f t="shared" si="7"/>
        <v>1</v>
      </c>
      <c r="M8" s="123">
        <f t="shared" si="7"/>
        <v>0</v>
      </c>
      <c r="N8" s="42">
        <f t="shared" si="1"/>
        <v>3</v>
      </c>
    </row>
    <row r="9" spans="1:30" ht="19.5" customHeight="1">
      <c r="A9" s="4" t="s">
        <v>32</v>
      </c>
      <c r="B9" s="125" t="s">
        <v>33</v>
      </c>
      <c r="C9" s="28" t="s">
        <v>34</v>
      </c>
      <c r="D9" s="116">
        <v>2015</v>
      </c>
      <c r="E9" s="117"/>
      <c r="F9" s="118" t="s">
        <v>1436</v>
      </c>
      <c r="G9" s="126"/>
      <c r="H9" s="126"/>
      <c r="I9" s="119" t="s">
        <v>1437</v>
      </c>
      <c r="J9" s="120">
        <f t="shared" ref="J9:M9" si="8">IF(ISTEXT(F9), 1, 0)</f>
        <v>1</v>
      </c>
      <c r="K9" s="121">
        <f t="shared" si="8"/>
        <v>0</v>
      </c>
      <c r="L9" s="122">
        <f t="shared" si="8"/>
        <v>0</v>
      </c>
      <c r="M9" s="123">
        <f t="shared" si="8"/>
        <v>1</v>
      </c>
      <c r="N9" s="42">
        <f t="shared" si="1"/>
        <v>2</v>
      </c>
    </row>
    <row r="10" spans="1:30" ht="19.5" customHeight="1">
      <c r="A10" s="4" t="s">
        <v>36</v>
      </c>
      <c r="B10" s="115" t="s">
        <v>37</v>
      </c>
      <c r="C10" s="28" t="s">
        <v>38</v>
      </c>
      <c r="D10" s="116">
        <v>2015</v>
      </c>
      <c r="E10" s="117"/>
      <c r="F10" s="118" t="s">
        <v>1423</v>
      </c>
      <c r="G10" s="119" t="s">
        <v>1424</v>
      </c>
      <c r="H10" s="126"/>
      <c r="I10" s="126" t="s">
        <v>1439</v>
      </c>
      <c r="J10" s="120">
        <f t="shared" ref="J10:M10" si="9">IF(ISTEXT(F10), 1, 0)</f>
        <v>1</v>
      </c>
      <c r="K10" s="121">
        <f t="shared" si="9"/>
        <v>1</v>
      </c>
      <c r="L10" s="122">
        <f t="shared" si="9"/>
        <v>0</v>
      </c>
      <c r="M10" s="123">
        <f t="shared" si="9"/>
        <v>1</v>
      </c>
      <c r="N10" s="42">
        <f t="shared" si="1"/>
        <v>3</v>
      </c>
    </row>
    <row r="11" spans="1:30" ht="19.5" customHeight="1">
      <c r="A11" s="4" t="s">
        <v>40</v>
      </c>
      <c r="B11" s="125" t="s">
        <v>41</v>
      </c>
      <c r="C11" s="28" t="s">
        <v>42</v>
      </c>
      <c r="D11" s="116">
        <v>2015</v>
      </c>
      <c r="E11" s="130"/>
      <c r="F11" s="128" t="s">
        <v>1440</v>
      </c>
      <c r="G11" s="119" t="s">
        <v>1441</v>
      </c>
      <c r="H11" s="126"/>
      <c r="I11" s="119" t="s">
        <v>1442</v>
      </c>
      <c r="J11" s="120">
        <f t="shared" ref="J11:M11" si="10">IF(ISTEXT(F11), 1, 0)</f>
        <v>1</v>
      </c>
      <c r="K11" s="121">
        <f t="shared" si="10"/>
        <v>1</v>
      </c>
      <c r="L11" s="122">
        <f t="shared" si="10"/>
        <v>0</v>
      </c>
      <c r="M11" s="123">
        <f t="shared" si="10"/>
        <v>1</v>
      </c>
      <c r="N11" s="42">
        <f t="shared" si="1"/>
        <v>3</v>
      </c>
    </row>
    <row r="12" spans="1:30" ht="19.5" customHeight="1">
      <c r="A12" s="131" t="s">
        <v>44</v>
      </c>
      <c r="B12" s="132" t="s">
        <v>45</v>
      </c>
      <c r="C12" s="133" t="s">
        <v>46</v>
      </c>
      <c r="D12" s="134">
        <v>2015</v>
      </c>
      <c r="E12" s="135"/>
      <c r="F12" s="136" t="s">
        <v>1444</v>
      </c>
      <c r="G12" s="137"/>
      <c r="H12" s="137"/>
      <c r="I12" s="137"/>
      <c r="J12" s="138">
        <f t="shared" ref="J12:M12" si="11">IF(ISTEXT(F12), 1, 0)</f>
        <v>1</v>
      </c>
      <c r="K12" s="139">
        <f t="shared" si="11"/>
        <v>0</v>
      </c>
      <c r="L12" s="140">
        <f t="shared" si="11"/>
        <v>0</v>
      </c>
      <c r="M12" s="141">
        <f t="shared" si="11"/>
        <v>0</v>
      </c>
      <c r="N12" s="42">
        <f t="shared" si="1"/>
        <v>1</v>
      </c>
    </row>
    <row r="13" spans="1:30" ht="19.5" customHeight="1">
      <c r="A13" s="4" t="s">
        <v>48</v>
      </c>
      <c r="B13" s="142" t="s">
        <v>49</v>
      </c>
      <c r="C13" s="142" t="s">
        <v>50</v>
      </c>
      <c r="D13" s="143">
        <v>2016</v>
      </c>
      <c r="E13" s="127"/>
      <c r="F13" s="144"/>
      <c r="G13" s="145" t="s">
        <v>1434</v>
      </c>
      <c r="H13" s="145" t="s">
        <v>1417</v>
      </c>
      <c r="I13" s="146"/>
      <c r="J13" s="147">
        <f t="shared" ref="J13:M13" si="12">IF(ISTEXT(F13), 1, 0)</f>
        <v>0</v>
      </c>
      <c r="K13" s="148">
        <f t="shared" si="12"/>
        <v>1</v>
      </c>
      <c r="L13" s="149">
        <f t="shared" si="12"/>
        <v>1</v>
      </c>
      <c r="M13" s="150">
        <f t="shared" si="12"/>
        <v>0</v>
      </c>
      <c r="N13" s="42">
        <f t="shared" si="1"/>
        <v>2</v>
      </c>
    </row>
    <row r="14" spans="1:30" ht="19.5" customHeight="1">
      <c r="A14" s="4" t="s">
        <v>52</v>
      </c>
      <c r="B14" s="142" t="s">
        <v>53</v>
      </c>
      <c r="C14" s="142" t="s">
        <v>54</v>
      </c>
      <c r="D14" s="143">
        <v>2016</v>
      </c>
      <c r="E14" s="127"/>
      <c r="F14" s="128"/>
      <c r="G14" s="119" t="s">
        <v>1447</v>
      </c>
      <c r="H14" s="126" t="s">
        <v>1644</v>
      </c>
      <c r="I14" s="126"/>
      <c r="J14" s="120">
        <f t="shared" ref="J14:M14" si="13">IF(ISTEXT(F14), 1, 0)</f>
        <v>0</v>
      </c>
      <c r="K14" s="121">
        <f t="shared" si="13"/>
        <v>1</v>
      </c>
      <c r="L14" s="122">
        <f t="shared" si="13"/>
        <v>1</v>
      </c>
      <c r="M14" s="123">
        <f t="shared" si="13"/>
        <v>0</v>
      </c>
      <c r="N14" s="42">
        <f t="shared" si="1"/>
        <v>2</v>
      </c>
    </row>
    <row r="15" spans="1:30" ht="19.5" customHeight="1">
      <c r="A15" s="4" t="s">
        <v>56</v>
      </c>
      <c r="B15" s="142" t="s">
        <v>57</v>
      </c>
      <c r="C15" s="142" t="s">
        <v>58</v>
      </c>
      <c r="D15" s="143">
        <v>2016</v>
      </c>
      <c r="E15" s="117"/>
      <c r="F15" s="118" t="s">
        <v>1449</v>
      </c>
      <c r="G15" s="119" t="s">
        <v>1424</v>
      </c>
      <c r="H15" s="119" t="s">
        <v>1417</v>
      </c>
      <c r="I15" s="119" t="s">
        <v>1450</v>
      </c>
      <c r="J15" s="120">
        <f t="shared" ref="J15:M15" si="14">IF(ISTEXT(F15), 1, 0)</f>
        <v>1</v>
      </c>
      <c r="K15" s="121">
        <f t="shared" si="14"/>
        <v>1</v>
      </c>
      <c r="L15" s="122">
        <f t="shared" si="14"/>
        <v>1</v>
      </c>
      <c r="M15" s="123">
        <f t="shared" si="14"/>
        <v>1</v>
      </c>
      <c r="N15" s="42">
        <f t="shared" si="1"/>
        <v>4</v>
      </c>
    </row>
    <row r="16" spans="1:30" ht="19.5" customHeight="1">
      <c r="A16" s="4" t="s">
        <v>60</v>
      </c>
      <c r="B16" s="142" t="s">
        <v>61</v>
      </c>
      <c r="C16" s="142" t="s">
        <v>62</v>
      </c>
      <c r="D16" s="143">
        <v>2016</v>
      </c>
      <c r="E16" s="117"/>
      <c r="F16" s="118" t="s">
        <v>1428</v>
      </c>
      <c r="G16" s="119" t="s">
        <v>1452</v>
      </c>
      <c r="H16" s="126"/>
      <c r="I16" s="126" t="s">
        <v>1432</v>
      </c>
      <c r="J16" s="120">
        <f t="shared" ref="J16:M16" si="15">IF(ISTEXT(F16), 1, 0)</f>
        <v>1</v>
      </c>
      <c r="K16" s="121">
        <f t="shared" si="15"/>
        <v>1</v>
      </c>
      <c r="L16" s="122">
        <f t="shared" si="15"/>
        <v>0</v>
      </c>
      <c r="M16" s="123">
        <f t="shared" si="15"/>
        <v>1</v>
      </c>
      <c r="N16" s="42">
        <f t="shared" si="1"/>
        <v>3</v>
      </c>
    </row>
    <row r="17" spans="1:14" ht="19.5" customHeight="1">
      <c r="A17" s="4" t="s">
        <v>64</v>
      </c>
      <c r="B17" s="142" t="s">
        <v>65</v>
      </c>
      <c r="C17" s="142" t="s">
        <v>66</v>
      </c>
      <c r="D17" s="143">
        <v>2016</v>
      </c>
      <c r="E17" s="127"/>
      <c r="F17" s="128"/>
      <c r="G17" s="119" t="s">
        <v>1453</v>
      </c>
      <c r="H17" s="126"/>
      <c r="I17" s="126"/>
      <c r="J17" s="120">
        <f t="shared" ref="J17:M17" si="16">IF(ISTEXT(F17), 1, 0)</f>
        <v>0</v>
      </c>
      <c r="K17" s="121">
        <f t="shared" si="16"/>
        <v>1</v>
      </c>
      <c r="L17" s="122">
        <f t="shared" si="16"/>
        <v>0</v>
      </c>
      <c r="M17" s="123">
        <f t="shared" si="16"/>
        <v>0</v>
      </c>
      <c r="N17" s="42">
        <f t="shared" si="1"/>
        <v>1</v>
      </c>
    </row>
    <row r="18" spans="1:14" ht="19.5" customHeight="1">
      <c r="A18" s="4" t="s">
        <v>68</v>
      </c>
      <c r="B18" s="142" t="s">
        <v>69</v>
      </c>
      <c r="C18" s="142" t="s">
        <v>70</v>
      </c>
      <c r="D18" s="143">
        <v>2016</v>
      </c>
      <c r="E18" s="117"/>
      <c r="F18" s="118" t="s">
        <v>1423</v>
      </c>
      <c r="G18" s="119" t="s">
        <v>1455</v>
      </c>
      <c r="H18" s="126"/>
      <c r="I18" s="119" t="s">
        <v>1456</v>
      </c>
      <c r="J18" s="120">
        <f t="shared" ref="J18:M18" si="17">IF(ISTEXT(F18), 1, 0)</f>
        <v>1</v>
      </c>
      <c r="K18" s="121">
        <f t="shared" si="17"/>
        <v>1</v>
      </c>
      <c r="L18" s="122">
        <f t="shared" si="17"/>
        <v>0</v>
      </c>
      <c r="M18" s="123">
        <f t="shared" si="17"/>
        <v>1</v>
      </c>
      <c r="N18" s="42">
        <f t="shared" si="1"/>
        <v>3</v>
      </c>
    </row>
    <row r="19" spans="1:14" ht="19.5" customHeight="1">
      <c r="A19" s="131" t="s">
        <v>72</v>
      </c>
      <c r="B19" s="151" t="s">
        <v>73</v>
      </c>
      <c r="C19" s="151" t="s">
        <v>74</v>
      </c>
      <c r="D19" s="152">
        <v>2016</v>
      </c>
      <c r="E19" s="135"/>
      <c r="F19" s="136" t="s">
        <v>1458</v>
      </c>
      <c r="G19" s="153" t="s">
        <v>1459</v>
      </c>
      <c r="H19" s="153" t="s">
        <v>1460</v>
      </c>
      <c r="I19" s="137"/>
      <c r="J19" s="138">
        <f t="shared" ref="J19:M19" si="18">IF(ISTEXT(F19), 1, 0)</f>
        <v>1</v>
      </c>
      <c r="K19" s="139">
        <f t="shared" si="18"/>
        <v>1</v>
      </c>
      <c r="L19" s="140">
        <f t="shared" si="18"/>
        <v>1</v>
      </c>
      <c r="M19" s="141">
        <f t="shared" si="18"/>
        <v>0</v>
      </c>
      <c r="N19" s="42">
        <f t="shared" si="1"/>
        <v>3</v>
      </c>
    </row>
    <row r="20" spans="1:14" ht="19.5" customHeight="1">
      <c r="A20" s="4" t="s">
        <v>76</v>
      </c>
      <c r="B20" s="115" t="s">
        <v>77</v>
      </c>
      <c r="C20" s="28" t="s">
        <v>78</v>
      </c>
      <c r="D20" s="116">
        <v>2017</v>
      </c>
      <c r="E20" s="117"/>
      <c r="F20" s="154" t="s">
        <v>1462</v>
      </c>
      <c r="G20" s="145" t="s">
        <v>1416</v>
      </c>
      <c r="H20" s="145" t="s">
        <v>1417</v>
      </c>
      <c r="I20" s="145" t="s">
        <v>1450</v>
      </c>
      <c r="J20" s="147">
        <f t="shared" ref="J20:M20" si="19">IF(ISTEXT(F20), 1, 0)</f>
        <v>1</v>
      </c>
      <c r="K20" s="148">
        <f t="shared" si="19"/>
        <v>1</v>
      </c>
      <c r="L20" s="149">
        <f t="shared" si="19"/>
        <v>1</v>
      </c>
      <c r="M20" s="150">
        <f t="shared" si="19"/>
        <v>1</v>
      </c>
      <c r="N20" s="42">
        <f t="shared" si="1"/>
        <v>4</v>
      </c>
    </row>
    <row r="21" spans="1:14" ht="19.5" customHeight="1">
      <c r="A21" s="4" t="s">
        <v>80</v>
      </c>
      <c r="B21" s="125" t="s">
        <v>81</v>
      </c>
      <c r="C21" s="28" t="s">
        <v>82</v>
      </c>
      <c r="D21" s="116">
        <v>2017</v>
      </c>
      <c r="E21" s="117"/>
      <c r="F21" s="118" t="s">
        <v>1645</v>
      </c>
      <c r="G21" s="128"/>
      <c r="H21" s="126"/>
      <c r="I21" s="119" t="s">
        <v>1450</v>
      </c>
      <c r="J21" s="120">
        <f t="shared" ref="J21:M21" si="20">IF(ISTEXT(F21), 1, 0)</f>
        <v>1</v>
      </c>
      <c r="K21" s="121">
        <f t="shared" si="20"/>
        <v>0</v>
      </c>
      <c r="L21" s="122">
        <f t="shared" si="20"/>
        <v>0</v>
      </c>
      <c r="M21" s="123">
        <f t="shared" si="20"/>
        <v>1</v>
      </c>
      <c r="N21" s="42">
        <f t="shared" si="1"/>
        <v>2</v>
      </c>
    </row>
    <row r="22" spans="1:14" ht="19.5" customHeight="1">
      <c r="A22" s="4" t="s">
        <v>84</v>
      </c>
      <c r="B22" s="115" t="s">
        <v>85</v>
      </c>
      <c r="C22" s="28" t="s">
        <v>86</v>
      </c>
      <c r="D22" s="116">
        <v>2017</v>
      </c>
      <c r="E22" s="155"/>
      <c r="F22" s="196" t="s">
        <v>1465</v>
      </c>
      <c r="G22" s="128"/>
      <c r="H22" s="126"/>
      <c r="I22" s="119" t="s">
        <v>1450</v>
      </c>
      <c r="J22" s="120">
        <f t="shared" ref="J22:M22" si="21">IF(ISTEXT(F22), 1, 0)</f>
        <v>1</v>
      </c>
      <c r="K22" s="121">
        <f t="shared" si="21"/>
        <v>0</v>
      </c>
      <c r="L22" s="122">
        <f t="shared" si="21"/>
        <v>0</v>
      </c>
      <c r="M22" s="123">
        <f t="shared" si="21"/>
        <v>1</v>
      </c>
      <c r="N22" s="42">
        <f t="shared" si="1"/>
        <v>2</v>
      </c>
    </row>
    <row r="23" spans="1:14" ht="19.5" customHeight="1">
      <c r="A23" s="4" t="s">
        <v>88</v>
      </c>
      <c r="B23" s="125" t="s">
        <v>89</v>
      </c>
      <c r="C23" s="28" t="s">
        <v>90</v>
      </c>
      <c r="D23" s="116">
        <v>2017</v>
      </c>
      <c r="E23" s="117"/>
      <c r="F23" s="118" t="s">
        <v>1466</v>
      </c>
      <c r="G23" s="128"/>
      <c r="H23" s="126"/>
      <c r="I23" s="119" t="s">
        <v>1450</v>
      </c>
      <c r="J23" s="120">
        <f t="shared" ref="J23:M23" si="22">IF(ISTEXT(F23), 1, 0)</f>
        <v>1</v>
      </c>
      <c r="K23" s="121">
        <f t="shared" si="22"/>
        <v>0</v>
      </c>
      <c r="L23" s="122">
        <f t="shared" si="22"/>
        <v>0</v>
      </c>
      <c r="M23" s="123">
        <f t="shared" si="22"/>
        <v>1</v>
      </c>
      <c r="N23" s="42">
        <f t="shared" si="1"/>
        <v>2</v>
      </c>
    </row>
    <row r="24" spans="1:14" ht="19.5" customHeight="1">
      <c r="A24" s="4" t="s">
        <v>92</v>
      </c>
      <c r="B24" s="115" t="s">
        <v>93</v>
      </c>
      <c r="C24" s="28" t="s">
        <v>94</v>
      </c>
      <c r="D24" s="116">
        <v>2017</v>
      </c>
      <c r="E24" s="117"/>
      <c r="F24" s="118" t="s">
        <v>1468</v>
      </c>
      <c r="G24" s="119" t="s">
        <v>1416</v>
      </c>
      <c r="H24" s="126"/>
      <c r="I24" s="126"/>
      <c r="J24" s="120">
        <f t="shared" ref="J24:M24" si="23">IF(ISTEXT(F24), 1, 0)</f>
        <v>1</v>
      </c>
      <c r="K24" s="121">
        <f t="shared" si="23"/>
        <v>1</v>
      </c>
      <c r="L24" s="122">
        <f t="shared" si="23"/>
        <v>0</v>
      </c>
      <c r="M24" s="123">
        <f t="shared" si="23"/>
        <v>0</v>
      </c>
      <c r="N24" s="42">
        <f t="shared" si="1"/>
        <v>2</v>
      </c>
    </row>
    <row r="25" spans="1:14" ht="19.5" customHeight="1">
      <c r="A25" s="4" t="s">
        <v>96</v>
      </c>
      <c r="B25" s="125" t="s">
        <v>97</v>
      </c>
      <c r="C25" s="28" t="s">
        <v>98</v>
      </c>
      <c r="D25" s="116">
        <v>2017</v>
      </c>
      <c r="E25" s="117"/>
      <c r="F25" s="118" t="s">
        <v>1466</v>
      </c>
      <c r="G25" s="119" t="s">
        <v>1416</v>
      </c>
      <c r="H25" s="126"/>
      <c r="I25" s="119" t="s">
        <v>1450</v>
      </c>
      <c r="J25" s="120">
        <f t="shared" ref="J25:M25" si="24">IF(ISTEXT(F25), 1, 0)</f>
        <v>1</v>
      </c>
      <c r="K25" s="121">
        <f t="shared" si="24"/>
        <v>1</v>
      </c>
      <c r="L25" s="122">
        <f t="shared" si="24"/>
        <v>0</v>
      </c>
      <c r="M25" s="123">
        <f t="shared" si="24"/>
        <v>1</v>
      </c>
      <c r="N25" s="42">
        <f t="shared" si="1"/>
        <v>3</v>
      </c>
    </row>
    <row r="26" spans="1:14" ht="19.5" customHeight="1">
      <c r="A26" s="4" t="s">
        <v>100</v>
      </c>
      <c r="B26" s="115" t="s">
        <v>101</v>
      </c>
      <c r="C26" s="28" t="s">
        <v>102</v>
      </c>
      <c r="D26" s="116">
        <v>2017</v>
      </c>
      <c r="E26" s="117"/>
      <c r="F26" s="118" t="s">
        <v>1466</v>
      </c>
      <c r="G26" s="113"/>
      <c r="H26" s="126"/>
      <c r="I26" s="119" t="s">
        <v>1471</v>
      </c>
      <c r="J26" s="120">
        <f t="shared" ref="J26:M26" si="25">IF(ISTEXT(F26), 1, 0)</f>
        <v>1</v>
      </c>
      <c r="K26" s="121">
        <f t="shared" si="25"/>
        <v>0</v>
      </c>
      <c r="L26" s="122">
        <f t="shared" si="25"/>
        <v>0</v>
      </c>
      <c r="M26" s="123">
        <f t="shared" si="25"/>
        <v>1</v>
      </c>
      <c r="N26" s="42">
        <f t="shared" si="1"/>
        <v>2</v>
      </c>
    </row>
    <row r="27" spans="1:14" ht="19.5" customHeight="1">
      <c r="A27" s="4" t="s">
        <v>104</v>
      </c>
      <c r="B27" s="125" t="s">
        <v>105</v>
      </c>
      <c r="C27" s="28" t="s">
        <v>106</v>
      </c>
      <c r="D27" s="116">
        <v>2017</v>
      </c>
      <c r="E27" s="117"/>
      <c r="F27" s="118" t="s">
        <v>1466</v>
      </c>
      <c r="G27" s="126"/>
      <c r="H27" s="126"/>
      <c r="I27" s="126"/>
      <c r="J27" s="120">
        <f t="shared" ref="J27:M27" si="26">IF(ISTEXT(F27), 1, 0)</f>
        <v>1</v>
      </c>
      <c r="K27" s="121">
        <f t="shared" si="26"/>
        <v>0</v>
      </c>
      <c r="L27" s="122">
        <f t="shared" si="26"/>
        <v>0</v>
      </c>
      <c r="M27" s="123">
        <f t="shared" si="26"/>
        <v>0</v>
      </c>
      <c r="N27" s="42">
        <f t="shared" si="1"/>
        <v>1</v>
      </c>
    </row>
    <row r="28" spans="1:14" ht="19.5" customHeight="1">
      <c r="A28" s="131" t="s">
        <v>108</v>
      </c>
      <c r="B28" s="132" t="s">
        <v>109</v>
      </c>
      <c r="C28" s="133" t="s">
        <v>110</v>
      </c>
      <c r="D28" s="134">
        <v>2017</v>
      </c>
      <c r="E28" s="157"/>
      <c r="F28" s="158"/>
      <c r="G28" s="153" t="s">
        <v>1416</v>
      </c>
      <c r="H28" s="153" t="s">
        <v>1417</v>
      </c>
      <c r="I28" s="137" t="s">
        <v>1474</v>
      </c>
      <c r="J28" s="138">
        <f t="shared" ref="J28:M28" si="27">IF(ISTEXT(F28), 1, 0)</f>
        <v>0</v>
      </c>
      <c r="K28" s="139">
        <f t="shared" si="27"/>
        <v>1</v>
      </c>
      <c r="L28" s="140">
        <f t="shared" si="27"/>
        <v>1</v>
      </c>
      <c r="M28" s="141">
        <f t="shared" si="27"/>
        <v>1</v>
      </c>
      <c r="N28" s="42">
        <f t="shared" si="1"/>
        <v>3</v>
      </c>
    </row>
    <row r="29" spans="1:14" ht="19.5" customHeight="1">
      <c r="A29" s="4" t="s">
        <v>112</v>
      </c>
      <c r="B29" s="142" t="s">
        <v>113</v>
      </c>
      <c r="C29" s="142" t="s">
        <v>114</v>
      </c>
      <c r="D29" s="143">
        <v>2018</v>
      </c>
      <c r="E29" s="117"/>
      <c r="F29" s="154" t="s">
        <v>1476</v>
      </c>
      <c r="G29" s="145" t="s">
        <v>1416</v>
      </c>
      <c r="H29" s="145"/>
      <c r="I29" s="145" t="s">
        <v>1477</v>
      </c>
      <c r="J29" s="147">
        <f t="shared" ref="J29:M29" si="28">IF(ISTEXT(F29), 1, 0)</f>
        <v>1</v>
      </c>
      <c r="K29" s="148">
        <f t="shared" si="28"/>
        <v>1</v>
      </c>
      <c r="L29" s="149">
        <f t="shared" si="28"/>
        <v>0</v>
      </c>
      <c r="M29" s="150">
        <f t="shared" si="28"/>
        <v>1</v>
      </c>
      <c r="N29" s="42">
        <f t="shared" si="1"/>
        <v>3</v>
      </c>
    </row>
    <row r="30" spans="1:14" ht="19.5" customHeight="1">
      <c r="A30" s="4" t="s">
        <v>116</v>
      </c>
      <c r="B30" s="142" t="s">
        <v>117</v>
      </c>
      <c r="C30" s="142" t="s">
        <v>27</v>
      </c>
      <c r="D30" s="143">
        <v>2018</v>
      </c>
      <c r="E30" s="117"/>
      <c r="F30" s="118" t="s">
        <v>1466</v>
      </c>
      <c r="G30" s="126"/>
      <c r="H30" s="126"/>
      <c r="I30" s="119" t="s">
        <v>1450</v>
      </c>
      <c r="J30" s="120">
        <f t="shared" ref="J30:M30" si="29">IF(ISTEXT(F30), 1, 0)</f>
        <v>1</v>
      </c>
      <c r="K30" s="121">
        <f t="shared" si="29"/>
        <v>0</v>
      </c>
      <c r="L30" s="122">
        <f t="shared" si="29"/>
        <v>0</v>
      </c>
      <c r="M30" s="123">
        <f t="shared" si="29"/>
        <v>1</v>
      </c>
      <c r="N30" s="42">
        <f t="shared" si="1"/>
        <v>2</v>
      </c>
    </row>
    <row r="31" spans="1:14" ht="19.5" customHeight="1">
      <c r="A31" s="4" t="s">
        <v>119</v>
      </c>
      <c r="B31" s="142" t="s">
        <v>120</v>
      </c>
      <c r="C31" s="142" t="s">
        <v>121</v>
      </c>
      <c r="D31" s="143">
        <v>2018</v>
      </c>
      <c r="E31" s="117"/>
      <c r="F31" s="118" t="s">
        <v>1480</v>
      </c>
      <c r="G31" s="126"/>
      <c r="H31" s="126"/>
      <c r="I31" s="119" t="s">
        <v>1477</v>
      </c>
      <c r="J31" s="120">
        <f t="shared" ref="J31:M31" si="30">IF(ISTEXT(F31), 1, 0)</f>
        <v>1</v>
      </c>
      <c r="K31" s="121">
        <f t="shared" si="30"/>
        <v>0</v>
      </c>
      <c r="L31" s="122">
        <f t="shared" si="30"/>
        <v>0</v>
      </c>
      <c r="M31" s="123">
        <f t="shared" si="30"/>
        <v>1</v>
      </c>
      <c r="N31" s="42">
        <f t="shared" si="1"/>
        <v>2</v>
      </c>
    </row>
    <row r="32" spans="1:14" ht="19.5" customHeight="1">
      <c r="A32" s="4" t="s">
        <v>123</v>
      </c>
      <c r="B32" s="142" t="s">
        <v>124</v>
      </c>
      <c r="C32" s="142" t="s">
        <v>125</v>
      </c>
      <c r="D32" s="143">
        <v>2018</v>
      </c>
      <c r="E32" s="117"/>
      <c r="F32" s="118" t="s">
        <v>1482</v>
      </c>
      <c r="G32" s="119" t="s">
        <v>1434</v>
      </c>
      <c r="H32" s="126"/>
      <c r="I32" s="126" t="s">
        <v>1432</v>
      </c>
      <c r="J32" s="120">
        <f t="shared" ref="J32:M32" si="31">IF(ISTEXT(F32), 1, 0)</f>
        <v>1</v>
      </c>
      <c r="K32" s="121">
        <f t="shared" si="31"/>
        <v>1</v>
      </c>
      <c r="L32" s="122">
        <f t="shared" si="31"/>
        <v>0</v>
      </c>
      <c r="M32" s="123">
        <f t="shared" si="31"/>
        <v>1</v>
      </c>
      <c r="N32" s="42">
        <f t="shared" si="1"/>
        <v>3</v>
      </c>
    </row>
    <row r="33" spans="1:26" ht="19.5" customHeight="1">
      <c r="A33" s="4" t="s">
        <v>127</v>
      </c>
      <c r="B33" s="142" t="s">
        <v>128</v>
      </c>
      <c r="C33" s="142" t="s">
        <v>129</v>
      </c>
      <c r="D33" s="143">
        <v>2018</v>
      </c>
      <c r="E33" s="117"/>
      <c r="F33" s="118" t="s">
        <v>1483</v>
      </c>
      <c r="G33" s="119" t="s">
        <v>1484</v>
      </c>
      <c r="H33" s="126"/>
      <c r="I33" s="119" t="s">
        <v>1477</v>
      </c>
      <c r="J33" s="120">
        <f t="shared" ref="J33:M33" si="32">IF(ISTEXT(F33), 1, 0)</f>
        <v>1</v>
      </c>
      <c r="K33" s="121">
        <f t="shared" si="32"/>
        <v>1</v>
      </c>
      <c r="L33" s="122">
        <f t="shared" si="32"/>
        <v>0</v>
      </c>
      <c r="M33" s="123">
        <f t="shared" si="32"/>
        <v>1</v>
      </c>
      <c r="N33" s="42">
        <f t="shared" si="1"/>
        <v>3</v>
      </c>
    </row>
    <row r="34" spans="1:26" ht="19.5" customHeight="1">
      <c r="A34" s="4" t="s">
        <v>131</v>
      </c>
      <c r="B34" s="142" t="s">
        <v>132</v>
      </c>
      <c r="C34" s="142" t="s">
        <v>133</v>
      </c>
      <c r="D34" s="143">
        <v>2018</v>
      </c>
      <c r="E34" s="117"/>
      <c r="F34" s="118" t="s">
        <v>1423</v>
      </c>
      <c r="G34" s="119" t="s">
        <v>1416</v>
      </c>
      <c r="H34" s="126"/>
      <c r="I34" s="119" t="s">
        <v>1450</v>
      </c>
      <c r="J34" s="120">
        <f t="shared" ref="J34:M34" si="33">IF(ISTEXT(F34), 1, 0)</f>
        <v>1</v>
      </c>
      <c r="K34" s="121">
        <f t="shared" si="33"/>
        <v>1</v>
      </c>
      <c r="L34" s="122">
        <f t="shared" si="33"/>
        <v>0</v>
      </c>
      <c r="M34" s="123">
        <f t="shared" si="33"/>
        <v>1</v>
      </c>
      <c r="N34" s="42">
        <f t="shared" si="1"/>
        <v>3</v>
      </c>
    </row>
    <row r="35" spans="1:26" ht="19.5" customHeight="1">
      <c r="A35" s="4" t="s">
        <v>135</v>
      </c>
      <c r="B35" s="142" t="s">
        <v>136</v>
      </c>
      <c r="C35" s="142" t="s">
        <v>137</v>
      </c>
      <c r="D35" s="143">
        <v>2018</v>
      </c>
      <c r="E35" s="130"/>
      <c r="F35" s="128"/>
      <c r="G35" s="119" t="s">
        <v>1416</v>
      </c>
      <c r="H35" s="126"/>
      <c r="I35" s="119" t="s">
        <v>1450</v>
      </c>
      <c r="J35" s="120">
        <f t="shared" ref="J35:M35" si="34">IF(ISTEXT(F35), 1, 0)</f>
        <v>0</v>
      </c>
      <c r="K35" s="121">
        <f t="shared" si="34"/>
        <v>1</v>
      </c>
      <c r="L35" s="122">
        <f t="shared" si="34"/>
        <v>0</v>
      </c>
      <c r="M35" s="123">
        <f t="shared" si="34"/>
        <v>1</v>
      </c>
      <c r="N35" s="42">
        <f t="shared" si="1"/>
        <v>2</v>
      </c>
    </row>
    <row r="36" spans="1:26" ht="19.5" customHeight="1">
      <c r="A36" s="4" t="s">
        <v>139</v>
      </c>
      <c r="B36" s="142" t="s">
        <v>140</v>
      </c>
      <c r="C36" s="142" t="s">
        <v>141</v>
      </c>
      <c r="D36" s="143">
        <v>2018</v>
      </c>
      <c r="E36" s="117"/>
      <c r="F36" s="118" t="s">
        <v>1485</v>
      </c>
      <c r="G36" s="119" t="s">
        <v>1416</v>
      </c>
      <c r="H36" s="126"/>
      <c r="I36" s="119" t="s">
        <v>1486</v>
      </c>
      <c r="J36" s="120">
        <f t="shared" ref="J36:M36" si="35">IF(ISTEXT(F36), 1, 0)</f>
        <v>1</v>
      </c>
      <c r="K36" s="121">
        <f t="shared" si="35"/>
        <v>1</v>
      </c>
      <c r="L36" s="122">
        <f t="shared" si="35"/>
        <v>0</v>
      </c>
      <c r="M36" s="123">
        <f t="shared" si="35"/>
        <v>1</v>
      </c>
      <c r="N36" s="42">
        <f t="shared" si="1"/>
        <v>3</v>
      </c>
    </row>
    <row r="37" spans="1:26" ht="19.5" customHeight="1">
      <c r="A37" s="4" t="s">
        <v>143</v>
      </c>
      <c r="B37" s="142" t="s">
        <v>144</v>
      </c>
      <c r="C37" s="142" t="s">
        <v>145</v>
      </c>
      <c r="D37" s="143">
        <v>2018</v>
      </c>
      <c r="E37" s="117"/>
      <c r="F37" s="118" t="s">
        <v>1488</v>
      </c>
      <c r="G37" s="119" t="s">
        <v>1416</v>
      </c>
      <c r="H37" s="119" t="s">
        <v>1489</v>
      </c>
      <c r="I37" s="119" t="s">
        <v>1477</v>
      </c>
      <c r="J37" s="120">
        <f t="shared" ref="J37:M37" si="36">IF(ISTEXT(F37), 1, 0)</f>
        <v>1</v>
      </c>
      <c r="K37" s="121">
        <f t="shared" si="36"/>
        <v>1</v>
      </c>
      <c r="L37" s="122">
        <f t="shared" si="36"/>
        <v>1</v>
      </c>
      <c r="M37" s="123">
        <f t="shared" si="36"/>
        <v>1</v>
      </c>
      <c r="N37" s="42">
        <f t="shared" si="1"/>
        <v>4</v>
      </c>
    </row>
    <row r="38" spans="1:26" ht="19.5" customHeight="1">
      <c r="A38" s="4" t="s">
        <v>147</v>
      </c>
      <c r="B38" s="142" t="s">
        <v>148</v>
      </c>
      <c r="C38" s="142" t="s">
        <v>149</v>
      </c>
      <c r="D38" s="143">
        <v>2018</v>
      </c>
      <c r="E38" s="117"/>
      <c r="F38" s="118" t="s">
        <v>1491</v>
      </c>
      <c r="G38" s="126"/>
      <c r="H38" s="126"/>
      <c r="I38" s="119" t="s">
        <v>1477</v>
      </c>
      <c r="J38" s="120">
        <f t="shared" ref="J38:M38" si="37">IF(ISTEXT(F38), 1, 0)</f>
        <v>1</v>
      </c>
      <c r="K38" s="121">
        <f t="shared" si="37"/>
        <v>0</v>
      </c>
      <c r="L38" s="122">
        <f t="shared" si="37"/>
        <v>0</v>
      </c>
      <c r="M38" s="123">
        <f t="shared" si="37"/>
        <v>1</v>
      </c>
      <c r="N38" s="42">
        <f t="shared" si="1"/>
        <v>2</v>
      </c>
    </row>
    <row r="39" spans="1:26" ht="19.5" customHeight="1">
      <c r="A39" s="4" t="s">
        <v>151</v>
      </c>
      <c r="B39" s="142" t="s">
        <v>152</v>
      </c>
      <c r="C39" s="142" t="s">
        <v>153</v>
      </c>
      <c r="D39" s="143">
        <v>2018</v>
      </c>
      <c r="E39" s="117"/>
      <c r="F39" s="118" t="s">
        <v>1493</v>
      </c>
      <c r="G39" s="119" t="s">
        <v>1494</v>
      </c>
      <c r="H39" s="126"/>
      <c r="I39" s="126"/>
      <c r="J39" s="120">
        <f t="shared" ref="J39:M39" si="38">IF(ISTEXT(F39), 1, 0)</f>
        <v>1</v>
      </c>
      <c r="K39" s="121">
        <f t="shared" si="38"/>
        <v>1</v>
      </c>
      <c r="L39" s="122">
        <f t="shared" si="38"/>
        <v>0</v>
      </c>
      <c r="M39" s="123">
        <f t="shared" si="38"/>
        <v>0</v>
      </c>
      <c r="N39" s="42">
        <f t="shared" si="1"/>
        <v>2</v>
      </c>
    </row>
    <row r="40" spans="1:26" ht="19.5" customHeight="1">
      <c r="A40" s="131" t="s">
        <v>155</v>
      </c>
      <c r="B40" s="151" t="s">
        <v>156</v>
      </c>
      <c r="C40" s="151" t="s">
        <v>157</v>
      </c>
      <c r="D40" s="152">
        <v>2018</v>
      </c>
      <c r="E40" s="135"/>
      <c r="F40" s="136" t="s">
        <v>1496</v>
      </c>
      <c r="G40" s="153" t="s">
        <v>1416</v>
      </c>
      <c r="H40" s="137"/>
      <c r="I40" s="153" t="s">
        <v>1437</v>
      </c>
      <c r="J40" s="138">
        <f t="shared" ref="J40:M40" si="39">IF(ISTEXT(F40), 1, 0)</f>
        <v>1</v>
      </c>
      <c r="K40" s="139">
        <f t="shared" si="39"/>
        <v>1</v>
      </c>
      <c r="L40" s="140">
        <f t="shared" si="39"/>
        <v>0</v>
      </c>
      <c r="M40" s="141">
        <f t="shared" si="39"/>
        <v>1</v>
      </c>
      <c r="N40" s="42">
        <f t="shared" si="1"/>
        <v>3</v>
      </c>
    </row>
    <row r="41" spans="1:26" ht="19.5" customHeight="1">
      <c r="A41" s="4" t="s">
        <v>159</v>
      </c>
      <c r="B41" s="115" t="s">
        <v>160</v>
      </c>
      <c r="C41" s="28" t="s">
        <v>161</v>
      </c>
      <c r="D41" s="116">
        <v>2019</v>
      </c>
      <c r="E41" s="117"/>
      <c r="F41" s="154" t="s">
        <v>1497</v>
      </c>
      <c r="G41" s="146"/>
      <c r="H41" s="146"/>
      <c r="I41" s="146"/>
      <c r="J41" s="147">
        <f t="shared" ref="J41:M41" si="40">IF(ISTEXT(F41), 1, 0)</f>
        <v>1</v>
      </c>
      <c r="K41" s="148">
        <f t="shared" si="40"/>
        <v>0</v>
      </c>
      <c r="L41" s="149">
        <f t="shared" si="40"/>
        <v>0</v>
      </c>
      <c r="M41" s="150">
        <f t="shared" si="40"/>
        <v>0</v>
      </c>
      <c r="N41" s="42">
        <f t="shared" si="1"/>
        <v>1</v>
      </c>
    </row>
    <row r="42" spans="1:26" ht="19.5" customHeight="1">
      <c r="A42" s="4" t="s">
        <v>163</v>
      </c>
      <c r="B42" s="125" t="s">
        <v>164</v>
      </c>
      <c r="C42" s="28" t="s">
        <v>165</v>
      </c>
      <c r="D42" s="116">
        <v>2019</v>
      </c>
      <c r="E42" s="130"/>
      <c r="F42" s="128" t="s">
        <v>1499</v>
      </c>
      <c r="G42" s="119" t="s">
        <v>1500</v>
      </c>
      <c r="H42" s="126"/>
      <c r="I42" s="126"/>
      <c r="J42" s="120">
        <f t="shared" ref="J42:M42" si="41">IF(ISTEXT(F42), 1, 0)</f>
        <v>1</v>
      </c>
      <c r="K42" s="121">
        <f t="shared" si="41"/>
        <v>1</v>
      </c>
      <c r="L42" s="122">
        <f t="shared" si="41"/>
        <v>0</v>
      </c>
      <c r="M42" s="123">
        <f t="shared" si="41"/>
        <v>0</v>
      </c>
      <c r="N42" s="42">
        <f t="shared" si="1"/>
        <v>2</v>
      </c>
    </row>
    <row r="43" spans="1:26" ht="19.5" customHeight="1">
      <c r="A43" s="4" t="s">
        <v>167</v>
      </c>
      <c r="B43" s="115" t="s">
        <v>168</v>
      </c>
      <c r="C43" s="28" t="s">
        <v>169</v>
      </c>
      <c r="D43" s="116">
        <v>2019</v>
      </c>
      <c r="E43" s="117"/>
      <c r="F43" s="118" t="s">
        <v>1423</v>
      </c>
      <c r="G43" s="126"/>
      <c r="H43" s="126"/>
      <c r="I43" s="119" t="s">
        <v>1502</v>
      </c>
      <c r="J43" s="120">
        <f t="shared" ref="J43:M43" si="42">IF(ISTEXT(F43), 1, 0)</f>
        <v>1</v>
      </c>
      <c r="K43" s="121">
        <f t="shared" si="42"/>
        <v>0</v>
      </c>
      <c r="L43" s="122">
        <f t="shared" si="42"/>
        <v>0</v>
      </c>
      <c r="M43" s="123">
        <f t="shared" si="42"/>
        <v>1</v>
      </c>
      <c r="N43" s="42">
        <f t="shared" si="1"/>
        <v>2</v>
      </c>
    </row>
    <row r="44" spans="1:26" ht="19.5" customHeight="1">
      <c r="A44" s="4" t="s">
        <v>171</v>
      </c>
      <c r="B44" s="125" t="s">
        <v>172</v>
      </c>
      <c r="C44" s="28" t="s">
        <v>173</v>
      </c>
      <c r="D44" s="116">
        <v>2019</v>
      </c>
      <c r="E44" s="117"/>
      <c r="F44" s="118" t="s">
        <v>1423</v>
      </c>
      <c r="G44" s="126"/>
      <c r="H44" s="119" t="s">
        <v>1504</v>
      </c>
      <c r="I44" s="126"/>
      <c r="J44" s="120">
        <f t="shared" ref="J44:M44" si="43">IF(ISTEXT(F44), 1, 0)</f>
        <v>1</v>
      </c>
      <c r="K44" s="121">
        <f t="shared" si="43"/>
        <v>0</v>
      </c>
      <c r="L44" s="122">
        <f t="shared" si="43"/>
        <v>1</v>
      </c>
      <c r="M44" s="123">
        <f t="shared" si="43"/>
        <v>0</v>
      </c>
      <c r="N44" s="42">
        <f t="shared" si="1"/>
        <v>2</v>
      </c>
    </row>
    <row r="45" spans="1:26" ht="19.5" customHeight="1">
      <c r="A45" s="4" t="s">
        <v>175</v>
      </c>
      <c r="B45" s="115" t="s">
        <v>176</v>
      </c>
      <c r="C45" s="28" t="s">
        <v>177</v>
      </c>
      <c r="D45" s="116">
        <v>2019</v>
      </c>
      <c r="E45" s="117"/>
      <c r="F45" s="118" t="s">
        <v>1497</v>
      </c>
      <c r="G45" s="126"/>
      <c r="H45" s="126"/>
      <c r="I45" s="126"/>
      <c r="J45" s="120">
        <f t="shared" ref="J45:M45" si="44">IF(ISTEXT(F45), 1, 0)</f>
        <v>1</v>
      </c>
      <c r="K45" s="121">
        <f t="shared" si="44"/>
        <v>0</v>
      </c>
      <c r="L45" s="122">
        <f t="shared" si="44"/>
        <v>0</v>
      </c>
      <c r="M45" s="123">
        <f t="shared" si="44"/>
        <v>0</v>
      </c>
      <c r="N45" s="42">
        <f t="shared" si="1"/>
        <v>1</v>
      </c>
    </row>
    <row r="46" spans="1:26" ht="19.5" customHeight="1">
      <c r="A46" s="131" t="s">
        <v>179</v>
      </c>
      <c r="B46" s="159" t="s">
        <v>180</v>
      </c>
      <c r="C46" s="133" t="s">
        <v>181</v>
      </c>
      <c r="D46" s="134">
        <v>2019</v>
      </c>
      <c r="E46" s="135"/>
      <c r="F46" s="136" t="s">
        <v>1506</v>
      </c>
      <c r="G46" s="153" t="s">
        <v>1507</v>
      </c>
      <c r="H46" s="153" t="s">
        <v>1508</v>
      </c>
      <c r="I46" s="153" t="s">
        <v>1509</v>
      </c>
      <c r="J46" s="138">
        <f t="shared" ref="J46:M46" si="45">IF(ISTEXT(F46), 1, 0)</f>
        <v>1</v>
      </c>
      <c r="K46" s="139">
        <f t="shared" si="45"/>
        <v>1</v>
      </c>
      <c r="L46" s="140">
        <f t="shared" si="45"/>
        <v>1</v>
      </c>
      <c r="M46" s="141">
        <f t="shared" si="45"/>
        <v>1</v>
      </c>
      <c r="N46" s="42">
        <f t="shared" si="1"/>
        <v>4</v>
      </c>
    </row>
    <row r="47" spans="1:26" ht="19.5" customHeight="1">
      <c r="A47" s="4" t="s">
        <v>183</v>
      </c>
      <c r="B47" s="142" t="s">
        <v>184</v>
      </c>
      <c r="C47" s="142" t="s">
        <v>185</v>
      </c>
      <c r="D47" s="143">
        <v>2020</v>
      </c>
      <c r="E47" s="160"/>
      <c r="F47" s="144" t="s">
        <v>1511</v>
      </c>
      <c r="G47" s="161"/>
      <c r="H47" s="162"/>
      <c r="I47" s="163" t="s">
        <v>1512</v>
      </c>
      <c r="J47" s="147">
        <f t="shared" ref="J47:M47" si="46">IF(ISTEXT(F47), 1, 0)</f>
        <v>1</v>
      </c>
      <c r="K47" s="148">
        <f t="shared" si="46"/>
        <v>0</v>
      </c>
      <c r="L47" s="149">
        <f t="shared" si="46"/>
        <v>0</v>
      </c>
      <c r="M47" s="150">
        <f t="shared" si="46"/>
        <v>1</v>
      </c>
      <c r="N47" s="42">
        <f t="shared" si="1"/>
        <v>2</v>
      </c>
      <c r="O47" s="197"/>
      <c r="P47" s="164"/>
      <c r="Q47" s="164"/>
      <c r="S47" s="32"/>
      <c r="T47" s="58"/>
    </row>
    <row r="48" spans="1:26" ht="19.5" customHeight="1">
      <c r="A48" s="4" t="s">
        <v>187</v>
      </c>
      <c r="B48" s="142" t="s">
        <v>188</v>
      </c>
      <c r="C48" s="142" t="s">
        <v>189</v>
      </c>
      <c r="D48" s="143">
        <v>2020</v>
      </c>
      <c r="E48" s="160"/>
      <c r="F48" s="128" t="s">
        <v>1513</v>
      </c>
      <c r="G48" s="165"/>
      <c r="H48" s="166"/>
      <c r="I48" s="129"/>
      <c r="J48" s="120">
        <f t="shared" ref="J48:M48" si="47">IF(ISTEXT(F48), 1, 0)</f>
        <v>1</v>
      </c>
      <c r="K48" s="121">
        <f t="shared" si="47"/>
        <v>0</v>
      </c>
      <c r="L48" s="122">
        <f t="shared" si="47"/>
        <v>0</v>
      </c>
      <c r="M48" s="123">
        <f t="shared" si="47"/>
        <v>0</v>
      </c>
      <c r="N48" s="42">
        <f t="shared" si="1"/>
        <v>1</v>
      </c>
      <c r="O48" s="197"/>
      <c r="P48" s="164"/>
      <c r="Q48" s="164"/>
      <c r="S48" s="32"/>
      <c r="T48" s="58"/>
      <c r="U48" s="167"/>
      <c r="V48" s="167"/>
      <c r="W48" s="167"/>
      <c r="X48" s="167"/>
      <c r="Y48" s="167"/>
      <c r="Z48" s="167"/>
    </row>
    <row r="49" spans="1:26" ht="19.5" customHeight="1">
      <c r="A49" s="4" t="s">
        <v>191</v>
      </c>
      <c r="B49" s="142" t="s">
        <v>192</v>
      </c>
      <c r="C49" s="142" t="s">
        <v>193</v>
      </c>
      <c r="D49" s="143">
        <v>2020</v>
      </c>
      <c r="E49" s="160"/>
      <c r="F49" s="128"/>
      <c r="G49" s="165"/>
      <c r="H49" s="166"/>
      <c r="I49" s="129" t="s">
        <v>1515</v>
      </c>
      <c r="J49" s="120">
        <f t="shared" ref="J49:M49" si="48">IF(ISTEXT(F49), 1, 0)</f>
        <v>0</v>
      </c>
      <c r="K49" s="121">
        <f t="shared" si="48"/>
        <v>0</v>
      </c>
      <c r="L49" s="122">
        <f t="shared" si="48"/>
        <v>0</v>
      </c>
      <c r="M49" s="123">
        <f t="shared" si="48"/>
        <v>1</v>
      </c>
      <c r="N49" s="42">
        <f t="shared" si="1"/>
        <v>1</v>
      </c>
      <c r="O49" s="197"/>
      <c r="P49" s="164"/>
      <c r="Q49" s="164"/>
      <c r="S49" s="32"/>
      <c r="T49" s="58"/>
      <c r="U49" s="167"/>
      <c r="V49" s="167"/>
      <c r="W49" s="167"/>
      <c r="X49" s="167"/>
      <c r="Y49" s="167"/>
      <c r="Z49" s="167"/>
    </row>
    <row r="50" spans="1:26" ht="19.5" customHeight="1">
      <c r="A50" s="4" t="s">
        <v>195</v>
      </c>
      <c r="B50" s="142" t="s">
        <v>196</v>
      </c>
      <c r="C50" s="142" t="s">
        <v>197</v>
      </c>
      <c r="D50" s="143">
        <v>2020</v>
      </c>
      <c r="E50" s="160"/>
      <c r="F50" s="128" t="s">
        <v>1516</v>
      </c>
      <c r="G50" s="165"/>
      <c r="H50" s="166"/>
      <c r="I50" s="129"/>
      <c r="J50" s="120">
        <f t="shared" ref="J50:M50" si="49">IF(ISTEXT(F50), 1, 0)</f>
        <v>1</v>
      </c>
      <c r="K50" s="121">
        <f t="shared" si="49"/>
        <v>0</v>
      </c>
      <c r="L50" s="122">
        <f t="shared" si="49"/>
        <v>0</v>
      </c>
      <c r="M50" s="123">
        <f t="shared" si="49"/>
        <v>0</v>
      </c>
      <c r="N50" s="42">
        <f t="shared" si="1"/>
        <v>1</v>
      </c>
      <c r="O50" s="197"/>
      <c r="P50" s="164"/>
      <c r="Q50" s="164"/>
      <c r="S50" s="32"/>
      <c r="T50" s="58"/>
    </row>
    <row r="51" spans="1:26" ht="19.5" customHeight="1">
      <c r="A51" s="4" t="s">
        <v>199</v>
      </c>
      <c r="B51" s="142" t="s">
        <v>200</v>
      </c>
      <c r="C51" s="142" t="s">
        <v>201</v>
      </c>
      <c r="D51" s="143">
        <v>2020</v>
      </c>
      <c r="E51" s="160"/>
      <c r="F51" s="128" t="s">
        <v>1518</v>
      </c>
      <c r="G51" s="165"/>
      <c r="H51" s="166"/>
      <c r="I51" s="129"/>
      <c r="J51" s="120">
        <f t="shared" ref="J51:M51" si="50">IF(ISTEXT(F51), 1, 0)</f>
        <v>1</v>
      </c>
      <c r="K51" s="121">
        <f t="shared" si="50"/>
        <v>0</v>
      </c>
      <c r="L51" s="122">
        <f t="shared" si="50"/>
        <v>0</v>
      </c>
      <c r="M51" s="123">
        <f t="shared" si="50"/>
        <v>0</v>
      </c>
      <c r="N51" s="42">
        <f t="shared" si="1"/>
        <v>1</v>
      </c>
      <c r="O51" s="197"/>
      <c r="P51" s="164"/>
      <c r="Q51" s="164"/>
      <c r="S51" s="32"/>
      <c r="T51" s="58"/>
    </row>
    <row r="52" spans="1:26" ht="19.5" customHeight="1">
      <c r="A52" s="4" t="s">
        <v>203</v>
      </c>
      <c r="B52" s="142" t="s">
        <v>204</v>
      </c>
      <c r="C52" s="142" t="s">
        <v>205</v>
      </c>
      <c r="D52" s="143">
        <v>2020</v>
      </c>
      <c r="E52" s="160"/>
      <c r="F52" s="128"/>
      <c r="G52" s="165"/>
      <c r="H52" s="166"/>
      <c r="I52" s="129" t="s">
        <v>1520</v>
      </c>
      <c r="J52" s="120">
        <f t="shared" ref="J52:M52" si="51">IF(ISTEXT(F52), 1, 0)</f>
        <v>0</v>
      </c>
      <c r="K52" s="121">
        <f t="shared" si="51"/>
        <v>0</v>
      </c>
      <c r="L52" s="122">
        <f t="shared" si="51"/>
        <v>0</v>
      </c>
      <c r="M52" s="123">
        <f t="shared" si="51"/>
        <v>1</v>
      </c>
      <c r="N52" s="42">
        <f t="shared" si="1"/>
        <v>1</v>
      </c>
      <c r="O52" s="197"/>
      <c r="P52" s="164"/>
      <c r="Q52" s="164"/>
      <c r="S52" s="32"/>
      <c r="T52" s="58"/>
    </row>
    <row r="53" spans="1:26" ht="19.5" customHeight="1">
      <c r="A53" s="4" t="s">
        <v>207</v>
      </c>
      <c r="B53" s="142" t="s">
        <v>208</v>
      </c>
      <c r="C53" s="142" t="s">
        <v>209</v>
      </c>
      <c r="D53" s="143">
        <v>2020</v>
      </c>
      <c r="E53" s="160"/>
      <c r="F53" s="128" t="s">
        <v>1522</v>
      </c>
      <c r="G53" s="165"/>
      <c r="H53" s="168"/>
      <c r="I53" s="129"/>
      <c r="J53" s="120">
        <f t="shared" ref="J53:M53" si="52">IF(ISTEXT(F53), 1, 0)</f>
        <v>1</v>
      </c>
      <c r="K53" s="121">
        <f t="shared" si="52"/>
        <v>0</v>
      </c>
      <c r="L53" s="122">
        <f t="shared" si="52"/>
        <v>0</v>
      </c>
      <c r="M53" s="123">
        <f t="shared" si="52"/>
        <v>0</v>
      </c>
      <c r="N53" s="42">
        <f t="shared" si="1"/>
        <v>1</v>
      </c>
      <c r="O53" s="197"/>
      <c r="P53" s="169"/>
      <c r="Q53" s="169"/>
      <c r="S53" s="32"/>
      <c r="T53" s="58"/>
    </row>
    <row r="54" spans="1:26" ht="19.5" customHeight="1">
      <c r="A54" s="4" t="s">
        <v>211</v>
      </c>
      <c r="B54" s="142" t="s">
        <v>212</v>
      </c>
      <c r="C54" s="142" t="s">
        <v>213</v>
      </c>
      <c r="D54" s="143">
        <v>2020</v>
      </c>
      <c r="E54" s="160"/>
      <c r="F54" s="128" t="s">
        <v>1524</v>
      </c>
      <c r="G54" s="165" t="s">
        <v>1525</v>
      </c>
      <c r="H54" s="166"/>
      <c r="I54" s="129" t="s">
        <v>1527</v>
      </c>
      <c r="J54" s="120">
        <f t="shared" ref="J54:M54" si="53">IF(ISTEXT(F54), 1, 0)</f>
        <v>1</v>
      </c>
      <c r="K54" s="121">
        <f t="shared" si="53"/>
        <v>1</v>
      </c>
      <c r="L54" s="122">
        <f t="shared" si="53"/>
        <v>0</v>
      </c>
      <c r="M54" s="123">
        <f t="shared" si="53"/>
        <v>1</v>
      </c>
      <c r="N54" s="42">
        <f t="shared" si="1"/>
        <v>3</v>
      </c>
      <c r="O54" s="197"/>
      <c r="P54" s="164"/>
      <c r="Q54" s="164"/>
      <c r="S54" s="32"/>
      <c r="T54" s="58"/>
    </row>
    <row r="55" spans="1:26" ht="19.5" customHeight="1">
      <c r="A55" s="4" t="s">
        <v>215</v>
      </c>
      <c r="B55" s="142" t="s">
        <v>216</v>
      </c>
      <c r="C55" s="142" t="s">
        <v>217</v>
      </c>
      <c r="D55" s="143">
        <v>2020</v>
      </c>
      <c r="E55" s="160"/>
      <c r="F55" s="128" t="s">
        <v>1529</v>
      </c>
      <c r="G55" s="165"/>
      <c r="H55" s="166"/>
      <c r="I55" s="129"/>
      <c r="J55" s="120">
        <f t="shared" ref="J55:M55" si="54">IF(ISTEXT(F55), 1, 0)</f>
        <v>1</v>
      </c>
      <c r="K55" s="121">
        <f t="shared" si="54"/>
        <v>0</v>
      </c>
      <c r="L55" s="122">
        <f t="shared" si="54"/>
        <v>0</v>
      </c>
      <c r="M55" s="123">
        <f t="shared" si="54"/>
        <v>0</v>
      </c>
      <c r="N55" s="42">
        <f t="shared" si="1"/>
        <v>1</v>
      </c>
      <c r="O55" s="197"/>
      <c r="P55" s="164"/>
      <c r="Q55" s="164"/>
      <c r="S55" s="32"/>
      <c r="T55" s="58"/>
      <c r="U55" s="167"/>
      <c r="V55" s="167"/>
      <c r="W55" s="167"/>
      <c r="X55" s="167"/>
      <c r="Y55" s="167"/>
      <c r="Z55" s="167"/>
    </row>
    <row r="56" spans="1:26" ht="19.5" customHeight="1">
      <c r="A56" s="4" t="s">
        <v>219</v>
      </c>
      <c r="B56" s="142" t="s">
        <v>220</v>
      </c>
      <c r="C56" s="142" t="s">
        <v>221</v>
      </c>
      <c r="D56" s="143">
        <v>2020</v>
      </c>
      <c r="E56" s="160"/>
      <c r="F56" s="128"/>
      <c r="G56" s="165" t="s">
        <v>1531</v>
      </c>
      <c r="H56" s="129"/>
      <c r="I56" s="129" t="s">
        <v>1532</v>
      </c>
      <c r="J56" s="120">
        <f t="shared" ref="J56:M56" si="55">IF(ISTEXT(F56), 1, 0)</f>
        <v>0</v>
      </c>
      <c r="K56" s="121">
        <f t="shared" si="55"/>
        <v>1</v>
      </c>
      <c r="L56" s="122">
        <f t="shared" si="55"/>
        <v>0</v>
      </c>
      <c r="M56" s="123">
        <f t="shared" si="55"/>
        <v>1</v>
      </c>
      <c r="N56" s="42">
        <f t="shared" si="1"/>
        <v>2</v>
      </c>
      <c r="O56" s="197"/>
      <c r="S56" s="32"/>
      <c r="T56" s="58"/>
    </row>
    <row r="57" spans="1:26" ht="19.5" customHeight="1">
      <c r="A57" s="4" t="s">
        <v>223</v>
      </c>
      <c r="B57" s="142" t="s">
        <v>224</v>
      </c>
      <c r="C57" s="142" t="s">
        <v>225</v>
      </c>
      <c r="D57" s="143">
        <v>2020</v>
      </c>
      <c r="E57" s="160"/>
      <c r="F57" s="128" t="s">
        <v>1534</v>
      </c>
      <c r="G57" s="165"/>
      <c r="H57" s="166"/>
      <c r="I57" s="129"/>
      <c r="J57" s="120">
        <f t="shared" ref="J57:M57" si="56">IF(ISTEXT(F57), 1, 0)</f>
        <v>1</v>
      </c>
      <c r="K57" s="121">
        <f t="shared" si="56"/>
        <v>0</v>
      </c>
      <c r="L57" s="122">
        <f t="shared" si="56"/>
        <v>0</v>
      </c>
      <c r="M57" s="123">
        <f t="shared" si="56"/>
        <v>0</v>
      </c>
      <c r="N57" s="42">
        <f t="shared" si="1"/>
        <v>1</v>
      </c>
      <c r="O57" s="197"/>
      <c r="P57" s="164"/>
      <c r="Q57" s="164"/>
      <c r="S57" s="32"/>
      <c r="T57" s="58"/>
      <c r="U57" s="167"/>
      <c r="V57" s="167"/>
      <c r="W57" s="167"/>
      <c r="X57" s="167"/>
      <c r="Y57" s="167"/>
      <c r="Z57" s="167"/>
    </row>
    <row r="58" spans="1:26" ht="19.5" customHeight="1">
      <c r="A58" s="131" t="s">
        <v>227</v>
      </c>
      <c r="B58" s="151" t="s">
        <v>228</v>
      </c>
      <c r="C58" s="151" t="s">
        <v>229</v>
      </c>
      <c r="D58" s="152">
        <v>2020</v>
      </c>
      <c r="E58" s="170"/>
      <c r="F58" s="158" t="s">
        <v>1536</v>
      </c>
      <c r="G58" s="171"/>
      <c r="H58" s="172"/>
      <c r="I58" s="173"/>
      <c r="J58" s="138">
        <f t="shared" ref="J58:M58" si="57">IF(ISTEXT(F58), 1, 0)</f>
        <v>1</v>
      </c>
      <c r="K58" s="139">
        <f t="shared" si="57"/>
        <v>0</v>
      </c>
      <c r="L58" s="140">
        <f t="shared" si="57"/>
        <v>0</v>
      </c>
      <c r="M58" s="141">
        <f t="shared" si="57"/>
        <v>0</v>
      </c>
      <c r="N58" s="42">
        <f t="shared" si="1"/>
        <v>1</v>
      </c>
      <c r="O58" s="197"/>
      <c r="P58" s="164"/>
      <c r="Q58" s="164"/>
      <c r="S58" s="32"/>
      <c r="T58" s="58"/>
      <c r="U58" s="167"/>
      <c r="V58" s="167"/>
      <c r="W58" s="167"/>
      <c r="X58" s="167"/>
      <c r="Y58" s="167"/>
      <c r="Z58" s="167"/>
    </row>
    <row r="59" spans="1:26" ht="19.5" customHeight="1">
      <c r="A59" s="4" t="s">
        <v>231</v>
      </c>
      <c r="B59" s="14" t="s">
        <v>232</v>
      </c>
      <c r="C59" s="15" t="s">
        <v>233</v>
      </c>
      <c r="D59" s="116">
        <v>2021</v>
      </c>
      <c r="E59" s="117"/>
      <c r="F59" s="154" t="s">
        <v>1538</v>
      </c>
      <c r="G59" s="146"/>
      <c r="H59" s="146"/>
      <c r="I59" s="146"/>
      <c r="J59" s="147">
        <f t="shared" ref="J59:M59" si="58">IF(ISTEXT(F59), 1, 0)</f>
        <v>1</v>
      </c>
      <c r="K59" s="148">
        <f t="shared" si="58"/>
        <v>0</v>
      </c>
      <c r="L59" s="149">
        <f t="shared" si="58"/>
        <v>0</v>
      </c>
      <c r="M59" s="150">
        <f t="shared" si="58"/>
        <v>0</v>
      </c>
      <c r="N59" s="42">
        <f t="shared" si="1"/>
        <v>1</v>
      </c>
    </row>
    <row r="60" spans="1:26" ht="19.5" customHeight="1">
      <c r="A60" s="4" t="s">
        <v>235</v>
      </c>
      <c r="B60" s="16" t="s">
        <v>236</v>
      </c>
      <c r="C60" s="15" t="s">
        <v>237</v>
      </c>
      <c r="D60" s="116">
        <v>2021</v>
      </c>
      <c r="E60" s="117"/>
      <c r="F60" s="118" t="s">
        <v>1539</v>
      </c>
      <c r="G60" s="126"/>
      <c r="H60" s="126"/>
      <c r="I60" s="126"/>
      <c r="J60" s="120">
        <f t="shared" ref="J60:M60" si="59">IF(ISTEXT(F60), 1, 0)</f>
        <v>1</v>
      </c>
      <c r="K60" s="121">
        <f t="shared" si="59"/>
        <v>0</v>
      </c>
      <c r="L60" s="122">
        <f t="shared" si="59"/>
        <v>0</v>
      </c>
      <c r="M60" s="123">
        <f t="shared" si="59"/>
        <v>0</v>
      </c>
      <c r="N60" s="42">
        <f t="shared" si="1"/>
        <v>1</v>
      </c>
    </row>
    <row r="61" spans="1:26" ht="19.5" customHeight="1">
      <c r="A61" s="4" t="s">
        <v>239</v>
      </c>
      <c r="B61" s="14" t="s">
        <v>240</v>
      </c>
      <c r="C61" s="15" t="s">
        <v>241</v>
      </c>
      <c r="D61" s="116">
        <v>2021</v>
      </c>
      <c r="E61" s="117"/>
      <c r="F61" s="118" t="s">
        <v>1538</v>
      </c>
      <c r="G61" s="126"/>
      <c r="H61" s="126"/>
      <c r="I61" s="126"/>
      <c r="J61" s="120">
        <f t="shared" ref="J61:M61" si="60">IF(ISTEXT(F61), 1, 0)</f>
        <v>1</v>
      </c>
      <c r="K61" s="121">
        <f t="shared" si="60"/>
        <v>0</v>
      </c>
      <c r="L61" s="122">
        <f t="shared" si="60"/>
        <v>0</v>
      </c>
      <c r="M61" s="123">
        <f t="shared" si="60"/>
        <v>0</v>
      </c>
      <c r="N61" s="42">
        <f t="shared" si="1"/>
        <v>1</v>
      </c>
    </row>
    <row r="62" spans="1:26" ht="19.5" customHeight="1">
      <c r="A62" s="4" t="s">
        <v>243</v>
      </c>
      <c r="B62" s="16" t="s">
        <v>244</v>
      </c>
      <c r="C62" s="15" t="s">
        <v>245</v>
      </c>
      <c r="D62" s="116">
        <v>2021</v>
      </c>
      <c r="E62" s="117"/>
      <c r="F62" s="118" t="s">
        <v>1423</v>
      </c>
      <c r="G62" s="126"/>
      <c r="H62" s="126"/>
      <c r="I62" s="126"/>
      <c r="J62" s="120">
        <f t="shared" ref="J62:M62" si="61">IF(ISTEXT(F62), 1, 0)</f>
        <v>1</v>
      </c>
      <c r="K62" s="121">
        <f t="shared" si="61"/>
        <v>0</v>
      </c>
      <c r="L62" s="122">
        <f t="shared" si="61"/>
        <v>0</v>
      </c>
      <c r="M62" s="123">
        <f t="shared" si="61"/>
        <v>0</v>
      </c>
      <c r="N62" s="42">
        <f t="shared" si="1"/>
        <v>1</v>
      </c>
    </row>
    <row r="63" spans="1:26" ht="19.5" customHeight="1">
      <c r="A63" s="4" t="s">
        <v>247</v>
      </c>
      <c r="B63" s="14" t="s">
        <v>248</v>
      </c>
      <c r="C63" s="15" t="s">
        <v>249</v>
      </c>
      <c r="D63" s="116">
        <v>2021</v>
      </c>
      <c r="E63" s="130"/>
      <c r="F63" s="128" t="s">
        <v>1543</v>
      </c>
      <c r="G63" s="126"/>
      <c r="H63" s="126"/>
      <c r="I63" s="126"/>
      <c r="J63" s="120">
        <f t="shared" ref="J63:M63" si="62">IF(ISTEXT(F63), 1, 0)</f>
        <v>1</v>
      </c>
      <c r="K63" s="121">
        <f t="shared" si="62"/>
        <v>0</v>
      </c>
      <c r="L63" s="122">
        <f t="shared" si="62"/>
        <v>0</v>
      </c>
      <c r="M63" s="123">
        <f t="shared" si="62"/>
        <v>0</v>
      </c>
      <c r="N63" s="42">
        <f t="shared" si="1"/>
        <v>1</v>
      </c>
    </row>
    <row r="64" spans="1:26" ht="19.5" customHeight="1">
      <c r="A64" s="4" t="s">
        <v>251</v>
      </c>
      <c r="B64" s="16" t="s">
        <v>252</v>
      </c>
      <c r="C64" s="15" t="s">
        <v>253</v>
      </c>
      <c r="D64" s="116">
        <v>2021</v>
      </c>
      <c r="E64" s="130"/>
      <c r="F64" s="128" t="s">
        <v>1545</v>
      </c>
      <c r="G64" s="119" t="s">
        <v>1416</v>
      </c>
      <c r="H64" s="119" t="s">
        <v>1546</v>
      </c>
      <c r="I64" s="126"/>
      <c r="J64" s="120">
        <f t="shared" ref="J64:M64" si="63">IF(ISTEXT(F64), 1, 0)</f>
        <v>1</v>
      </c>
      <c r="K64" s="121">
        <f t="shared" si="63"/>
        <v>1</v>
      </c>
      <c r="L64" s="122">
        <f t="shared" si="63"/>
        <v>1</v>
      </c>
      <c r="M64" s="123">
        <f t="shared" si="63"/>
        <v>0</v>
      </c>
      <c r="N64" s="42">
        <f t="shared" si="1"/>
        <v>3</v>
      </c>
    </row>
    <row r="65" spans="1:14" ht="19.5" customHeight="1">
      <c r="A65" s="4" t="s">
        <v>255</v>
      </c>
      <c r="B65" s="14" t="s">
        <v>256</v>
      </c>
      <c r="C65" s="15" t="s">
        <v>257</v>
      </c>
      <c r="D65" s="116">
        <v>2021</v>
      </c>
      <c r="E65" s="117"/>
      <c r="F65" s="118" t="s">
        <v>1548</v>
      </c>
      <c r="G65" s="126"/>
      <c r="H65" s="126"/>
      <c r="I65" s="126"/>
      <c r="J65" s="120">
        <f t="shared" ref="J65:M65" si="64">IF(ISTEXT(F65), 1, 0)</f>
        <v>1</v>
      </c>
      <c r="K65" s="121">
        <f t="shared" si="64"/>
        <v>0</v>
      </c>
      <c r="L65" s="122">
        <f t="shared" si="64"/>
        <v>0</v>
      </c>
      <c r="M65" s="123">
        <f t="shared" si="64"/>
        <v>0</v>
      </c>
      <c r="N65" s="42">
        <f t="shared" si="1"/>
        <v>1</v>
      </c>
    </row>
    <row r="66" spans="1:14" ht="19.5" customHeight="1">
      <c r="A66" s="4" t="s">
        <v>259</v>
      </c>
      <c r="B66" s="16" t="s">
        <v>260</v>
      </c>
      <c r="C66" s="75" t="s">
        <v>261</v>
      </c>
      <c r="D66" s="116">
        <v>2021</v>
      </c>
      <c r="E66" s="117"/>
      <c r="F66" s="118" t="s">
        <v>1550</v>
      </c>
      <c r="G66" s="126"/>
      <c r="H66" s="126"/>
      <c r="I66" s="119" t="s">
        <v>1646</v>
      </c>
      <c r="J66" s="120">
        <f t="shared" ref="J66:M66" si="65">IF(ISTEXT(F66), 1, 0)</f>
        <v>1</v>
      </c>
      <c r="K66" s="121">
        <f t="shared" si="65"/>
        <v>0</v>
      </c>
      <c r="L66" s="122">
        <f t="shared" si="65"/>
        <v>0</v>
      </c>
      <c r="M66" s="123">
        <f t="shared" si="65"/>
        <v>1</v>
      </c>
      <c r="N66" s="42">
        <f t="shared" si="1"/>
        <v>2</v>
      </c>
    </row>
    <row r="67" spans="1:14" ht="19.5" customHeight="1">
      <c r="A67" s="4" t="s">
        <v>263</v>
      </c>
      <c r="B67" s="14" t="s">
        <v>264</v>
      </c>
      <c r="C67" s="75" t="s">
        <v>265</v>
      </c>
      <c r="D67" s="116">
        <v>2021</v>
      </c>
      <c r="E67" s="117"/>
      <c r="F67" s="118" t="s">
        <v>1550</v>
      </c>
      <c r="G67" s="126"/>
      <c r="H67" s="126"/>
      <c r="I67" s="119" t="s">
        <v>1647</v>
      </c>
      <c r="J67" s="120">
        <f t="shared" ref="J67:M67" si="66">IF(ISTEXT(F67), 1, 0)</f>
        <v>1</v>
      </c>
      <c r="K67" s="121">
        <f t="shared" si="66"/>
        <v>0</v>
      </c>
      <c r="L67" s="122">
        <f t="shared" si="66"/>
        <v>0</v>
      </c>
      <c r="M67" s="123">
        <f t="shared" si="66"/>
        <v>1</v>
      </c>
      <c r="N67" s="42">
        <f t="shared" si="1"/>
        <v>2</v>
      </c>
    </row>
    <row r="68" spans="1:14" ht="19.5" customHeight="1">
      <c r="A68" s="4" t="s">
        <v>267</v>
      </c>
      <c r="B68" s="16" t="s">
        <v>268</v>
      </c>
      <c r="C68" s="15" t="s">
        <v>269</v>
      </c>
      <c r="D68" s="116">
        <v>2021</v>
      </c>
      <c r="E68" s="117"/>
      <c r="F68" s="118" t="s">
        <v>1555</v>
      </c>
      <c r="G68" s="126"/>
      <c r="H68" s="126"/>
      <c r="I68" s="119" t="s">
        <v>1648</v>
      </c>
      <c r="J68" s="120">
        <f t="shared" ref="J68:M68" si="67">IF(ISTEXT(F68), 1, 0)</f>
        <v>1</v>
      </c>
      <c r="K68" s="121">
        <f t="shared" si="67"/>
        <v>0</v>
      </c>
      <c r="L68" s="122">
        <f t="shared" si="67"/>
        <v>0</v>
      </c>
      <c r="M68" s="123">
        <f t="shared" si="67"/>
        <v>1</v>
      </c>
      <c r="N68" s="42">
        <f t="shared" si="1"/>
        <v>2</v>
      </c>
    </row>
    <row r="69" spans="1:14" ht="19.5" customHeight="1">
      <c r="A69" s="131" t="s">
        <v>271</v>
      </c>
      <c r="B69" s="174" t="s">
        <v>272</v>
      </c>
      <c r="C69" s="175" t="s">
        <v>273</v>
      </c>
      <c r="D69" s="134">
        <v>2021</v>
      </c>
      <c r="E69" s="135"/>
      <c r="F69" s="136" t="s">
        <v>1556</v>
      </c>
      <c r="G69" s="137"/>
      <c r="H69" s="137"/>
      <c r="I69" s="153" t="s">
        <v>1649</v>
      </c>
      <c r="J69" s="138">
        <f t="shared" ref="J69:M69" si="68">IF(ISTEXT(F69), 1, 0)</f>
        <v>1</v>
      </c>
      <c r="K69" s="139">
        <f t="shared" si="68"/>
        <v>0</v>
      </c>
      <c r="L69" s="140">
        <f t="shared" si="68"/>
        <v>0</v>
      </c>
      <c r="M69" s="141">
        <f t="shared" si="68"/>
        <v>1</v>
      </c>
      <c r="N69" s="42">
        <f t="shared" si="1"/>
        <v>2</v>
      </c>
    </row>
    <row r="70" spans="1:14" ht="19.5" customHeight="1">
      <c r="A70" s="4" t="s">
        <v>275</v>
      </c>
      <c r="B70" s="142" t="s">
        <v>276</v>
      </c>
      <c r="C70" s="142" t="s">
        <v>277</v>
      </c>
      <c r="D70" s="143">
        <v>2022</v>
      </c>
      <c r="E70" s="117"/>
      <c r="F70" s="154" t="s">
        <v>1558</v>
      </c>
      <c r="G70" s="146"/>
      <c r="H70" s="146"/>
      <c r="I70" s="146"/>
      <c r="J70" s="147">
        <f t="shared" ref="J70:M70" si="69">IF(ISTEXT(F70), 1, 0)</f>
        <v>1</v>
      </c>
      <c r="K70" s="148">
        <f t="shared" si="69"/>
        <v>0</v>
      </c>
      <c r="L70" s="149">
        <f t="shared" si="69"/>
        <v>0</v>
      </c>
      <c r="M70" s="150">
        <f t="shared" si="69"/>
        <v>0</v>
      </c>
      <c r="N70" s="42">
        <f t="shared" si="1"/>
        <v>1</v>
      </c>
    </row>
    <row r="71" spans="1:14" ht="19.5" customHeight="1">
      <c r="A71" s="4" t="s">
        <v>279</v>
      </c>
      <c r="B71" s="142" t="s">
        <v>280</v>
      </c>
      <c r="C71" s="142" t="s">
        <v>281</v>
      </c>
      <c r="D71" s="143">
        <v>2022</v>
      </c>
      <c r="E71" s="117"/>
      <c r="F71" s="118" t="s">
        <v>1556</v>
      </c>
      <c r="G71" s="126"/>
      <c r="H71" s="126"/>
      <c r="I71" s="126"/>
      <c r="J71" s="120">
        <f t="shared" ref="J71:M71" si="70">IF(ISTEXT(F71), 1, 0)</f>
        <v>1</v>
      </c>
      <c r="K71" s="121">
        <f t="shared" si="70"/>
        <v>0</v>
      </c>
      <c r="L71" s="122">
        <f t="shared" si="70"/>
        <v>0</v>
      </c>
      <c r="M71" s="123">
        <f t="shared" si="70"/>
        <v>0</v>
      </c>
      <c r="N71" s="42">
        <f t="shared" si="1"/>
        <v>1</v>
      </c>
    </row>
    <row r="72" spans="1:14" ht="19.5" customHeight="1">
      <c r="A72" s="4" t="s">
        <v>283</v>
      </c>
      <c r="B72" s="142" t="s">
        <v>284</v>
      </c>
      <c r="C72" s="142" t="s">
        <v>285</v>
      </c>
      <c r="D72" s="143">
        <v>2022</v>
      </c>
      <c r="E72" s="117"/>
      <c r="F72" s="118" t="s">
        <v>1556</v>
      </c>
      <c r="G72" s="126"/>
      <c r="H72" s="126"/>
      <c r="I72" s="126"/>
      <c r="J72" s="120">
        <f t="shared" ref="J72:M72" si="71">IF(ISTEXT(F72), 1, 0)</f>
        <v>1</v>
      </c>
      <c r="K72" s="121">
        <f t="shared" si="71"/>
        <v>0</v>
      </c>
      <c r="L72" s="122">
        <f t="shared" si="71"/>
        <v>0</v>
      </c>
      <c r="M72" s="123">
        <f t="shared" si="71"/>
        <v>0</v>
      </c>
      <c r="N72" s="42">
        <f t="shared" si="1"/>
        <v>1</v>
      </c>
    </row>
    <row r="73" spans="1:14" ht="19.5" customHeight="1">
      <c r="A73" s="4" t="s">
        <v>287</v>
      </c>
      <c r="B73" s="142" t="s">
        <v>288</v>
      </c>
      <c r="C73" s="142" t="s">
        <v>289</v>
      </c>
      <c r="D73" s="143">
        <v>2022</v>
      </c>
      <c r="E73" s="130"/>
      <c r="F73" s="128" t="s">
        <v>1560</v>
      </c>
      <c r="G73" s="126"/>
      <c r="H73" s="126"/>
      <c r="I73" s="119" t="s">
        <v>1551</v>
      </c>
      <c r="J73" s="120">
        <f t="shared" ref="J73:M73" si="72">IF(ISTEXT(F73), 1, 0)</f>
        <v>1</v>
      </c>
      <c r="K73" s="121">
        <f t="shared" si="72"/>
        <v>0</v>
      </c>
      <c r="L73" s="122">
        <f t="shared" si="72"/>
        <v>0</v>
      </c>
      <c r="M73" s="123">
        <f t="shared" si="72"/>
        <v>1</v>
      </c>
      <c r="N73" s="42">
        <f t="shared" si="1"/>
        <v>2</v>
      </c>
    </row>
    <row r="74" spans="1:14" ht="19.5" customHeight="1">
      <c r="A74" s="4" t="s">
        <v>291</v>
      </c>
      <c r="B74" s="142" t="s">
        <v>292</v>
      </c>
      <c r="C74" s="142" t="s">
        <v>293</v>
      </c>
      <c r="D74" s="143">
        <v>2022</v>
      </c>
      <c r="E74" s="117"/>
      <c r="F74" s="118" t="s">
        <v>1466</v>
      </c>
      <c r="G74" s="126"/>
      <c r="H74" s="126"/>
      <c r="I74" s="126"/>
      <c r="J74" s="120">
        <f t="shared" ref="J74:M74" si="73">IF(ISTEXT(F74), 1, 0)</f>
        <v>1</v>
      </c>
      <c r="K74" s="121">
        <f t="shared" si="73"/>
        <v>0</v>
      </c>
      <c r="L74" s="122">
        <f t="shared" si="73"/>
        <v>0</v>
      </c>
      <c r="M74" s="123">
        <f t="shared" si="73"/>
        <v>0</v>
      </c>
      <c r="N74" s="42">
        <f t="shared" si="1"/>
        <v>1</v>
      </c>
    </row>
    <row r="75" spans="1:14" ht="19.5" customHeight="1">
      <c r="A75" s="4" t="s">
        <v>295</v>
      </c>
      <c r="B75" s="142" t="s">
        <v>296</v>
      </c>
      <c r="C75" s="142" t="s">
        <v>297</v>
      </c>
      <c r="D75" s="143">
        <v>2022</v>
      </c>
      <c r="E75" s="130"/>
      <c r="F75" s="128" t="s">
        <v>1563</v>
      </c>
      <c r="G75" s="126"/>
      <c r="H75" s="126"/>
      <c r="I75" s="126"/>
      <c r="J75" s="120">
        <f t="shared" ref="J75:M75" si="74">IF(ISTEXT(F75), 1, 0)</f>
        <v>1</v>
      </c>
      <c r="K75" s="121">
        <f t="shared" si="74"/>
        <v>0</v>
      </c>
      <c r="L75" s="122">
        <f t="shared" si="74"/>
        <v>0</v>
      </c>
      <c r="M75" s="123">
        <f t="shared" si="74"/>
        <v>0</v>
      </c>
      <c r="N75" s="42">
        <f t="shared" si="1"/>
        <v>1</v>
      </c>
    </row>
    <row r="76" spans="1:14" ht="19.5" customHeight="1">
      <c r="A76" s="4" t="s">
        <v>299</v>
      </c>
      <c r="B76" s="142" t="s">
        <v>300</v>
      </c>
      <c r="C76" s="142" t="s">
        <v>301</v>
      </c>
      <c r="D76" s="143">
        <v>2022</v>
      </c>
      <c r="E76" s="117"/>
      <c r="F76" s="118" t="s">
        <v>1565</v>
      </c>
      <c r="G76" s="126"/>
      <c r="H76" s="126"/>
      <c r="I76" s="119" t="s">
        <v>1566</v>
      </c>
      <c r="J76" s="120">
        <f t="shared" ref="J76:M76" si="75">IF(ISTEXT(F76), 1, 0)</f>
        <v>1</v>
      </c>
      <c r="K76" s="121">
        <f t="shared" si="75"/>
        <v>0</v>
      </c>
      <c r="L76" s="122">
        <f t="shared" si="75"/>
        <v>0</v>
      </c>
      <c r="M76" s="123">
        <f t="shared" si="75"/>
        <v>1</v>
      </c>
      <c r="N76" s="42">
        <f t="shared" si="1"/>
        <v>2</v>
      </c>
    </row>
    <row r="77" spans="1:14" ht="19.5" customHeight="1">
      <c r="A77" s="4" t="s">
        <v>303</v>
      </c>
      <c r="B77" s="142" t="s">
        <v>304</v>
      </c>
      <c r="C77" s="142" t="s">
        <v>305</v>
      </c>
      <c r="D77" s="143">
        <v>2022</v>
      </c>
      <c r="E77" s="130"/>
      <c r="F77" s="128"/>
      <c r="G77" s="126"/>
      <c r="H77" s="126"/>
      <c r="I77" s="126" t="s">
        <v>1502</v>
      </c>
      <c r="J77" s="120">
        <f t="shared" ref="J77:M77" si="76">IF(ISTEXT(F77), 1, 0)</f>
        <v>0</v>
      </c>
      <c r="K77" s="121">
        <f t="shared" si="76"/>
        <v>0</v>
      </c>
      <c r="L77" s="122">
        <f t="shared" si="76"/>
        <v>0</v>
      </c>
      <c r="M77" s="123">
        <f t="shared" si="76"/>
        <v>1</v>
      </c>
      <c r="N77" s="42">
        <f t="shared" si="1"/>
        <v>1</v>
      </c>
    </row>
    <row r="78" spans="1:14" ht="19.5" customHeight="1">
      <c r="A78" s="4" t="s">
        <v>307</v>
      </c>
      <c r="B78" s="142" t="s">
        <v>308</v>
      </c>
      <c r="C78" s="142" t="s">
        <v>309</v>
      </c>
      <c r="D78" s="143">
        <v>2022</v>
      </c>
      <c r="E78" s="117"/>
      <c r="F78" s="118" t="s">
        <v>1568</v>
      </c>
      <c r="G78" s="126"/>
      <c r="H78" s="126"/>
      <c r="I78" s="126"/>
      <c r="J78" s="120">
        <f t="shared" ref="J78:M78" si="77">IF(ISTEXT(F78), 1, 0)</f>
        <v>1</v>
      </c>
      <c r="K78" s="121">
        <f t="shared" si="77"/>
        <v>0</v>
      </c>
      <c r="L78" s="122">
        <f t="shared" si="77"/>
        <v>0</v>
      </c>
      <c r="M78" s="123">
        <f t="shared" si="77"/>
        <v>0</v>
      </c>
      <c r="N78" s="42">
        <f t="shared" si="1"/>
        <v>1</v>
      </c>
    </row>
    <row r="79" spans="1:14" ht="19.5" customHeight="1">
      <c r="A79" s="4" t="s">
        <v>311</v>
      </c>
      <c r="B79" s="142" t="s">
        <v>312</v>
      </c>
      <c r="C79" s="142" t="s">
        <v>313</v>
      </c>
      <c r="D79" s="143">
        <v>2022</v>
      </c>
      <c r="E79" s="117"/>
      <c r="F79" s="118" t="s">
        <v>1497</v>
      </c>
      <c r="G79" s="126"/>
      <c r="H79" s="126"/>
      <c r="I79" s="126"/>
      <c r="J79" s="120">
        <f t="shared" ref="J79:M79" si="78">IF(ISTEXT(F79), 1, 0)</f>
        <v>1</v>
      </c>
      <c r="K79" s="121">
        <f t="shared" si="78"/>
        <v>0</v>
      </c>
      <c r="L79" s="122">
        <f t="shared" si="78"/>
        <v>0</v>
      </c>
      <c r="M79" s="123">
        <f t="shared" si="78"/>
        <v>0</v>
      </c>
      <c r="N79" s="42">
        <f t="shared" si="1"/>
        <v>1</v>
      </c>
    </row>
    <row r="80" spans="1:14" ht="19.5" customHeight="1">
      <c r="A80" s="4" t="s">
        <v>315</v>
      </c>
      <c r="B80" s="142" t="s">
        <v>316</v>
      </c>
      <c r="C80" s="142" t="s">
        <v>317</v>
      </c>
      <c r="D80" s="143">
        <v>2022</v>
      </c>
      <c r="E80" s="117"/>
      <c r="F80" s="118" t="s">
        <v>1565</v>
      </c>
      <c r="G80" s="126"/>
      <c r="H80" s="126"/>
      <c r="I80" s="126"/>
      <c r="J80" s="120">
        <f t="shared" ref="J80:M80" si="79">IF(ISTEXT(F80), 1, 0)</f>
        <v>1</v>
      </c>
      <c r="K80" s="121">
        <f t="shared" si="79"/>
        <v>0</v>
      </c>
      <c r="L80" s="122">
        <f t="shared" si="79"/>
        <v>0</v>
      </c>
      <c r="M80" s="123">
        <f t="shared" si="79"/>
        <v>0</v>
      </c>
      <c r="N80" s="42">
        <f t="shared" si="1"/>
        <v>1</v>
      </c>
    </row>
    <row r="81" spans="1:14" ht="19.5" customHeight="1">
      <c r="A81" s="4" t="s">
        <v>319</v>
      </c>
      <c r="B81" s="142" t="s">
        <v>320</v>
      </c>
      <c r="C81" s="142" t="s">
        <v>321</v>
      </c>
      <c r="D81" s="143">
        <v>2022</v>
      </c>
      <c r="E81" s="117"/>
      <c r="F81" s="118" t="s">
        <v>1497</v>
      </c>
      <c r="G81" s="126"/>
      <c r="H81" s="126"/>
      <c r="I81" s="126"/>
      <c r="J81" s="120">
        <f t="shared" ref="J81:M81" si="80">IF(ISTEXT(F81), 1, 0)</f>
        <v>1</v>
      </c>
      <c r="K81" s="121">
        <f t="shared" si="80"/>
        <v>0</v>
      </c>
      <c r="L81" s="122">
        <f t="shared" si="80"/>
        <v>0</v>
      </c>
      <c r="M81" s="123">
        <f t="shared" si="80"/>
        <v>0</v>
      </c>
      <c r="N81" s="42">
        <f t="shared" si="1"/>
        <v>1</v>
      </c>
    </row>
    <row r="82" spans="1:14" ht="19.5" customHeight="1">
      <c r="A82" s="4" t="s">
        <v>323</v>
      </c>
      <c r="B82" s="142" t="s">
        <v>324</v>
      </c>
      <c r="C82" s="142" t="s">
        <v>325</v>
      </c>
      <c r="D82" s="143">
        <v>2022</v>
      </c>
      <c r="E82" s="117"/>
      <c r="F82" s="118" t="s">
        <v>1572</v>
      </c>
      <c r="G82" s="126"/>
      <c r="H82" s="126"/>
      <c r="I82" s="126"/>
      <c r="J82" s="120">
        <f t="shared" ref="J82:M82" si="81">IF(ISTEXT(F82), 1, 0)</f>
        <v>1</v>
      </c>
      <c r="K82" s="121">
        <f t="shared" si="81"/>
        <v>0</v>
      </c>
      <c r="L82" s="122">
        <f t="shared" si="81"/>
        <v>0</v>
      </c>
      <c r="M82" s="123">
        <f t="shared" si="81"/>
        <v>0</v>
      </c>
      <c r="N82" s="42">
        <f t="shared" si="1"/>
        <v>1</v>
      </c>
    </row>
    <row r="83" spans="1:14" ht="19.5" customHeight="1">
      <c r="A83" s="4" t="s">
        <v>327</v>
      </c>
      <c r="B83" s="142" t="s">
        <v>328</v>
      </c>
      <c r="C83" s="142" t="s">
        <v>329</v>
      </c>
      <c r="D83" s="143">
        <v>2022</v>
      </c>
      <c r="E83" s="117"/>
      <c r="F83" s="118" t="s">
        <v>1574</v>
      </c>
      <c r="G83" s="126"/>
      <c r="H83" s="126"/>
      <c r="I83" s="126"/>
      <c r="J83" s="120">
        <f t="shared" ref="J83:M83" si="82">IF(ISTEXT(F83), 1, 0)</f>
        <v>1</v>
      </c>
      <c r="K83" s="121">
        <f t="shared" si="82"/>
        <v>0</v>
      </c>
      <c r="L83" s="122">
        <f t="shared" si="82"/>
        <v>0</v>
      </c>
      <c r="M83" s="123">
        <f t="shared" si="82"/>
        <v>0</v>
      </c>
      <c r="N83" s="42">
        <f t="shared" si="1"/>
        <v>1</v>
      </c>
    </row>
    <row r="84" spans="1:14" ht="19.5" customHeight="1">
      <c r="A84" s="4" t="s">
        <v>331</v>
      </c>
      <c r="B84" s="142" t="s">
        <v>332</v>
      </c>
      <c r="C84" s="142" t="s">
        <v>333</v>
      </c>
      <c r="D84" s="143">
        <v>2022</v>
      </c>
      <c r="E84" s="117"/>
      <c r="F84" s="118" t="s">
        <v>1565</v>
      </c>
      <c r="G84" s="126"/>
      <c r="H84" s="126"/>
      <c r="I84" s="126"/>
      <c r="J84" s="120">
        <f t="shared" ref="J84:M84" si="83">IF(ISTEXT(F84), 1, 0)</f>
        <v>1</v>
      </c>
      <c r="K84" s="121">
        <f t="shared" si="83"/>
        <v>0</v>
      </c>
      <c r="L84" s="122">
        <f t="shared" si="83"/>
        <v>0</v>
      </c>
      <c r="M84" s="123">
        <f t="shared" si="83"/>
        <v>0</v>
      </c>
      <c r="N84" s="42">
        <f t="shared" si="1"/>
        <v>1</v>
      </c>
    </row>
    <row r="85" spans="1:14" ht="19.5" customHeight="1">
      <c r="A85" s="4" t="s">
        <v>335</v>
      </c>
      <c r="B85" s="142" t="s">
        <v>336</v>
      </c>
      <c r="C85" s="142" t="s">
        <v>313</v>
      </c>
      <c r="D85" s="143">
        <v>2022</v>
      </c>
      <c r="E85" s="117"/>
      <c r="F85" s="118" t="s">
        <v>1565</v>
      </c>
      <c r="G85" s="126"/>
      <c r="H85" s="126"/>
      <c r="I85" s="126"/>
      <c r="J85" s="120">
        <f t="shared" ref="J85:M85" si="84">IF(ISTEXT(F85), 1, 0)</f>
        <v>1</v>
      </c>
      <c r="K85" s="121">
        <f t="shared" si="84"/>
        <v>0</v>
      </c>
      <c r="L85" s="122">
        <f t="shared" si="84"/>
        <v>0</v>
      </c>
      <c r="M85" s="123">
        <f t="shared" si="84"/>
        <v>0</v>
      </c>
      <c r="N85" s="42">
        <f t="shared" si="1"/>
        <v>1</v>
      </c>
    </row>
    <row r="86" spans="1:14" ht="19.5" customHeight="1">
      <c r="A86" s="131" t="s">
        <v>338</v>
      </c>
      <c r="B86" s="151" t="s">
        <v>339</v>
      </c>
      <c r="C86" s="151" t="s">
        <v>340</v>
      </c>
      <c r="D86" s="152">
        <v>2022</v>
      </c>
      <c r="E86" s="135"/>
      <c r="F86" s="136" t="s">
        <v>1497</v>
      </c>
      <c r="G86" s="137"/>
      <c r="H86" s="137"/>
      <c r="I86" s="137"/>
      <c r="J86" s="138">
        <f t="shared" ref="J86:M86" si="85">IF(ISTEXT(F86), 1, 0)</f>
        <v>1</v>
      </c>
      <c r="K86" s="139">
        <f t="shared" si="85"/>
        <v>0</v>
      </c>
      <c r="L86" s="140">
        <f t="shared" si="85"/>
        <v>0</v>
      </c>
      <c r="M86" s="141">
        <f t="shared" si="85"/>
        <v>0</v>
      </c>
      <c r="N86" s="42">
        <f t="shared" si="1"/>
        <v>1</v>
      </c>
    </row>
    <row r="87" spans="1:14" ht="19.5" customHeight="1">
      <c r="A87" s="4" t="s">
        <v>366</v>
      </c>
      <c r="B87" s="115" t="s">
        <v>367</v>
      </c>
      <c r="C87" s="28" t="s">
        <v>368</v>
      </c>
      <c r="D87" s="116">
        <v>2023</v>
      </c>
      <c r="E87" s="48"/>
      <c r="F87" s="176" t="s">
        <v>1576</v>
      </c>
      <c r="G87" s="46"/>
      <c r="H87" s="46"/>
      <c r="I87" s="46" t="s">
        <v>1577</v>
      </c>
      <c r="J87" s="147">
        <f t="shared" ref="J87:M87" si="86">IF(ISTEXT(F87), 1, 0)</f>
        <v>1</v>
      </c>
      <c r="K87" s="148">
        <f t="shared" si="86"/>
        <v>0</v>
      </c>
      <c r="L87" s="149">
        <f t="shared" si="86"/>
        <v>0</v>
      </c>
      <c r="M87" s="150">
        <f t="shared" si="86"/>
        <v>1</v>
      </c>
      <c r="N87" s="42">
        <f t="shared" si="1"/>
        <v>2</v>
      </c>
    </row>
    <row r="88" spans="1:14" ht="19.5" customHeight="1">
      <c r="A88" s="4" t="s">
        <v>370</v>
      </c>
      <c r="B88" s="125" t="s">
        <v>371</v>
      </c>
      <c r="C88" s="28" t="s">
        <v>372</v>
      </c>
      <c r="D88" s="116">
        <v>2023</v>
      </c>
      <c r="E88" s="48"/>
      <c r="F88" s="177" t="s">
        <v>1578</v>
      </c>
      <c r="G88" s="49"/>
      <c r="H88" s="49"/>
      <c r="I88" s="49" t="s">
        <v>1502</v>
      </c>
      <c r="J88" s="120">
        <f t="shared" ref="J88:M88" si="87">IF(ISTEXT(F88), 1, 0)</f>
        <v>1</v>
      </c>
      <c r="K88" s="121">
        <f t="shared" si="87"/>
        <v>0</v>
      </c>
      <c r="L88" s="122">
        <f t="shared" si="87"/>
        <v>0</v>
      </c>
      <c r="M88" s="123">
        <f t="shared" si="87"/>
        <v>1</v>
      </c>
      <c r="N88" s="42">
        <f t="shared" si="1"/>
        <v>2</v>
      </c>
    </row>
    <row r="89" spans="1:14" ht="19.5" customHeight="1">
      <c r="A89" s="4" t="s">
        <v>374</v>
      </c>
      <c r="B89" s="115" t="s">
        <v>375</v>
      </c>
      <c r="C89" s="28" t="s">
        <v>376</v>
      </c>
      <c r="D89" s="116">
        <v>2023</v>
      </c>
      <c r="E89" s="48"/>
      <c r="F89" s="177" t="s">
        <v>1580</v>
      </c>
      <c r="G89" s="49"/>
      <c r="H89" s="49"/>
      <c r="I89" s="49"/>
      <c r="J89" s="120">
        <f t="shared" ref="J89:M89" si="88">IF(ISTEXT(F89), 1, 0)</f>
        <v>1</v>
      </c>
      <c r="K89" s="121">
        <f t="shared" si="88"/>
        <v>0</v>
      </c>
      <c r="L89" s="122">
        <f t="shared" si="88"/>
        <v>0</v>
      </c>
      <c r="M89" s="123">
        <f t="shared" si="88"/>
        <v>0</v>
      </c>
      <c r="N89" s="42">
        <f t="shared" si="1"/>
        <v>1</v>
      </c>
    </row>
    <row r="90" spans="1:14" ht="19.5" customHeight="1">
      <c r="A90" s="4" t="s">
        <v>378</v>
      </c>
      <c r="B90" s="125" t="s">
        <v>379</v>
      </c>
      <c r="C90" s="28" t="s">
        <v>380</v>
      </c>
      <c r="D90" s="116">
        <v>2023</v>
      </c>
      <c r="E90" s="48"/>
      <c r="F90" s="177" t="s">
        <v>1498</v>
      </c>
      <c r="G90" s="49"/>
      <c r="H90" s="49"/>
      <c r="I90" s="49"/>
      <c r="J90" s="120">
        <f t="shared" ref="J90:M90" si="89">IF(ISTEXT(F90), 1, 0)</f>
        <v>1</v>
      </c>
      <c r="K90" s="121">
        <f t="shared" si="89"/>
        <v>0</v>
      </c>
      <c r="L90" s="122">
        <f t="shared" si="89"/>
        <v>0</v>
      </c>
      <c r="M90" s="123">
        <f t="shared" si="89"/>
        <v>0</v>
      </c>
      <c r="N90" s="42">
        <f t="shared" si="1"/>
        <v>1</v>
      </c>
    </row>
    <row r="91" spans="1:14" ht="19.5" customHeight="1">
      <c r="A91" s="4" t="s">
        <v>382</v>
      </c>
      <c r="B91" s="115" t="s">
        <v>383</v>
      </c>
      <c r="C91" s="28" t="s">
        <v>384</v>
      </c>
      <c r="D91" s="116">
        <v>2023</v>
      </c>
      <c r="E91" s="48"/>
      <c r="F91" s="177" t="s">
        <v>1582</v>
      </c>
      <c r="G91" s="49"/>
      <c r="H91" s="49"/>
      <c r="I91" s="49"/>
      <c r="J91" s="120">
        <f t="shared" ref="J91:M91" si="90">IF(ISTEXT(F91), 1, 0)</f>
        <v>1</v>
      </c>
      <c r="K91" s="121">
        <f t="shared" si="90"/>
        <v>0</v>
      </c>
      <c r="L91" s="122">
        <f t="shared" si="90"/>
        <v>0</v>
      </c>
      <c r="M91" s="123">
        <f t="shared" si="90"/>
        <v>0</v>
      </c>
      <c r="N91" s="42">
        <f t="shared" si="1"/>
        <v>1</v>
      </c>
    </row>
    <row r="92" spans="1:14" ht="19.5" customHeight="1">
      <c r="A92" s="4" t="s">
        <v>386</v>
      </c>
      <c r="B92" s="125" t="s">
        <v>387</v>
      </c>
      <c r="C92" s="28" t="s">
        <v>388</v>
      </c>
      <c r="D92" s="116">
        <v>2023</v>
      </c>
      <c r="E92" s="48"/>
      <c r="F92" s="177" t="s">
        <v>1583</v>
      </c>
      <c r="G92" s="49"/>
      <c r="H92" s="49"/>
      <c r="I92" s="49"/>
      <c r="J92" s="120">
        <f t="shared" ref="J92:M92" si="91">IF(ISTEXT(F92), 1, 0)</f>
        <v>1</v>
      </c>
      <c r="K92" s="121">
        <f t="shared" si="91"/>
        <v>0</v>
      </c>
      <c r="L92" s="122">
        <f t="shared" si="91"/>
        <v>0</v>
      </c>
      <c r="M92" s="123">
        <f t="shared" si="91"/>
        <v>0</v>
      </c>
      <c r="N92" s="42">
        <f t="shared" si="1"/>
        <v>1</v>
      </c>
    </row>
    <row r="93" spans="1:14" ht="19.5" customHeight="1">
      <c r="A93" s="4" t="s">
        <v>390</v>
      </c>
      <c r="B93" s="115" t="s">
        <v>391</v>
      </c>
      <c r="C93" s="28" t="s">
        <v>392</v>
      </c>
      <c r="D93" s="116">
        <v>2023</v>
      </c>
      <c r="E93" s="48"/>
      <c r="F93" s="177" t="s">
        <v>1584</v>
      </c>
      <c r="G93" s="49"/>
      <c r="H93" s="49"/>
      <c r="I93" s="49" t="s">
        <v>1585</v>
      </c>
      <c r="J93" s="120">
        <f t="shared" ref="J93:M93" si="92">IF(ISTEXT(F93), 1, 0)</f>
        <v>1</v>
      </c>
      <c r="K93" s="121">
        <f t="shared" si="92"/>
        <v>0</v>
      </c>
      <c r="L93" s="122">
        <f t="shared" si="92"/>
        <v>0</v>
      </c>
      <c r="M93" s="123">
        <f t="shared" si="92"/>
        <v>1</v>
      </c>
      <c r="N93" s="42">
        <f t="shared" si="1"/>
        <v>2</v>
      </c>
    </row>
    <row r="94" spans="1:14" ht="19.5" customHeight="1">
      <c r="A94" s="4" t="s">
        <v>394</v>
      </c>
      <c r="B94" s="125" t="s">
        <v>395</v>
      </c>
      <c r="C94" s="28" t="s">
        <v>396</v>
      </c>
      <c r="D94" s="116">
        <v>2023</v>
      </c>
      <c r="E94" s="48"/>
      <c r="F94" s="177" t="s">
        <v>1586</v>
      </c>
      <c r="G94" s="49"/>
      <c r="H94" s="49"/>
      <c r="I94" s="49" t="s">
        <v>1587</v>
      </c>
      <c r="J94" s="120">
        <f t="shared" ref="J94:M94" si="93">IF(ISTEXT(F94), 1, 0)</f>
        <v>1</v>
      </c>
      <c r="K94" s="121">
        <f t="shared" si="93"/>
        <v>0</v>
      </c>
      <c r="L94" s="122">
        <f t="shared" si="93"/>
        <v>0</v>
      </c>
      <c r="M94" s="123">
        <f t="shared" si="93"/>
        <v>1</v>
      </c>
      <c r="N94" s="42">
        <f t="shared" si="1"/>
        <v>2</v>
      </c>
    </row>
    <row r="95" spans="1:14" ht="19.5" customHeight="1">
      <c r="A95" s="4" t="s">
        <v>398</v>
      </c>
      <c r="B95" s="115" t="s">
        <v>399</v>
      </c>
      <c r="C95" s="28" t="s">
        <v>400</v>
      </c>
      <c r="D95" s="116">
        <v>2023</v>
      </c>
      <c r="E95" s="48"/>
      <c r="F95" s="177" t="s">
        <v>1588</v>
      </c>
      <c r="G95" s="49"/>
      <c r="H95" s="49"/>
      <c r="I95" s="49" t="s">
        <v>1589</v>
      </c>
      <c r="J95" s="120">
        <f t="shared" ref="J95:M95" si="94">IF(ISTEXT(F95), 1, 0)</f>
        <v>1</v>
      </c>
      <c r="K95" s="121">
        <f t="shared" si="94"/>
        <v>0</v>
      </c>
      <c r="L95" s="122">
        <f t="shared" si="94"/>
        <v>0</v>
      </c>
      <c r="M95" s="123">
        <f t="shared" si="94"/>
        <v>1</v>
      </c>
      <c r="N95" s="42">
        <f t="shared" si="1"/>
        <v>2</v>
      </c>
    </row>
    <row r="96" spans="1:14" ht="19.5" customHeight="1">
      <c r="A96" s="4" t="s">
        <v>402</v>
      </c>
      <c r="B96" s="125" t="s">
        <v>403</v>
      </c>
      <c r="C96" s="28" t="s">
        <v>404</v>
      </c>
      <c r="D96" s="116">
        <v>2023</v>
      </c>
      <c r="E96" s="130"/>
      <c r="F96" s="128" t="s">
        <v>1590</v>
      </c>
      <c r="G96" s="126"/>
      <c r="H96" s="126"/>
      <c r="I96" s="126" t="s">
        <v>1591</v>
      </c>
      <c r="J96" s="120">
        <f t="shared" ref="J96:M96" si="95">IF(ISTEXT(F96), 1, 0)</f>
        <v>1</v>
      </c>
      <c r="K96" s="121">
        <f t="shared" si="95"/>
        <v>0</v>
      </c>
      <c r="L96" s="122">
        <f t="shared" si="95"/>
        <v>0</v>
      </c>
      <c r="M96" s="123">
        <f t="shared" si="95"/>
        <v>1</v>
      </c>
      <c r="N96" s="42">
        <f t="shared" si="1"/>
        <v>2</v>
      </c>
    </row>
    <row r="97" spans="1:14" ht="19.5" customHeight="1">
      <c r="A97" s="4" t="s">
        <v>406</v>
      </c>
      <c r="B97" s="115" t="s">
        <v>407</v>
      </c>
      <c r="C97" s="28" t="s">
        <v>408</v>
      </c>
      <c r="D97" s="116">
        <v>2023</v>
      </c>
      <c r="E97" s="130"/>
      <c r="F97" s="128" t="s">
        <v>1593</v>
      </c>
      <c r="G97" s="126"/>
      <c r="H97" s="126"/>
      <c r="I97" s="126"/>
      <c r="J97" s="120">
        <f t="shared" ref="J97:M97" si="96">IF(ISTEXT(F97), 1, 0)</f>
        <v>1</v>
      </c>
      <c r="K97" s="121">
        <f t="shared" si="96"/>
        <v>0</v>
      </c>
      <c r="L97" s="122">
        <f t="shared" si="96"/>
        <v>0</v>
      </c>
      <c r="M97" s="123">
        <f t="shared" si="96"/>
        <v>0</v>
      </c>
      <c r="N97" s="42">
        <f t="shared" si="1"/>
        <v>1</v>
      </c>
    </row>
    <row r="98" spans="1:14" ht="19.5" customHeight="1">
      <c r="A98" s="4" t="s">
        <v>410</v>
      </c>
      <c r="B98" s="125" t="s">
        <v>411</v>
      </c>
      <c r="C98" s="28" t="s">
        <v>412</v>
      </c>
      <c r="D98" s="116">
        <v>2023</v>
      </c>
      <c r="E98" s="130"/>
      <c r="F98" s="128" t="s">
        <v>1543</v>
      </c>
      <c r="G98" s="126"/>
      <c r="H98" s="126"/>
      <c r="I98" s="126"/>
      <c r="J98" s="120">
        <f t="shared" ref="J98:M98" si="97">IF(ISTEXT(F98), 1, 0)</f>
        <v>1</v>
      </c>
      <c r="K98" s="121">
        <f t="shared" si="97"/>
        <v>0</v>
      </c>
      <c r="L98" s="122">
        <f t="shared" si="97"/>
        <v>0</v>
      </c>
      <c r="M98" s="123">
        <f t="shared" si="97"/>
        <v>0</v>
      </c>
      <c r="N98" s="42">
        <f t="shared" si="1"/>
        <v>1</v>
      </c>
    </row>
    <row r="99" spans="1:14" ht="19.5" customHeight="1">
      <c r="A99" s="4" t="s">
        <v>414</v>
      </c>
      <c r="B99" s="115" t="s">
        <v>415</v>
      </c>
      <c r="C99" s="28" t="s">
        <v>416</v>
      </c>
      <c r="D99" s="116">
        <v>2023</v>
      </c>
      <c r="E99" s="117"/>
      <c r="F99" s="118" t="s">
        <v>1565</v>
      </c>
      <c r="G99" s="119" t="s">
        <v>1416</v>
      </c>
      <c r="H99" s="126"/>
      <c r="I99" s="119" t="s">
        <v>1596</v>
      </c>
      <c r="J99" s="120">
        <f t="shared" ref="J99:M99" si="98">IF(ISTEXT(F99), 1, 0)</f>
        <v>1</v>
      </c>
      <c r="K99" s="121">
        <f t="shared" si="98"/>
        <v>1</v>
      </c>
      <c r="L99" s="122">
        <f t="shared" si="98"/>
        <v>0</v>
      </c>
      <c r="M99" s="123">
        <f t="shared" si="98"/>
        <v>1</v>
      </c>
      <c r="N99" s="42">
        <f t="shared" si="1"/>
        <v>3</v>
      </c>
    </row>
    <row r="100" spans="1:14" ht="19.5" customHeight="1">
      <c r="A100" s="4" t="s">
        <v>418</v>
      </c>
      <c r="B100" s="125" t="s">
        <v>419</v>
      </c>
      <c r="C100" s="28" t="s">
        <v>420</v>
      </c>
      <c r="D100" s="116">
        <v>2023</v>
      </c>
      <c r="E100" s="117"/>
      <c r="F100" s="118" t="s">
        <v>1565</v>
      </c>
      <c r="G100" s="119" t="s">
        <v>1598</v>
      </c>
      <c r="H100" s="126"/>
      <c r="I100" s="119" t="s">
        <v>1566</v>
      </c>
      <c r="J100" s="120">
        <f t="shared" ref="J100:M100" si="99">IF(ISTEXT(F100), 1, 0)</f>
        <v>1</v>
      </c>
      <c r="K100" s="121">
        <f t="shared" si="99"/>
        <v>1</v>
      </c>
      <c r="L100" s="122">
        <f t="shared" si="99"/>
        <v>0</v>
      </c>
      <c r="M100" s="123">
        <f t="shared" si="99"/>
        <v>1</v>
      </c>
      <c r="N100" s="42">
        <f t="shared" si="1"/>
        <v>3</v>
      </c>
    </row>
    <row r="101" spans="1:14" ht="19.5" customHeight="1">
      <c r="A101" s="4" t="s">
        <v>342</v>
      </c>
      <c r="B101" s="115" t="s">
        <v>343</v>
      </c>
      <c r="C101" s="28" t="s">
        <v>344</v>
      </c>
      <c r="D101" s="116">
        <v>2023</v>
      </c>
      <c r="E101" s="117"/>
      <c r="F101" s="118" t="s">
        <v>1423</v>
      </c>
      <c r="G101" s="126"/>
      <c r="H101" s="126"/>
      <c r="I101" s="126"/>
      <c r="J101" s="120">
        <f t="shared" ref="J101:M101" si="100">IF(ISTEXT(F101), 1, 0)</f>
        <v>1</v>
      </c>
      <c r="K101" s="121">
        <f t="shared" si="100"/>
        <v>0</v>
      </c>
      <c r="L101" s="122">
        <f t="shared" si="100"/>
        <v>0</v>
      </c>
      <c r="M101" s="123">
        <f t="shared" si="100"/>
        <v>0</v>
      </c>
      <c r="N101" s="42">
        <f t="shared" si="1"/>
        <v>1</v>
      </c>
    </row>
    <row r="102" spans="1:14" ht="19.5" customHeight="1">
      <c r="A102" s="4" t="s">
        <v>346</v>
      </c>
      <c r="B102" s="125" t="s">
        <v>347</v>
      </c>
      <c r="C102" s="28" t="s">
        <v>348</v>
      </c>
      <c r="D102" s="116">
        <v>2023</v>
      </c>
      <c r="E102" s="117"/>
      <c r="F102" s="118" t="s">
        <v>1600</v>
      </c>
      <c r="G102" s="126"/>
      <c r="H102" s="126"/>
      <c r="I102" s="126"/>
      <c r="J102" s="120">
        <f t="shared" ref="J102:M102" si="101">IF(ISTEXT(F102), 1, 0)</f>
        <v>1</v>
      </c>
      <c r="K102" s="121">
        <f t="shared" si="101"/>
        <v>0</v>
      </c>
      <c r="L102" s="122">
        <f t="shared" si="101"/>
        <v>0</v>
      </c>
      <c r="M102" s="123">
        <f t="shared" si="101"/>
        <v>0</v>
      </c>
      <c r="N102" s="42">
        <f t="shared" si="1"/>
        <v>1</v>
      </c>
    </row>
    <row r="103" spans="1:14" ht="19.5" customHeight="1">
      <c r="A103" s="4" t="s">
        <v>350</v>
      </c>
      <c r="B103" s="115" t="s">
        <v>351</v>
      </c>
      <c r="C103" s="28" t="s">
        <v>352</v>
      </c>
      <c r="D103" s="116">
        <v>2023</v>
      </c>
      <c r="E103" s="130"/>
      <c r="F103" s="128" t="s">
        <v>897</v>
      </c>
      <c r="G103" s="126"/>
      <c r="H103" s="126"/>
      <c r="I103" s="126"/>
      <c r="J103" s="120">
        <f t="shared" ref="J103:M103" si="102">IF(ISTEXT(F103), 1, 0)</f>
        <v>1</v>
      </c>
      <c r="K103" s="121">
        <f t="shared" si="102"/>
        <v>0</v>
      </c>
      <c r="L103" s="122">
        <f t="shared" si="102"/>
        <v>0</v>
      </c>
      <c r="M103" s="123">
        <f t="shared" si="102"/>
        <v>0</v>
      </c>
      <c r="N103" s="42">
        <f t="shared" si="1"/>
        <v>1</v>
      </c>
    </row>
    <row r="104" spans="1:14" ht="19.5" customHeight="1">
      <c r="A104" s="4" t="s">
        <v>354</v>
      </c>
      <c r="B104" s="28" t="s">
        <v>1650</v>
      </c>
      <c r="C104" s="28" t="s">
        <v>356</v>
      </c>
      <c r="D104" s="116">
        <v>2023</v>
      </c>
      <c r="E104" s="130"/>
      <c r="F104" s="128" t="s">
        <v>1602</v>
      </c>
      <c r="G104" s="119" t="s">
        <v>1603</v>
      </c>
      <c r="H104" s="126"/>
      <c r="I104" s="119" t="s">
        <v>1426</v>
      </c>
      <c r="J104" s="120">
        <f t="shared" ref="J104:M104" si="103">IF(ISTEXT(F104), 1, 0)</f>
        <v>1</v>
      </c>
      <c r="K104" s="121">
        <f t="shared" si="103"/>
        <v>1</v>
      </c>
      <c r="L104" s="122">
        <f t="shared" si="103"/>
        <v>0</v>
      </c>
      <c r="M104" s="123">
        <f t="shared" si="103"/>
        <v>1</v>
      </c>
      <c r="N104" s="42">
        <f t="shared" si="1"/>
        <v>3</v>
      </c>
    </row>
    <row r="105" spans="1:14" ht="19.5" customHeight="1">
      <c r="A105" s="4" t="s">
        <v>358</v>
      </c>
      <c r="B105" s="115" t="s">
        <v>359</v>
      </c>
      <c r="C105" s="28" t="s">
        <v>360</v>
      </c>
      <c r="D105" s="116">
        <v>2023</v>
      </c>
      <c r="E105" s="117"/>
      <c r="F105" s="118" t="s">
        <v>1563</v>
      </c>
      <c r="G105" s="126"/>
      <c r="H105" s="126"/>
      <c r="I105" s="126"/>
      <c r="J105" s="120">
        <f t="shared" ref="J105:M105" si="104">IF(ISTEXT(F105), 1, 0)</f>
        <v>1</v>
      </c>
      <c r="K105" s="121">
        <f t="shared" si="104"/>
        <v>0</v>
      </c>
      <c r="L105" s="122">
        <f t="shared" si="104"/>
        <v>0</v>
      </c>
      <c r="M105" s="123">
        <f t="shared" si="104"/>
        <v>0</v>
      </c>
      <c r="N105" s="42">
        <f t="shared" si="1"/>
        <v>1</v>
      </c>
    </row>
    <row r="106" spans="1:14" ht="19.5" customHeight="1">
      <c r="A106" s="131" t="s">
        <v>362</v>
      </c>
      <c r="B106" s="159" t="s">
        <v>363</v>
      </c>
      <c r="C106" s="133" t="s">
        <v>364</v>
      </c>
      <c r="D106" s="134">
        <v>2023</v>
      </c>
      <c r="E106" s="135"/>
      <c r="F106" s="136" t="s">
        <v>1497</v>
      </c>
      <c r="G106" s="137"/>
      <c r="H106" s="137"/>
      <c r="I106" s="137"/>
      <c r="J106" s="138">
        <f t="shared" ref="J106:M106" si="105">IF(ISTEXT(F106), 1, 0)</f>
        <v>1</v>
      </c>
      <c r="K106" s="139">
        <f t="shared" si="105"/>
        <v>0</v>
      </c>
      <c r="L106" s="140">
        <f t="shared" si="105"/>
        <v>0</v>
      </c>
      <c r="M106" s="141">
        <f t="shared" si="105"/>
        <v>0</v>
      </c>
      <c r="N106" s="42">
        <f t="shared" si="1"/>
        <v>1</v>
      </c>
    </row>
    <row r="107" spans="1:14" ht="19.5" customHeight="1">
      <c r="A107" s="4" t="s">
        <v>422</v>
      </c>
      <c r="B107" s="18" t="s">
        <v>423</v>
      </c>
      <c r="C107" s="18" t="s">
        <v>424</v>
      </c>
      <c r="D107" s="178">
        <v>2024</v>
      </c>
      <c r="E107" s="130"/>
      <c r="F107" s="144" t="s">
        <v>1605</v>
      </c>
      <c r="G107" s="146"/>
      <c r="H107" s="146"/>
      <c r="I107" s="146"/>
      <c r="J107" s="147">
        <f t="shared" ref="J107:M107" si="106">IF(ISTEXT(F107), 1, 0)</f>
        <v>1</v>
      </c>
      <c r="K107" s="148">
        <f t="shared" si="106"/>
        <v>0</v>
      </c>
      <c r="L107" s="149">
        <f t="shared" si="106"/>
        <v>0</v>
      </c>
      <c r="M107" s="150">
        <f t="shared" si="106"/>
        <v>0</v>
      </c>
      <c r="N107" s="42">
        <f t="shared" si="1"/>
        <v>1</v>
      </c>
    </row>
    <row r="108" spans="1:14" ht="19.5" customHeight="1">
      <c r="A108" s="4" t="s">
        <v>426</v>
      </c>
      <c r="B108" s="18" t="s">
        <v>427</v>
      </c>
      <c r="C108" s="18" t="s">
        <v>428</v>
      </c>
      <c r="D108" s="178">
        <v>2024</v>
      </c>
      <c r="E108" s="130"/>
      <c r="F108" s="128"/>
      <c r="G108" s="126"/>
      <c r="H108" s="126" t="s">
        <v>1606</v>
      </c>
      <c r="I108" s="126" t="s">
        <v>1607</v>
      </c>
      <c r="J108" s="120">
        <f t="shared" ref="J108:M108" si="107">IF(ISTEXT(F108), 1, 0)</f>
        <v>0</v>
      </c>
      <c r="K108" s="121">
        <f t="shared" si="107"/>
        <v>0</v>
      </c>
      <c r="L108" s="122">
        <f t="shared" si="107"/>
        <v>1</v>
      </c>
      <c r="M108" s="123">
        <f t="shared" si="107"/>
        <v>1</v>
      </c>
      <c r="N108" s="42">
        <f t="shared" si="1"/>
        <v>2</v>
      </c>
    </row>
    <row r="109" spans="1:14" ht="19.5" customHeight="1">
      <c r="A109" s="4" t="s">
        <v>430</v>
      </c>
      <c r="B109" s="18" t="s">
        <v>431</v>
      </c>
      <c r="C109" s="18" t="s">
        <v>432</v>
      </c>
      <c r="D109" s="178">
        <v>2024</v>
      </c>
      <c r="E109" s="130"/>
      <c r="F109" s="128" t="s">
        <v>1608</v>
      </c>
      <c r="G109" s="126"/>
      <c r="H109" s="126"/>
      <c r="I109" s="126"/>
      <c r="J109" s="120">
        <f t="shared" ref="J109:M109" si="108">IF(ISTEXT(F109), 1, 0)</f>
        <v>1</v>
      </c>
      <c r="K109" s="121">
        <f t="shared" si="108"/>
        <v>0</v>
      </c>
      <c r="L109" s="122">
        <f t="shared" si="108"/>
        <v>0</v>
      </c>
      <c r="M109" s="123">
        <f t="shared" si="108"/>
        <v>0</v>
      </c>
      <c r="N109" s="42">
        <f t="shared" si="1"/>
        <v>1</v>
      </c>
    </row>
    <row r="110" spans="1:14" ht="19.5" customHeight="1">
      <c r="A110" s="4" t="s">
        <v>434</v>
      </c>
      <c r="B110" s="18" t="s">
        <v>435</v>
      </c>
      <c r="C110" s="18" t="s">
        <v>436</v>
      </c>
      <c r="D110" s="178">
        <v>2024</v>
      </c>
      <c r="E110" s="130"/>
      <c r="F110" s="128" t="s">
        <v>1609</v>
      </c>
      <c r="G110" s="126"/>
      <c r="H110" s="126"/>
      <c r="I110" s="126" t="s">
        <v>1610</v>
      </c>
      <c r="J110" s="120">
        <f t="shared" ref="J110:M110" si="109">IF(ISTEXT(F110), 1, 0)</f>
        <v>1</v>
      </c>
      <c r="K110" s="121">
        <f t="shared" si="109"/>
        <v>0</v>
      </c>
      <c r="L110" s="122">
        <f t="shared" si="109"/>
        <v>0</v>
      </c>
      <c r="M110" s="123">
        <f t="shared" si="109"/>
        <v>1</v>
      </c>
      <c r="N110" s="42">
        <f t="shared" si="1"/>
        <v>2</v>
      </c>
    </row>
    <row r="111" spans="1:14" ht="19.5" customHeight="1">
      <c r="A111" s="4" t="s">
        <v>438</v>
      </c>
      <c r="B111" s="18" t="s">
        <v>439</v>
      </c>
      <c r="C111" s="18" t="s">
        <v>440</v>
      </c>
      <c r="D111" s="178">
        <v>2024</v>
      </c>
      <c r="E111" s="130"/>
      <c r="F111" s="128" t="s">
        <v>1611</v>
      </c>
      <c r="G111" s="126"/>
      <c r="H111" s="126" t="s">
        <v>1612</v>
      </c>
      <c r="I111" s="126" t="s">
        <v>1613</v>
      </c>
      <c r="J111" s="120">
        <f t="shared" ref="J111:M111" si="110">IF(ISTEXT(F111), 1, 0)</f>
        <v>1</v>
      </c>
      <c r="K111" s="121">
        <f t="shared" si="110"/>
        <v>0</v>
      </c>
      <c r="L111" s="122">
        <f t="shared" si="110"/>
        <v>1</v>
      </c>
      <c r="M111" s="123">
        <f t="shared" si="110"/>
        <v>1</v>
      </c>
      <c r="N111" s="42">
        <f t="shared" si="1"/>
        <v>3</v>
      </c>
    </row>
    <row r="112" spans="1:14" ht="19.5" customHeight="1">
      <c r="A112" s="4" t="s">
        <v>442</v>
      </c>
      <c r="B112" s="18" t="s">
        <v>443</v>
      </c>
      <c r="C112" s="18" t="s">
        <v>444</v>
      </c>
      <c r="D112" s="178">
        <v>2024</v>
      </c>
      <c r="E112" s="130"/>
      <c r="F112" s="128" t="s">
        <v>1615</v>
      </c>
      <c r="G112" s="126"/>
      <c r="H112" s="126"/>
      <c r="I112" s="126"/>
      <c r="J112" s="120">
        <f t="shared" ref="J112:M112" si="111">IF(ISTEXT(F112), 1, 0)</f>
        <v>1</v>
      </c>
      <c r="K112" s="121">
        <f t="shared" si="111"/>
        <v>0</v>
      </c>
      <c r="L112" s="122">
        <f t="shared" si="111"/>
        <v>0</v>
      </c>
      <c r="M112" s="123">
        <f t="shared" si="111"/>
        <v>0</v>
      </c>
      <c r="N112" s="42">
        <f t="shared" si="1"/>
        <v>1</v>
      </c>
    </row>
    <row r="113" spans="1:26" ht="19.5" customHeight="1">
      <c r="A113" s="4" t="s">
        <v>446</v>
      </c>
      <c r="B113" s="18" t="s">
        <v>447</v>
      </c>
      <c r="C113" s="18" t="s">
        <v>448</v>
      </c>
      <c r="D113" s="178">
        <v>2024</v>
      </c>
      <c r="E113" s="130"/>
      <c r="F113" s="128" t="s">
        <v>1616</v>
      </c>
      <c r="G113" s="126"/>
      <c r="H113" s="126"/>
      <c r="I113" s="126" t="s">
        <v>1617</v>
      </c>
      <c r="J113" s="120">
        <f t="shared" ref="J113:M113" si="112">IF(ISTEXT(F113), 1, 0)</f>
        <v>1</v>
      </c>
      <c r="K113" s="121">
        <f t="shared" si="112"/>
        <v>0</v>
      </c>
      <c r="L113" s="122">
        <f t="shared" si="112"/>
        <v>0</v>
      </c>
      <c r="M113" s="123">
        <f t="shared" si="112"/>
        <v>1</v>
      </c>
      <c r="N113" s="42">
        <f t="shared" si="1"/>
        <v>2</v>
      </c>
    </row>
    <row r="114" spans="1:26" ht="19.5" customHeight="1">
      <c r="A114" s="4" t="s">
        <v>450</v>
      </c>
      <c r="B114" s="18" t="s">
        <v>451</v>
      </c>
      <c r="C114" s="18" t="s">
        <v>452</v>
      </c>
      <c r="D114" s="178">
        <v>2024</v>
      </c>
      <c r="E114" s="130"/>
      <c r="F114" s="128" t="s">
        <v>1618</v>
      </c>
      <c r="G114" s="126"/>
      <c r="H114" s="126"/>
      <c r="I114" s="126"/>
      <c r="J114" s="120">
        <f t="shared" ref="J114:M114" si="113">IF(ISTEXT(F114), 1, 0)</f>
        <v>1</v>
      </c>
      <c r="K114" s="121">
        <f t="shared" si="113"/>
        <v>0</v>
      </c>
      <c r="L114" s="122">
        <f t="shared" si="113"/>
        <v>0</v>
      </c>
      <c r="M114" s="123">
        <f t="shared" si="113"/>
        <v>0</v>
      </c>
      <c r="N114" s="42">
        <f t="shared" si="1"/>
        <v>1</v>
      </c>
      <c r="O114" s="179" t="s">
        <v>497</v>
      </c>
      <c r="P114" s="180" t="s">
        <v>1619</v>
      </c>
      <c r="Q114" s="33" t="s">
        <v>1409</v>
      </c>
      <c r="R114" s="33" t="s">
        <v>1410</v>
      </c>
      <c r="S114" s="33" t="s">
        <v>1411</v>
      </c>
      <c r="T114" s="33" t="s">
        <v>1412</v>
      </c>
      <c r="U114" s="74"/>
      <c r="V114" s="74"/>
      <c r="W114" s="74"/>
      <c r="X114" s="74"/>
      <c r="Y114" s="74"/>
      <c r="Z114" s="74"/>
    </row>
    <row r="115" spans="1:26" ht="19.5" customHeight="1">
      <c r="A115" s="4" t="s">
        <v>454</v>
      </c>
      <c r="B115" s="18" t="s">
        <v>455</v>
      </c>
      <c r="C115" s="18" t="s">
        <v>456</v>
      </c>
      <c r="D115" s="178">
        <v>2024</v>
      </c>
      <c r="E115" s="130"/>
      <c r="F115" s="128" t="s">
        <v>1620</v>
      </c>
      <c r="G115" s="126"/>
      <c r="H115" s="126"/>
      <c r="I115" s="126"/>
      <c r="J115" s="120">
        <f t="shared" ref="J115:M115" si="114">IF(ISTEXT(F115), 1, 0)</f>
        <v>1</v>
      </c>
      <c r="K115" s="121">
        <f t="shared" si="114"/>
        <v>0</v>
      </c>
      <c r="L115" s="122">
        <f t="shared" si="114"/>
        <v>0</v>
      </c>
      <c r="M115" s="181">
        <f t="shared" si="114"/>
        <v>0</v>
      </c>
      <c r="N115" s="42">
        <f t="shared" si="1"/>
        <v>1</v>
      </c>
      <c r="O115" s="179">
        <v>2015</v>
      </c>
      <c r="P115" s="182">
        <f t="shared" ref="P115:P124" si="115">COUNTIF($D:$D, O115)</f>
        <v>11</v>
      </c>
      <c r="Q115" s="120">
        <f t="shared" ref="Q115:T115" si="116">SUM(J2:J12)</f>
        <v>10</v>
      </c>
      <c r="R115" s="121">
        <f t="shared" si="116"/>
        <v>9</v>
      </c>
      <c r="S115" s="122">
        <f t="shared" si="116"/>
        <v>4</v>
      </c>
      <c r="T115" s="123">
        <f t="shared" si="116"/>
        <v>8</v>
      </c>
    </row>
    <row r="116" spans="1:26" ht="19.5" customHeight="1">
      <c r="A116" s="4" t="s">
        <v>458</v>
      </c>
      <c r="B116" s="18" t="s">
        <v>459</v>
      </c>
      <c r="C116" s="18" t="s">
        <v>460</v>
      </c>
      <c r="D116" s="178">
        <v>2024</v>
      </c>
      <c r="E116" s="130"/>
      <c r="F116" s="128" t="s">
        <v>1621</v>
      </c>
      <c r="G116" s="126"/>
      <c r="H116" s="126"/>
      <c r="I116" s="126"/>
      <c r="J116" s="120">
        <f t="shared" ref="J116:M116" si="117">IF(ISTEXT(F116), 1, 0)</f>
        <v>1</v>
      </c>
      <c r="K116" s="121">
        <f t="shared" si="117"/>
        <v>0</v>
      </c>
      <c r="L116" s="122">
        <f t="shared" si="117"/>
        <v>0</v>
      </c>
      <c r="M116" s="181">
        <f t="shared" si="117"/>
        <v>0</v>
      </c>
      <c r="N116" s="42">
        <f t="shared" si="1"/>
        <v>1</v>
      </c>
      <c r="O116" s="179">
        <v>2016</v>
      </c>
      <c r="P116" s="182">
        <f t="shared" si="115"/>
        <v>7</v>
      </c>
      <c r="Q116" s="120">
        <f t="shared" ref="Q116:T116" si="118">SUM(J13:J19)</f>
        <v>4</v>
      </c>
      <c r="R116" s="121">
        <f t="shared" si="118"/>
        <v>7</v>
      </c>
      <c r="S116" s="122">
        <f t="shared" si="118"/>
        <v>4</v>
      </c>
      <c r="T116" s="123">
        <f t="shared" si="118"/>
        <v>3</v>
      </c>
    </row>
    <row r="117" spans="1:26" ht="19.5" customHeight="1">
      <c r="A117" s="4" t="s">
        <v>462</v>
      </c>
      <c r="B117" s="18" t="s">
        <v>463</v>
      </c>
      <c r="C117" s="18" t="s">
        <v>464</v>
      </c>
      <c r="D117" s="178">
        <v>2024</v>
      </c>
      <c r="E117" s="130"/>
      <c r="F117" s="128" t="s">
        <v>1622</v>
      </c>
      <c r="G117" s="126" t="s">
        <v>1623</v>
      </c>
      <c r="H117" s="126" t="s">
        <v>1624</v>
      </c>
      <c r="I117" s="126" t="s">
        <v>1625</v>
      </c>
      <c r="J117" s="120">
        <f t="shared" ref="J117:M117" si="119">IF(ISTEXT(F117), 1, 0)</f>
        <v>1</v>
      </c>
      <c r="K117" s="121">
        <f t="shared" si="119"/>
        <v>1</v>
      </c>
      <c r="L117" s="122">
        <f t="shared" si="119"/>
        <v>1</v>
      </c>
      <c r="M117" s="181">
        <f t="shared" si="119"/>
        <v>1</v>
      </c>
      <c r="N117" s="42">
        <f t="shared" si="1"/>
        <v>4</v>
      </c>
      <c r="O117" s="179">
        <v>2017</v>
      </c>
      <c r="P117" s="182">
        <f t="shared" si="115"/>
        <v>9</v>
      </c>
      <c r="Q117" s="120">
        <f t="shared" ref="Q117:T117" si="120">SUM(J20:J28)</f>
        <v>8</v>
      </c>
      <c r="R117" s="121">
        <f t="shared" si="120"/>
        <v>4</v>
      </c>
      <c r="S117" s="122">
        <f t="shared" si="120"/>
        <v>2</v>
      </c>
      <c r="T117" s="123">
        <f t="shared" si="120"/>
        <v>7</v>
      </c>
    </row>
    <row r="118" spans="1:26" ht="19.5" customHeight="1">
      <c r="A118" s="4" t="s">
        <v>466</v>
      </c>
      <c r="B118" s="18" t="s">
        <v>467</v>
      </c>
      <c r="C118" s="18" t="s">
        <v>468</v>
      </c>
      <c r="D118" s="178">
        <v>2024</v>
      </c>
      <c r="E118" s="130"/>
      <c r="F118" s="128" t="s">
        <v>1627</v>
      </c>
      <c r="G118" s="126"/>
      <c r="H118" s="126"/>
      <c r="I118" s="126" t="s">
        <v>1627</v>
      </c>
      <c r="J118" s="120">
        <f t="shared" ref="J118:M118" si="121">IF(ISTEXT(F118), 1, 0)</f>
        <v>1</v>
      </c>
      <c r="K118" s="121">
        <f t="shared" si="121"/>
        <v>0</v>
      </c>
      <c r="L118" s="122">
        <f t="shared" si="121"/>
        <v>0</v>
      </c>
      <c r="M118" s="181">
        <f t="shared" si="121"/>
        <v>1</v>
      </c>
      <c r="N118" s="42">
        <f t="shared" si="1"/>
        <v>2</v>
      </c>
      <c r="O118" s="179">
        <v>2018</v>
      </c>
      <c r="P118" s="182">
        <f t="shared" si="115"/>
        <v>12</v>
      </c>
      <c r="Q118" s="120">
        <f t="shared" ref="Q118:T118" si="122">SUM(J29:J40)</f>
        <v>11</v>
      </c>
      <c r="R118" s="121">
        <f t="shared" si="122"/>
        <v>9</v>
      </c>
      <c r="S118" s="122">
        <f t="shared" si="122"/>
        <v>1</v>
      </c>
      <c r="T118" s="123">
        <f t="shared" si="122"/>
        <v>11</v>
      </c>
    </row>
    <row r="119" spans="1:26" ht="19.5" customHeight="1">
      <c r="A119" s="4" t="s">
        <v>470</v>
      </c>
      <c r="B119" s="18" t="s">
        <v>471</v>
      </c>
      <c r="C119" s="18" t="s">
        <v>472</v>
      </c>
      <c r="D119" s="178">
        <v>2024</v>
      </c>
      <c r="E119" s="130"/>
      <c r="F119" s="128"/>
      <c r="G119" s="126"/>
      <c r="H119" s="126" t="s">
        <v>1629</v>
      </c>
      <c r="I119" s="126" t="s">
        <v>1630</v>
      </c>
      <c r="J119" s="120">
        <f t="shared" ref="J119:M119" si="123">IF(ISTEXT(F119), 1, 0)</f>
        <v>0</v>
      </c>
      <c r="K119" s="121">
        <f t="shared" si="123"/>
        <v>0</v>
      </c>
      <c r="L119" s="122">
        <f t="shared" si="123"/>
        <v>1</v>
      </c>
      <c r="M119" s="181">
        <f t="shared" si="123"/>
        <v>1</v>
      </c>
      <c r="N119" s="42">
        <f t="shared" si="1"/>
        <v>2</v>
      </c>
      <c r="O119" s="179">
        <v>2019</v>
      </c>
      <c r="P119" s="182">
        <f t="shared" si="115"/>
        <v>6</v>
      </c>
      <c r="Q119" s="120">
        <f t="shared" ref="Q119:T119" si="124">SUM(J41:J46)</f>
        <v>6</v>
      </c>
      <c r="R119" s="121">
        <f t="shared" si="124"/>
        <v>2</v>
      </c>
      <c r="S119" s="122">
        <f t="shared" si="124"/>
        <v>2</v>
      </c>
      <c r="T119" s="123">
        <f t="shared" si="124"/>
        <v>2</v>
      </c>
    </row>
    <row r="120" spans="1:26" ht="19.5" customHeight="1">
      <c r="A120" s="4" t="s">
        <v>474</v>
      </c>
      <c r="B120" s="18" t="s">
        <v>475</v>
      </c>
      <c r="C120" s="18" t="s">
        <v>476</v>
      </c>
      <c r="D120" s="178">
        <v>2024</v>
      </c>
      <c r="E120" s="130"/>
      <c r="F120" s="128"/>
      <c r="G120" s="126"/>
      <c r="H120" s="126" t="s">
        <v>1631</v>
      </c>
      <c r="I120" s="126" t="s">
        <v>1632</v>
      </c>
      <c r="J120" s="120">
        <f t="shared" ref="J120:M120" si="125">IF(ISTEXT(F120), 1, 0)</f>
        <v>0</v>
      </c>
      <c r="K120" s="121">
        <f t="shared" si="125"/>
        <v>0</v>
      </c>
      <c r="L120" s="122">
        <f t="shared" si="125"/>
        <v>1</v>
      </c>
      <c r="M120" s="181">
        <f t="shared" si="125"/>
        <v>1</v>
      </c>
      <c r="N120" s="42">
        <f t="shared" si="1"/>
        <v>2</v>
      </c>
      <c r="O120" s="179">
        <v>2020</v>
      </c>
      <c r="P120" s="182">
        <f t="shared" si="115"/>
        <v>12</v>
      </c>
      <c r="Q120" s="120">
        <f t="shared" ref="Q120:T120" si="126">SUM(J47:J58)</f>
        <v>9</v>
      </c>
      <c r="R120" s="121">
        <f t="shared" si="126"/>
        <v>2</v>
      </c>
      <c r="S120" s="122">
        <f t="shared" si="126"/>
        <v>0</v>
      </c>
      <c r="T120" s="123">
        <f t="shared" si="126"/>
        <v>5</v>
      </c>
    </row>
    <row r="121" spans="1:26" ht="19.5" customHeight="1">
      <c r="A121" s="4" t="s">
        <v>478</v>
      </c>
      <c r="B121" s="18" t="s">
        <v>479</v>
      </c>
      <c r="C121" s="18" t="s">
        <v>480</v>
      </c>
      <c r="D121" s="178">
        <v>2024</v>
      </c>
      <c r="E121" s="130"/>
      <c r="F121" s="128" t="s">
        <v>1633</v>
      </c>
      <c r="G121" s="126"/>
      <c r="H121" s="126"/>
      <c r="I121" s="126"/>
      <c r="J121" s="120">
        <f t="shared" ref="J121:M121" si="127">IF(ISTEXT(F121), 1, 0)</f>
        <v>1</v>
      </c>
      <c r="K121" s="121">
        <f t="shared" si="127"/>
        <v>0</v>
      </c>
      <c r="L121" s="122">
        <f t="shared" si="127"/>
        <v>0</v>
      </c>
      <c r="M121" s="181">
        <f t="shared" si="127"/>
        <v>0</v>
      </c>
      <c r="N121" s="42">
        <f t="shared" si="1"/>
        <v>1</v>
      </c>
      <c r="O121" s="179">
        <v>2021</v>
      </c>
      <c r="P121" s="182">
        <f t="shared" si="115"/>
        <v>11</v>
      </c>
      <c r="Q121" s="120">
        <f t="shared" ref="Q121:T121" si="128">SUM(J59:J69)</f>
        <v>11</v>
      </c>
      <c r="R121" s="121">
        <f t="shared" si="128"/>
        <v>1</v>
      </c>
      <c r="S121" s="122">
        <f t="shared" si="128"/>
        <v>1</v>
      </c>
      <c r="T121" s="123">
        <f t="shared" si="128"/>
        <v>4</v>
      </c>
    </row>
    <row r="122" spans="1:26" ht="19.5" customHeight="1">
      <c r="A122" s="4" t="s">
        <v>482</v>
      </c>
      <c r="B122" s="18" t="s">
        <v>483</v>
      </c>
      <c r="C122" s="18" t="s">
        <v>484</v>
      </c>
      <c r="D122" s="178">
        <v>2024</v>
      </c>
      <c r="E122" s="130"/>
      <c r="F122" s="128" t="s">
        <v>1635</v>
      </c>
      <c r="G122" s="126"/>
      <c r="H122" s="126"/>
      <c r="I122" s="126"/>
      <c r="J122" s="120">
        <f t="shared" ref="J122:M122" si="129">IF(ISTEXT(F122), 1, 0)</f>
        <v>1</v>
      </c>
      <c r="K122" s="121">
        <f t="shared" si="129"/>
        <v>0</v>
      </c>
      <c r="L122" s="122">
        <f t="shared" si="129"/>
        <v>0</v>
      </c>
      <c r="M122" s="181">
        <f t="shared" si="129"/>
        <v>0</v>
      </c>
      <c r="N122" s="42">
        <f t="shared" si="1"/>
        <v>1</v>
      </c>
      <c r="O122" s="179">
        <v>2022</v>
      </c>
      <c r="P122" s="182">
        <f t="shared" si="115"/>
        <v>17</v>
      </c>
      <c r="Q122" s="120">
        <f t="shared" ref="Q122:T122" si="130">SUM(J70:J86)</f>
        <v>16</v>
      </c>
      <c r="R122" s="121">
        <f t="shared" si="130"/>
        <v>0</v>
      </c>
      <c r="S122" s="122">
        <f t="shared" si="130"/>
        <v>0</v>
      </c>
      <c r="T122" s="123">
        <f t="shared" si="130"/>
        <v>3</v>
      </c>
    </row>
    <row r="123" spans="1:26" ht="19.5" customHeight="1">
      <c r="A123" s="4" t="s">
        <v>486</v>
      </c>
      <c r="B123" s="18" t="s">
        <v>487</v>
      </c>
      <c r="C123" s="18" t="s">
        <v>488</v>
      </c>
      <c r="D123" s="178">
        <v>2024</v>
      </c>
      <c r="E123" s="130"/>
      <c r="F123" s="128" t="s">
        <v>1637</v>
      </c>
      <c r="G123" s="126"/>
      <c r="H123" s="126"/>
      <c r="I123" s="126" t="s">
        <v>1638</v>
      </c>
      <c r="J123" s="120">
        <f t="shared" ref="J123:M123" si="131">IF(ISTEXT(F123), 1, 0)</f>
        <v>1</v>
      </c>
      <c r="K123" s="121">
        <f t="shared" si="131"/>
        <v>0</v>
      </c>
      <c r="L123" s="122">
        <f t="shared" si="131"/>
        <v>0</v>
      </c>
      <c r="M123" s="181">
        <f t="shared" si="131"/>
        <v>1</v>
      </c>
      <c r="N123" s="42">
        <f t="shared" si="1"/>
        <v>2</v>
      </c>
      <c r="O123" s="179">
        <v>2023</v>
      </c>
      <c r="P123" s="182">
        <f t="shared" si="115"/>
        <v>20</v>
      </c>
      <c r="Q123" s="120">
        <f t="shared" ref="Q123:T123" si="132">SUM(J87:J106)</f>
        <v>20</v>
      </c>
      <c r="R123" s="121">
        <f t="shared" si="132"/>
        <v>3</v>
      </c>
      <c r="S123" s="122">
        <f t="shared" si="132"/>
        <v>0</v>
      </c>
      <c r="T123" s="123">
        <f t="shared" si="132"/>
        <v>9</v>
      </c>
    </row>
    <row r="124" spans="1:26" ht="19.5" customHeight="1">
      <c r="A124" s="4" t="s">
        <v>490</v>
      </c>
      <c r="B124" s="18" t="s">
        <v>491</v>
      </c>
      <c r="C124" s="18" t="s">
        <v>492</v>
      </c>
      <c r="D124" s="178">
        <v>2024</v>
      </c>
      <c r="E124" s="130"/>
      <c r="F124" s="128"/>
      <c r="G124" s="126"/>
      <c r="H124" s="126" t="s">
        <v>1640</v>
      </c>
      <c r="I124" s="126" t="s">
        <v>1641</v>
      </c>
      <c r="J124" s="120">
        <f t="shared" ref="J124:M124" si="133">IF(ISTEXT(F124), 1, 0)</f>
        <v>0</v>
      </c>
      <c r="K124" s="121">
        <f t="shared" si="133"/>
        <v>0</v>
      </c>
      <c r="L124" s="122">
        <f t="shared" si="133"/>
        <v>1</v>
      </c>
      <c r="M124" s="181">
        <f t="shared" si="133"/>
        <v>1</v>
      </c>
      <c r="N124" s="42">
        <f t="shared" si="1"/>
        <v>2</v>
      </c>
      <c r="O124" s="183">
        <v>2024</v>
      </c>
      <c r="P124" s="184">
        <f t="shared" si="115"/>
        <v>18</v>
      </c>
      <c r="Q124" s="185">
        <f t="shared" ref="Q124:T124" si="134">SUM(J107:J124)</f>
        <v>14</v>
      </c>
      <c r="R124" s="186">
        <f t="shared" si="134"/>
        <v>1</v>
      </c>
      <c r="S124" s="187">
        <f t="shared" si="134"/>
        <v>6</v>
      </c>
      <c r="T124" s="188">
        <f t="shared" si="134"/>
        <v>10</v>
      </c>
    </row>
    <row r="125" spans="1:26" ht="19.5" customHeight="1">
      <c r="A125" s="20"/>
      <c r="B125" s="21"/>
      <c r="C125" s="22"/>
      <c r="D125" s="189"/>
      <c r="E125" s="190"/>
      <c r="F125" s="81"/>
      <c r="G125" s="22"/>
      <c r="H125" s="22"/>
      <c r="I125" s="22"/>
      <c r="J125" s="179">
        <f t="shared" ref="J125:M125" si="135">SUM(J2:J124)</f>
        <v>109</v>
      </c>
      <c r="K125" s="179">
        <f t="shared" si="135"/>
        <v>38</v>
      </c>
      <c r="L125" s="179">
        <f t="shared" si="135"/>
        <v>20</v>
      </c>
      <c r="M125" s="179">
        <f t="shared" si="135"/>
        <v>62</v>
      </c>
      <c r="N125" s="42">
        <f t="shared" si="1"/>
        <v>229</v>
      </c>
      <c r="O125" s="191" t="s">
        <v>1619</v>
      </c>
      <c r="P125" s="192">
        <f t="shared" ref="P125:T125" si="136">SUM(P115:P124)</f>
        <v>123</v>
      </c>
      <c r="Q125" s="193">
        <f t="shared" si="136"/>
        <v>109</v>
      </c>
      <c r="R125" s="193">
        <f t="shared" si="136"/>
        <v>38</v>
      </c>
      <c r="S125" s="193">
        <f t="shared" si="136"/>
        <v>20</v>
      </c>
      <c r="T125" s="194">
        <f t="shared" si="136"/>
        <v>62</v>
      </c>
    </row>
    <row r="126" spans="1:26" ht="19.5" customHeight="1">
      <c r="A126" s="20"/>
      <c r="B126" s="21"/>
      <c r="C126" s="22"/>
      <c r="D126" s="189"/>
      <c r="E126" s="190"/>
      <c r="F126" s="81"/>
      <c r="G126" s="22"/>
      <c r="H126" s="22"/>
      <c r="I126" s="22"/>
      <c r="O126" s="195"/>
    </row>
    <row r="127" spans="1:26" ht="19.5" customHeight="1">
      <c r="A127" s="20"/>
      <c r="B127" s="21"/>
      <c r="C127" s="22"/>
      <c r="D127" s="189"/>
      <c r="E127" s="190"/>
      <c r="F127" s="81"/>
      <c r="G127" s="22"/>
      <c r="H127" s="22"/>
      <c r="I127" s="22"/>
    </row>
    <row r="128" spans="1:26" ht="19.5" customHeight="1">
      <c r="A128" s="20"/>
      <c r="B128" s="21"/>
      <c r="C128" s="22"/>
      <c r="D128" s="189"/>
      <c r="E128" s="190"/>
      <c r="F128" s="81"/>
      <c r="G128" s="22"/>
      <c r="H128" s="22"/>
      <c r="I128" s="22"/>
    </row>
    <row r="129" spans="1:12" ht="19.5" customHeight="1">
      <c r="A129" s="20"/>
      <c r="B129" s="21"/>
      <c r="C129" s="22"/>
      <c r="D129" s="189"/>
      <c r="E129" s="190"/>
      <c r="F129" s="81"/>
      <c r="G129" s="22"/>
      <c r="H129" s="22"/>
      <c r="I129" s="22"/>
    </row>
    <row r="130" spans="1:12" ht="19.5" customHeight="1">
      <c r="A130" s="20"/>
      <c r="B130" s="21"/>
      <c r="C130" s="22"/>
      <c r="D130" s="189"/>
      <c r="E130" s="190"/>
      <c r="F130" s="81"/>
      <c r="G130" s="22"/>
      <c r="H130" s="22"/>
      <c r="I130" s="22"/>
      <c r="L130" s="195"/>
    </row>
    <row r="131" spans="1:12" ht="19.5" customHeight="1">
      <c r="A131" s="20"/>
      <c r="B131" s="21"/>
      <c r="C131" s="22"/>
      <c r="D131" s="189"/>
      <c r="E131" s="190"/>
      <c r="F131" s="81"/>
      <c r="G131" s="22"/>
      <c r="H131" s="22"/>
      <c r="I131" s="22"/>
    </row>
    <row r="132" spans="1:12" ht="19.5" customHeight="1">
      <c r="A132" s="20"/>
      <c r="B132" s="21"/>
      <c r="C132" s="22"/>
      <c r="D132" s="189"/>
      <c r="E132" s="190"/>
      <c r="F132" s="81"/>
      <c r="G132" s="22"/>
      <c r="H132" s="22"/>
      <c r="I132" s="22"/>
    </row>
    <row r="133" spans="1:12" ht="19.5" customHeight="1">
      <c r="A133" s="20"/>
      <c r="B133" s="21"/>
      <c r="C133" s="22"/>
      <c r="D133" s="189"/>
      <c r="E133" s="190"/>
      <c r="F133" s="81"/>
      <c r="G133" s="22"/>
      <c r="H133" s="22"/>
      <c r="I133" s="22"/>
    </row>
    <row r="134" spans="1:12" ht="19.5" customHeight="1">
      <c r="A134" s="20"/>
      <c r="B134" s="21"/>
      <c r="C134" s="22"/>
      <c r="D134" s="189"/>
      <c r="E134" s="190"/>
      <c r="F134" s="81"/>
      <c r="G134" s="22"/>
      <c r="H134" s="22"/>
      <c r="I134" s="22"/>
    </row>
    <row r="135" spans="1:12" ht="19.5" customHeight="1">
      <c r="A135" s="20"/>
      <c r="B135" s="21"/>
      <c r="C135" s="22"/>
      <c r="D135" s="189"/>
      <c r="E135" s="190"/>
      <c r="F135" s="81"/>
      <c r="G135" s="22"/>
      <c r="H135" s="22"/>
      <c r="I135" s="22"/>
    </row>
    <row r="136" spans="1:12" ht="19.5" customHeight="1">
      <c r="A136" s="20"/>
      <c r="B136" s="21"/>
      <c r="C136" s="22"/>
      <c r="D136" s="189"/>
      <c r="E136" s="190"/>
      <c r="F136" s="81"/>
      <c r="G136" s="22"/>
      <c r="H136" s="22"/>
      <c r="I136" s="22"/>
    </row>
    <row r="137" spans="1:12" ht="19.5" customHeight="1">
      <c r="A137" s="20"/>
      <c r="B137" s="21"/>
      <c r="C137" s="22"/>
      <c r="D137" s="189"/>
      <c r="E137" s="190"/>
      <c r="F137" s="81"/>
      <c r="G137" s="22"/>
      <c r="H137" s="22"/>
      <c r="I137" s="22"/>
    </row>
  </sheetData>
  <autoFilter ref="A1:AD125"/>
  <pageMargins left="0.78749999999999998" right="0.78749999999999998" top="1.0249999999999999" bottom="1.0249999999999999" header="0" footer="0"/>
  <pageSetup paperSize="9" scale="0" orientation="portrait"/>
  <headerFooter>
    <oddHeader>&amp;C&amp;A</oddHeader>
    <oddFooter>&amp;CPagina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primary_studies</vt:lpstr>
      <vt:lpstr>citation_data</vt:lpstr>
      <vt:lpstr>citation_pivot_table</vt:lpstr>
      <vt:lpstr>research_type</vt:lpstr>
      <vt:lpstr>keywords_data</vt:lpstr>
      <vt:lpstr>keyword_id_mapping</vt:lpstr>
      <vt:lpstr>keyword_clusters</vt:lpstr>
      <vt:lpstr>topics_per_year</vt:lpstr>
      <vt:lpstr>topics</vt:lpstr>
      <vt:lpstr>sustainabilityprimary</vt:lpstr>
      <vt:lpstr>sustainability_enabled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Qing Gu Bonnet</dc:creator>
  <cp:lastModifiedBy>Iffat Fatima</cp:lastModifiedBy>
  <dcterms:created xsi:type="dcterms:W3CDTF">2013-04-23T09:47:10Z</dcterms:created>
  <dcterms:modified xsi:type="dcterms:W3CDTF">2025-05-07T14:42:24Z</dcterms:modified>
</cp:coreProperties>
</file>